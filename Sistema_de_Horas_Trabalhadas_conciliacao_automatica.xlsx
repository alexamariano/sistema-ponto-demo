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istema-ponto-demo\"/>
    </mc:Choice>
  </mc:AlternateContent>
  <xr:revisionPtr revIDLastSave="0" documentId="13_ncr:1_{9092A7BF-173A-44AD-A44F-AAA3C51FD3AD}" xr6:coauthVersionLast="47" xr6:coauthVersionMax="47" xr10:uidLastSave="{00000000-0000-0000-0000-000000000000}"/>
  <bookViews>
    <workbookView xWindow="-120" yWindow="-120" windowWidth="20730" windowHeight="11160" tabRatio="688" firstSheet="6" activeTab="8" xr2:uid="{00000000-000D-0000-FFFF-FFFF00000000}"/>
  </bookViews>
  <sheets>
    <sheet name="Registrar Ponto" sheetId="1" r:id="rId1"/>
    <sheet name="Cartão de Ponto" sheetId="2" r:id="rId2"/>
    <sheet name="Resumo Pagamentos" sheetId="3" r:id="rId3"/>
    <sheet name="Custo por Projeto" sheetId="4" r:id="rId4"/>
    <sheet name="Registros" sheetId="5" r:id="rId5"/>
    <sheet name="Batidas" sheetId="6" r:id="rId6"/>
    <sheet name="Conferência" sheetId="7" r:id="rId7"/>
    <sheet name="Cadastro Pessoas" sheetId="8" r:id="rId8"/>
    <sheet name="Cadastro Projetos" sheetId="9" r:id="rId9"/>
    <sheet name="Cadastro Atividades" sheetId="10" r:id="rId10"/>
    <sheet name="Configuração" sheetId="11" r:id="rId11"/>
    <sheet name="Office Scrip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8" i="5" l="1"/>
  <c r="K398" i="5"/>
  <c r="J398" i="5"/>
  <c r="I398" i="5"/>
  <c r="H398" i="5"/>
  <c r="G398" i="5"/>
  <c r="E398" i="5"/>
  <c r="M398" i="5" s="1"/>
  <c r="B398" i="5"/>
  <c r="S398" i="5" s="1"/>
  <c r="L397" i="5"/>
  <c r="K397" i="5"/>
  <c r="J397" i="5"/>
  <c r="I397" i="5"/>
  <c r="H397" i="5"/>
  <c r="G397" i="5"/>
  <c r="E397" i="5"/>
  <c r="B397" i="5"/>
  <c r="C397" i="5" s="1"/>
  <c r="L396" i="5"/>
  <c r="K396" i="5"/>
  <c r="J396" i="5"/>
  <c r="I396" i="5"/>
  <c r="H396" i="5"/>
  <c r="G396" i="5"/>
  <c r="E396" i="5"/>
  <c r="M396" i="5" s="1"/>
  <c r="B396" i="5"/>
  <c r="D396" i="5" s="1"/>
  <c r="L395" i="5"/>
  <c r="K395" i="5"/>
  <c r="J395" i="5"/>
  <c r="I395" i="5"/>
  <c r="H395" i="5"/>
  <c r="G395" i="5"/>
  <c r="E395" i="5"/>
  <c r="B395" i="5"/>
  <c r="C395" i="5" s="1"/>
  <c r="L394" i="5"/>
  <c r="K394" i="5"/>
  <c r="J394" i="5"/>
  <c r="I394" i="5"/>
  <c r="H394" i="5"/>
  <c r="G394" i="5"/>
  <c r="E394" i="5"/>
  <c r="B394" i="5"/>
  <c r="L393" i="5"/>
  <c r="K393" i="5"/>
  <c r="J393" i="5"/>
  <c r="I393" i="5"/>
  <c r="H393" i="5"/>
  <c r="G393" i="5"/>
  <c r="E393" i="5"/>
  <c r="M393" i="5" s="1"/>
  <c r="B393" i="5"/>
  <c r="L392" i="5"/>
  <c r="K392" i="5"/>
  <c r="J392" i="5"/>
  <c r="I392" i="5"/>
  <c r="H392" i="5"/>
  <c r="G392" i="5"/>
  <c r="E392" i="5"/>
  <c r="B392" i="5"/>
  <c r="D392" i="5" s="1"/>
  <c r="L391" i="5"/>
  <c r="K391" i="5"/>
  <c r="J391" i="5"/>
  <c r="I391" i="5"/>
  <c r="H391" i="5"/>
  <c r="G391" i="5"/>
  <c r="E391" i="5"/>
  <c r="O391" i="5" s="1"/>
  <c r="B391" i="5"/>
  <c r="D391" i="5" s="1"/>
  <c r="N391" i="5" s="1"/>
  <c r="L390" i="5"/>
  <c r="K390" i="5"/>
  <c r="J390" i="5"/>
  <c r="I390" i="5"/>
  <c r="H390" i="5"/>
  <c r="G390" i="5"/>
  <c r="E390" i="5"/>
  <c r="D390" i="5"/>
  <c r="B390" i="5"/>
  <c r="S390" i="5" s="1"/>
  <c r="L389" i="5"/>
  <c r="K389" i="5"/>
  <c r="J389" i="5"/>
  <c r="I389" i="5"/>
  <c r="H389" i="5"/>
  <c r="G389" i="5"/>
  <c r="E389" i="5"/>
  <c r="M389" i="5" s="1"/>
  <c r="B389" i="5"/>
  <c r="D389" i="5" s="1"/>
  <c r="Q388" i="5"/>
  <c r="P388" i="5" s="1"/>
  <c r="L388" i="5"/>
  <c r="K388" i="5"/>
  <c r="J388" i="5"/>
  <c r="I388" i="5"/>
  <c r="H388" i="5"/>
  <c r="G388" i="5"/>
  <c r="E388" i="5"/>
  <c r="O388" i="5" s="1"/>
  <c r="B388" i="5"/>
  <c r="Q387" i="5"/>
  <c r="L387" i="5"/>
  <c r="K387" i="5"/>
  <c r="J387" i="5"/>
  <c r="I387" i="5"/>
  <c r="H387" i="5"/>
  <c r="G387" i="5"/>
  <c r="E387" i="5"/>
  <c r="B387" i="5"/>
  <c r="L386" i="5"/>
  <c r="K386" i="5"/>
  <c r="J386" i="5"/>
  <c r="I386" i="5"/>
  <c r="H386" i="5"/>
  <c r="G386" i="5"/>
  <c r="E386" i="5"/>
  <c r="B386" i="5"/>
  <c r="S386" i="5" s="1"/>
  <c r="L385" i="5"/>
  <c r="K385" i="5"/>
  <c r="J385" i="5"/>
  <c r="I385" i="5"/>
  <c r="H385" i="5"/>
  <c r="G385" i="5"/>
  <c r="E385" i="5"/>
  <c r="O385" i="5" s="1"/>
  <c r="B385" i="5"/>
  <c r="D385" i="5" s="1"/>
  <c r="L384" i="5"/>
  <c r="K384" i="5"/>
  <c r="J384" i="5"/>
  <c r="I384" i="5"/>
  <c r="H384" i="5"/>
  <c r="G384" i="5"/>
  <c r="E384" i="5"/>
  <c r="O384" i="5" s="1"/>
  <c r="B384" i="5"/>
  <c r="L383" i="5"/>
  <c r="K383" i="5"/>
  <c r="J383" i="5"/>
  <c r="I383" i="5"/>
  <c r="H383" i="5"/>
  <c r="G383" i="5"/>
  <c r="E383" i="5"/>
  <c r="B383" i="5"/>
  <c r="L382" i="5"/>
  <c r="K382" i="5"/>
  <c r="J382" i="5"/>
  <c r="I382" i="5"/>
  <c r="H382" i="5"/>
  <c r="G382" i="5"/>
  <c r="E382" i="5"/>
  <c r="B382" i="5"/>
  <c r="L381" i="5"/>
  <c r="K381" i="5"/>
  <c r="J381" i="5"/>
  <c r="I381" i="5"/>
  <c r="H381" i="5"/>
  <c r="G381" i="5"/>
  <c r="E381" i="5"/>
  <c r="O381" i="5" s="1"/>
  <c r="B381" i="5"/>
  <c r="Q380" i="5"/>
  <c r="R380" i="5" s="1"/>
  <c r="L380" i="5"/>
  <c r="K380" i="5"/>
  <c r="J380" i="5"/>
  <c r="I380" i="5"/>
  <c r="H380" i="5"/>
  <c r="G380" i="5"/>
  <c r="E380" i="5"/>
  <c r="F380" i="5" s="1"/>
  <c r="B380" i="5"/>
  <c r="Q379" i="5"/>
  <c r="L379" i="5"/>
  <c r="K379" i="5"/>
  <c r="J379" i="5"/>
  <c r="I379" i="5"/>
  <c r="H379" i="5"/>
  <c r="G379" i="5"/>
  <c r="E379" i="5"/>
  <c r="B379" i="5"/>
  <c r="D379" i="5" s="1"/>
  <c r="L378" i="5"/>
  <c r="K378" i="5"/>
  <c r="J378" i="5"/>
  <c r="I378" i="5"/>
  <c r="H378" i="5"/>
  <c r="G378" i="5"/>
  <c r="E378" i="5"/>
  <c r="O378" i="5" s="1"/>
  <c r="B378" i="5"/>
  <c r="D378" i="5" s="1"/>
  <c r="L377" i="5"/>
  <c r="K377" i="5"/>
  <c r="J377" i="5"/>
  <c r="I377" i="5"/>
  <c r="H377" i="5"/>
  <c r="G377" i="5"/>
  <c r="E377" i="5"/>
  <c r="B377" i="5"/>
  <c r="D377" i="5" s="1"/>
  <c r="L376" i="5"/>
  <c r="K376" i="5"/>
  <c r="J376" i="5"/>
  <c r="I376" i="5"/>
  <c r="H376" i="5"/>
  <c r="G376" i="5"/>
  <c r="E376" i="5"/>
  <c r="M376" i="5" s="1"/>
  <c r="B376" i="5"/>
  <c r="L375" i="5"/>
  <c r="K375" i="5"/>
  <c r="J375" i="5"/>
  <c r="I375" i="5"/>
  <c r="H375" i="5"/>
  <c r="G375" i="5"/>
  <c r="E375" i="5"/>
  <c r="B375" i="5"/>
  <c r="C375" i="5" s="1"/>
  <c r="L374" i="5"/>
  <c r="K374" i="5"/>
  <c r="J374" i="5"/>
  <c r="I374" i="5"/>
  <c r="H374" i="5"/>
  <c r="G374" i="5"/>
  <c r="E374" i="5"/>
  <c r="B374" i="5"/>
  <c r="S374" i="5" s="1"/>
  <c r="L373" i="5"/>
  <c r="K373" i="5"/>
  <c r="J373" i="5"/>
  <c r="I373" i="5"/>
  <c r="H373" i="5"/>
  <c r="G373" i="5"/>
  <c r="E373" i="5"/>
  <c r="B373" i="5"/>
  <c r="L372" i="5"/>
  <c r="K372" i="5"/>
  <c r="J372" i="5"/>
  <c r="I372" i="5"/>
  <c r="H372" i="5"/>
  <c r="G372" i="5"/>
  <c r="E372" i="5"/>
  <c r="M372" i="5" s="1"/>
  <c r="B372" i="5"/>
  <c r="Q371" i="5"/>
  <c r="L371" i="5"/>
  <c r="K371" i="5"/>
  <c r="J371" i="5"/>
  <c r="I371" i="5"/>
  <c r="H371" i="5"/>
  <c r="G371" i="5"/>
  <c r="E371" i="5"/>
  <c r="O371" i="5" s="1"/>
  <c r="B371" i="5"/>
  <c r="L370" i="5"/>
  <c r="K370" i="5"/>
  <c r="J370" i="5"/>
  <c r="I370" i="5"/>
  <c r="H370" i="5"/>
  <c r="G370" i="5"/>
  <c r="E370" i="5"/>
  <c r="B370" i="5"/>
  <c r="D370" i="5" s="1"/>
  <c r="L369" i="5"/>
  <c r="K369" i="5"/>
  <c r="J369" i="5"/>
  <c r="I369" i="5"/>
  <c r="H369" i="5"/>
  <c r="G369" i="5"/>
  <c r="E369" i="5"/>
  <c r="O369" i="5" s="1"/>
  <c r="B369" i="5"/>
  <c r="S369" i="5" s="1"/>
  <c r="L368" i="5"/>
  <c r="K368" i="5"/>
  <c r="J368" i="5"/>
  <c r="I368" i="5"/>
  <c r="H368" i="5"/>
  <c r="G368" i="5"/>
  <c r="E368" i="5"/>
  <c r="M368" i="5" s="1"/>
  <c r="B368" i="5"/>
  <c r="Q367" i="5"/>
  <c r="L367" i="5"/>
  <c r="K367" i="5"/>
  <c r="J367" i="5"/>
  <c r="I367" i="5"/>
  <c r="H367" i="5"/>
  <c r="G367" i="5"/>
  <c r="E367" i="5"/>
  <c r="O367" i="5" s="1"/>
  <c r="B367" i="5"/>
  <c r="C367" i="5" s="1"/>
  <c r="L366" i="5"/>
  <c r="K366" i="5"/>
  <c r="J366" i="5"/>
  <c r="I366" i="5"/>
  <c r="H366" i="5"/>
  <c r="G366" i="5"/>
  <c r="E366" i="5"/>
  <c r="F366" i="5" s="1"/>
  <c r="B366" i="5"/>
  <c r="L365" i="5"/>
  <c r="K365" i="5"/>
  <c r="J365" i="5"/>
  <c r="I365" i="5"/>
  <c r="H365" i="5"/>
  <c r="G365" i="5"/>
  <c r="E365" i="5"/>
  <c r="O365" i="5" s="1"/>
  <c r="B365" i="5"/>
  <c r="L364" i="5"/>
  <c r="K364" i="5"/>
  <c r="J364" i="5"/>
  <c r="I364" i="5"/>
  <c r="H364" i="5"/>
  <c r="G364" i="5"/>
  <c r="E364" i="5"/>
  <c r="B364" i="5"/>
  <c r="Q363" i="5"/>
  <c r="P363" i="5" s="1"/>
  <c r="M363" i="5"/>
  <c r="L363" i="5"/>
  <c r="K363" i="5"/>
  <c r="J363" i="5"/>
  <c r="I363" i="5"/>
  <c r="H363" i="5"/>
  <c r="G363" i="5"/>
  <c r="E363" i="5"/>
  <c r="F363" i="5" s="1"/>
  <c r="B363" i="5"/>
  <c r="L362" i="5"/>
  <c r="K362" i="5"/>
  <c r="J362" i="5"/>
  <c r="I362" i="5"/>
  <c r="H362" i="5"/>
  <c r="G362" i="5"/>
  <c r="E362" i="5"/>
  <c r="B362" i="5"/>
  <c r="D362" i="5" s="1"/>
  <c r="L361" i="5"/>
  <c r="K361" i="5"/>
  <c r="J361" i="5"/>
  <c r="I361" i="5"/>
  <c r="H361" i="5"/>
  <c r="G361" i="5"/>
  <c r="E361" i="5"/>
  <c r="M361" i="5" s="1"/>
  <c r="B361" i="5"/>
  <c r="S361" i="5" s="1"/>
  <c r="Q360" i="5"/>
  <c r="L360" i="5"/>
  <c r="K360" i="5"/>
  <c r="J360" i="5"/>
  <c r="I360" i="5"/>
  <c r="H360" i="5"/>
  <c r="G360" i="5"/>
  <c r="E360" i="5"/>
  <c r="O360" i="5" s="1"/>
  <c r="B360" i="5"/>
  <c r="L359" i="5"/>
  <c r="K359" i="5"/>
  <c r="J359" i="5"/>
  <c r="I359" i="5"/>
  <c r="H359" i="5"/>
  <c r="G359" i="5"/>
  <c r="E359" i="5"/>
  <c r="B359" i="5"/>
  <c r="D359" i="5" s="1"/>
  <c r="L358" i="5"/>
  <c r="K358" i="5"/>
  <c r="J358" i="5"/>
  <c r="I358" i="5"/>
  <c r="H358" i="5"/>
  <c r="G358" i="5"/>
  <c r="E358" i="5"/>
  <c r="B358" i="5"/>
  <c r="S358" i="5" s="1"/>
  <c r="L357" i="5"/>
  <c r="K357" i="5"/>
  <c r="J357" i="5"/>
  <c r="I357" i="5"/>
  <c r="H357" i="5"/>
  <c r="G357" i="5"/>
  <c r="E357" i="5"/>
  <c r="O357" i="5" s="1"/>
  <c r="B357" i="5"/>
  <c r="Q357" i="5" s="1"/>
  <c r="L356" i="5"/>
  <c r="K356" i="5"/>
  <c r="J356" i="5"/>
  <c r="I356" i="5"/>
  <c r="H356" i="5"/>
  <c r="G356" i="5"/>
  <c r="E356" i="5"/>
  <c r="M356" i="5" s="1"/>
  <c r="B356" i="5"/>
  <c r="D356" i="5" s="1"/>
  <c r="L355" i="5"/>
  <c r="K355" i="5"/>
  <c r="J355" i="5"/>
  <c r="I355" i="5"/>
  <c r="H355" i="5"/>
  <c r="G355" i="5"/>
  <c r="E355" i="5"/>
  <c r="O355" i="5" s="1"/>
  <c r="B355" i="5"/>
  <c r="S355" i="5" s="1"/>
  <c r="L354" i="5"/>
  <c r="K354" i="5"/>
  <c r="J354" i="5"/>
  <c r="I354" i="5"/>
  <c r="H354" i="5"/>
  <c r="G354" i="5"/>
  <c r="E354" i="5"/>
  <c r="B354" i="5"/>
  <c r="C354" i="5" s="1"/>
  <c r="Q353" i="5"/>
  <c r="R353" i="5" s="1"/>
  <c r="L353" i="5"/>
  <c r="K353" i="5"/>
  <c r="J353" i="5"/>
  <c r="I353" i="5"/>
  <c r="H353" i="5"/>
  <c r="G353" i="5"/>
  <c r="E353" i="5"/>
  <c r="M353" i="5" s="1"/>
  <c r="B353" i="5"/>
  <c r="S353" i="5" s="1"/>
  <c r="Q352" i="5"/>
  <c r="P352" i="5" s="1"/>
  <c r="L352" i="5"/>
  <c r="K352" i="5"/>
  <c r="J352" i="5"/>
  <c r="I352" i="5"/>
  <c r="H352" i="5"/>
  <c r="G352" i="5"/>
  <c r="E352" i="5"/>
  <c r="F352" i="5" s="1"/>
  <c r="B352" i="5"/>
  <c r="S351" i="5"/>
  <c r="Q351" i="5"/>
  <c r="L351" i="5"/>
  <c r="K351" i="5"/>
  <c r="J351" i="5"/>
  <c r="I351" i="5"/>
  <c r="H351" i="5"/>
  <c r="G351" i="5"/>
  <c r="E351" i="5"/>
  <c r="M351" i="5" s="1"/>
  <c r="B351" i="5"/>
  <c r="D351" i="5" s="1"/>
  <c r="Q350" i="5"/>
  <c r="L350" i="5"/>
  <c r="K350" i="5"/>
  <c r="J350" i="5"/>
  <c r="I350" i="5"/>
  <c r="H350" i="5"/>
  <c r="G350" i="5"/>
  <c r="E350" i="5"/>
  <c r="O350" i="5" s="1"/>
  <c r="B350" i="5"/>
  <c r="C350" i="5" s="1"/>
  <c r="L349" i="5"/>
  <c r="K349" i="5"/>
  <c r="J349" i="5"/>
  <c r="I349" i="5"/>
  <c r="H349" i="5"/>
  <c r="G349" i="5"/>
  <c r="E349" i="5"/>
  <c r="B349" i="5"/>
  <c r="C349" i="5" s="1"/>
  <c r="Q348" i="5"/>
  <c r="P348" i="5" s="1"/>
  <c r="L348" i="5"/>
  <c r="K348" i="5"/>
  <c r="J348" i="5"/>
  <c r="I348" i="5"/>
  <c r="H348" i="5"/>
  <c r="G348" i="5"/>
  <c r="E348" i="5"/>
  <c r="M348" i="5" s="1"/>
  <c r="B348" i="5"/>
  <c r="S348" i="5" s="1"/>
  <c r="Q347" i="5"/>
  <c r="P347" i="5" s="1"/>
  <c r="L347" i="5"/>
  <c r="K347" i="5"/>
  <c r="J347" i="5"/>
  <c r="I347" i="5"/>
  <c r="H347" i="5"/>
  <c r="G347" i="5"/>
  <c r="E347" i="5"/>
  <c r="B347" i="5"/>
  <c r="D347" i="5" s="1"/>
  <c r="L346" i="5"/>
  <c r="K346" i="5"/>
  <c r="J346" i="5"/>
  <c r="I346" i="5"/>
  <c r="H346" i="5"/>
  <c r="G346" i="5"/>
  <c r="E346" i="5"/>
  <c r="F346" i="5" s="1"/>
  <c r="B346" i="5"/>
  <c r="L345" i="5"/>
  <c r="K345" i="5"/>
  <c r="J345" i="5"/>
  <c r="I345" i="5"/>
  <c r="H345" i="5"/>
  <c r="G345" i="5"/>
  <c r="E345" i="5"/>
  <c r="O345" i="5" s="1"/>
  <c r="B345" i="5"/>
  <c r="S345" i="5" s="1"/>
  <c r="L344" i="5"/>
  <c r="K344" i="5"/>
  <c r="J344" i="5"/>
  <c r="I344" i="5"/>
  <c r="H344" i="5"/>
  <c r="G344" i="5"/>
  <c r="E344" i="5"/>
  <c r="O344" i="5" s="1"/>
  <c r="B344" i="5"/>
  <c r="S344" i="5" s="1"/>
  <c r="Q343" i="5"/>
  <c r="L343" i="5"/>
  <c r="K343" i="5"/>
  <c r="J343" i="5"/>
  <c r="I343" i="5"/>
  <c r="H343" i="5"/>
  <c r="G343" i="5"/>
  <c r="E343" i="5"/>
  <c r="M343" i="5" s="1"/>
  <c r="B343" i="5"/>
  <c r="S343" i="5" s="1"/>
  <c r="L342" i="5"/>
  <c r="K342" i="5"/>
  <c r="J342" i="5"/>
  <c r="I342" i="5"/>
  <c r="H342" i="5"/>
  <c r="G342" i="5"/>
  <c r="E342" i="5"/>
  <c r="B342" i="5"/>
  <c r="C342" i="5" s="1"/>
  <c r="L341" i="5"/>
  <c r="K341" i="5"/>
  <c r="J341" i="5"/>
  <c r="I341" i="5"/>
  <c r="H341" i="5"/>
  <c r="G341" i="5"/>
  <c r="E341" i="5"/>
  <c r="B341" i="5"/>
  <c r="D341" i="5" s="1"/>
  <c r="L340" i="5"/>
  <c r="K340" i="5"/>
  <c r="J340" i="5"/>
  <c r="I340" i="5"/>
  <c r="H340" i="5"/>
  <c r="G340" i="5"/>
  <c r="F340" i="5"/>
  <c r="E340" i="5"/>
  <c r="M340" i="5" s="1"/>
  <c r="B340" i="5"/>
  <c r="Q339" i="5"/>
  <c r="L339" i="5"/>
  <c r="K339" i="5"/>
  <c r="J339" i="5"/>
  <c r="I339" i="5"/>
  <c r="H339" i="5"/>
  <c r="G339" i="5"/>
  <c r="E339" i="5"/>
  <c r="F339" i="5" s="1"/>
  <c r="B339" i="5"/>
  <c r="Q338" i="5"/>
  <c r="P338" i="5" s="1"/>
  <c r="L338" i="5"/>
  <c r="K338" i="5"/>
  <c r="J338" i="5"/>
  <c r="I338" i="5"/>
  <c r="H338" i="5"/>
  <c r="G338" i="5"/>
  <c r="E338" i="5"/>
  <c r="M338" i="5" s="1"/>
  <c r="B338" i="5"/>
  <c r="D338" i="5" s="1"/>
  <c r="L337" i="5"/>
  <c r="K337" i="5"/>
  <c r="J337" i="5"/>
  <c r="I337" i="5"/>
  <c r="H337" i="5"/>
  <c r="G337" i="5"/>
  <c r="E337" i="5"/>
  <c r="B337" i="5"/>
  <c r="C337" i="5" s="1"/>
  <c r="L336" i="5"/>
  <c r="K336" i="5"/>
  <c r="J336" i="5"/>
  <c r="I336" i="5"/>
  <c r="H336" i="5"/>
  <c r="G336" i="5"/>
  <c r="E336" i="5"/>
  <c r="B336" i="5"/>
  <c r="S336" i="5" s="1"/>
  <c r="L335" i="5"/>
  <c r="K335" i="5"/>
  <c r="J335" i="5"/>
  <c r="I335" i="5"/>
  <c r="H335" i="5"/>
  <c r="G335" i="5"/>
  <c r="E335" i="5"/>
  <c r="O335" i="5" s="1"/>
  <c r="B335" i="5"/>
  <c r="D335" i="5" s="1"/>
  <c r="L334" i="5"/>
  <c r="K334" i="5"/>
  <c r="J334" i="5"/>
  <c r="I334" i="5"/>
  <c r="H334" i="5"/>
  <c r="G334" i="5"/>
  <c r="E334" i="5"/>
  <c r="B334" i="5"/>
  <c r="L333" i="5"/>
  <c r="K333" i="5"/>
  <c r="J333" i="5"/>
  <c r="I333" i="5"/>
  <c r="H333" i="5"/>
  <c r="G333" i="5"/>
  <c r="E333" i="5"/>
  <c r="M333" i="5" s="1"/>
  <c r="B333" i="5"/>
  <c r="D333" i="5" s="1"/>
  <c r="L332" i="5"/>
  <c r="K332" i="5"/>
  <c r="J332" i="5"/>
  <c r="I332" i="5"/>
  <c r="H332" i="5"/>
  <c r="G332" i="5"/>
  <c r="E332" i="5"/>
  <c r="O332" i="5" s="1"/>
  <c r="B332" i="5"/>
  <c r="L331" i="5"/>
  <c r="K331" i="5"/>
  <c r="J331" i="5"/>
  <c r="I331" i="5"/>
  <c r="H331" i="5"/>
  <c r="G331" i="5"/>
  <c r="E331" i="5"/>
  <c r="B331" i="5"/>
  <c r="Q330" i="5"/>
  <c r="P330" i="5" s="1"/>
  <c r="L330" i="5"/>
  <c r="K330" i="5"/>
  <c r="J330" i="5"/>
  <c r="I330" i="5"/>
  <c r="H330" i="5"/>
  <c r="G330" i="5"/>
  <c r="E330" i="5"/>
  <c r="B330" i="5"/>
  <c r="C330" i="5" s="1"/>
  <c r="L329" i="5"/>
  <c r="K329" i="5"/>
  <c r="J329" i="5"/>
  <c r="I329" i="5"/>
  <c r="H329" i="5"/>
  <c r="G329" i="5"/>
  <c r="E329" i="5"/>
  <c r="B329" i="5"/>
  <c r="D329" i="5" s="1"/>
  <c r="L328" i="5"/>
  <c r="K328" i="5"/>
  <c r="J328" i="5"/>
  <c r="I328" i="5"/>
  <c r="H328" i="5"/>
  <c r="G328" i="5"/>
  <c r="E328" i="5"/>
  <c r="M328" i="5" s="1"/>
  <c r="B328" i="5"/>
  <c r="S328" i="5" s="1"/>
  <c r="L327" i="5"/>
  <c r="K327" i="5"/>
  <c r="J327" i="5"/>
  <c r="I327" i="5"/>
  <c r="H327" i="5"/>
  <c r="G327" i="5"/>
  <c r="E327" i="5"/>
  <c r="B327" i="5"/>
  <c r="S327" i="5" s="1"/>
  <c r="Q326" i="5"/>
  <c r="L326" i="5"/>
  <c r="K326" i="5"/>
  <c r="J326" i="5"/>
  <c r="I326" i="5"/>
  <c r="H326" i="5"/>
  <c r="G326" i="5"/>
  <c r="E326" i="5"/>
  <c r="B326" i="5"/>
  <c r="Q325" i="5"/>
  <c r="R325" i="5" s="1"/>
  <c r="L325" i="5"/>
  <c r="K325" i="5"/>
  <c r="J325" i="5"/>
  <c r="I325" i="5"/>
  <c r="H325" i="5"/>
  <c r="G325" i="5"/>
  <c r="E325" i="5"/>
  <c r="F325" i="5" s="1"/>
  <c r="B325" i="5"/>
  <c r="L324" i="5"/>
  <c r="K324" i="5"/>
  <c r="J324" i="5"/>
  <c r="I324" i="5"/>
  <c r="H324" i="5"/>
  <c r="G324" i="5"/>
  <c r="E324" i="5"/>
  <c r="M324" i="5" s="1"/>
  <c r="B324" i="5"/>
  <c r="L323" i="5"/>
  <c r="K323" i="5"/>
  <c r="J323" i="5"/>
  <c r="I323" i="5"/>
  <c r="H323" i="5"/>
  <c r="G323" i="5"/>
  <c r="E323" i="5"/>
  <c r="M323" i="5" s="1"/>
  <c r="B323" i="5"/>
  <c r="L322" i="5"/>
  <c r="K322" i="5"/>
  <c r="J322" i="5"/>
  <c r="I322" i="5"/>
  <c r="H322" i="5"/>
  <c r="G322" i="5"/>
  <c r="E322" i="5"/>
  <c r="B322" i="5"/>
  <c r="Q321" i="5"/>
  <c r="L321" i="5"/>
  <c r="K321" i="5"/>
  <c r="J321" i="5"/>
  <c r="I321" i="5"/>
  <c r="H321" i="5"/>
  <c r="G321" i="5"/>
  <c r="E321" i="5"/>
  <c r="M321" i="5" s="1"/>
  <c r="B321" i="5"/>
  <c r="D321" i="5" s="1"/>
  <c r="L320" i="5"/>
  <c r="K320" i="5"/>
  <c r="J320" i="5"/>
  <c r="I320" i="5"/>
  <c r="H320" i="5"/>
  <c r="G320" i="5"/>
  <c r="E320" i="5"/>
  <c r="F320" i="5" s="1"/>
  <c r="B320" i="5"/>
  <c r="L319" i="5"/>
  <c r="K319" i="5"/>
  <c r="J319" i="5"/>
  <c r="I319" i="5"/>
  <c r="H319" i="5"/>
  <c r="G319" i="5"/>
  <c r="E319" i="5"/>
  <c r="M319" i="5" s="1"/>
  <c r="B319" i="5"/>
  <c r="S319" i="5" s="1"/>
  <c r="L318" i="5"/>
  <c r="K318" i="5"/>
  <c r="J318" i="5"/>
  <c r="I318" i="5"/>
  <c r="H318" i="5"/>
  <c r="G318" i="5"/>
  <c r="E318" i="5"/>
  <c r="B318" i="5"/>
  <c r="L317" i="5"/>
  <c r="K317" i="5"/>
  <c r="J317" i="5"/>
  <c r="I317" i="5"/>
  <c r="H317" i="5"/>
  <c r="G317" i="5"/>
  <c r="E317" i="5"/>
  <c r="O317" i="5" s="1"/>
  <c r="B317" i="5"/>
  <c r="D317" i="5" s="1"/>
  <c r="L316" i="5"/>
  <c r="K316" i="5"/>
  <c r="J316" i="5"/>
  <c r="I316" i="5"/>
  <c r="H316" i="5"/>
  <c r="G316" i="5"/>
  <c r="E316" i="5"/>
  <c r="B316" i="5"/>
  <c r="L315" i="5"/>
  <c r="K315" i="5"/>
  <c r="J315" i="5"/>
  <c r="I315" i="5"/>
  <c r="H315" i="5"/>
  <c r="G315" i="5"/>
  <c r="E315" i="5"/>
  <c r="B315" i="5"/>
  <c r="S315" i="5" s="1"/>
  <c r="L314" i="5"/>
  <c r="K314" i="5"/>
  <c r="J314" i="5"/>
  <c r="I314" i="5"/>
  <c r="H314" i="5"/>
  <c r="G314" i="5"/>
  <c r="E314" i="5"/>
  <c r="F314" i="5" s="1"/>
  <c r="B314" i="5"/>
  <c r="C314" i="5" s="1"/>
  <c r="Q313" i="5"/>
  <c r="L313" i="5"/>
  <c r="K313" i="5"/>
  <c r="J313" i="5"/>
  <c r="I313" i="5"/>
  <c r="H313" i="5"/>
  <c r="G313" i="5"/>
  <c r="E313" i="5"/>
  <c r="B313" i="5"/>
  <c r="L312" i="5"/>
  <c r="K312" i="5"/>
  <c r="J312" i="5"/>
  <c r="I312" i="5"/>
  <c r="H312" i="5"/>
  <c r="G312" i="5"/>
  <c r="E312" i="5"/>
  <c r="O312" i="5" s="1"/>
  <c r="B312" i="5"/>
  <c r="S312" i="5" s="1"/>
  <c r="Q311" i="5"/>
  <c r="P311" i="5" s="1"/>
  <c r="L311" i="5"/>
  <c r="K311" i="5"/>
  <c r="J311" i="5"/>
  <c r="I311" i="5"/>
  <c r="H311" i="5"/>
  <c r="G311" i="5"/>
  <c r="E311" i="5"/>
  <c r="B311" i="5"/>
  <c r="D311" i="5" s="1"/>
  <c r="Q310" i="5"/>
  <c r="R310" i="5" s="1"/>
  <c r="L310" i="5"/>
  <c r="K310" i="5"/>
  <c r="J310" i="5"/>
  <c r="I310" i="5"/>
  <c r="H310" i="5"/>
  <c r="G310" i="5"/>
  <c r="E310" i="5"/>
  <c r="B310" i="5"/>
  <c r="L309" i="5"/>
  <c r="K309" i="5"/>
  <c r="J309" i="5"/>
  <c r="I309" i="5"/>
  <c r="H309" i="5"/>
  <c r="G309" i="5"/>
  <c r="E309" i="5"/>
  <c r="O309" i="5" s="1"/>
  <c r="B309" i="5"/>
  <c r="L308" i="5"/>
  <c r="K308" i="5"/>
  <c r="J308" i="5"/>
  <c r="I308" i="5"/>
  <c r="H308" i="5"/>
  <c r="G308" i="5"/>
  <c r="E308" i="5"/>
  <c r="B308" i="5"/>
  <c r="L307" i="5"/>
  <c r="K307" i="5"/>
  <c r="J307" i="5"/>
  <c r="I307" i="5"/>
  <c r="H307" i="5"/>
  <c r="G307" i="5"/>
  <c r="E307" i="5"/>
  <c r="B307" i="5"/>
  <c r="L306" i="5"/>
  <c r="K306" i="5"/>
  <c r="J306" i="5"/>
  <c r="I306" i="5"/>
  <c r="H306" i="5"/>
  <c r="G306" i="5"/>
  <c r="E306" i="5"/>
  <c r="B306" i="5"/>
  <c r="L305" i="5"/>
  <c r="K305" i="5"/>
  <c r="J305" i="5"/>
  <c r="I305" i="5"/>
  <c r="H305" i="5"/>
  <c r="G305" i="5"/>
  <c r="E305" i="5"/>
  <c r="F305" i="5" s="1"/>
  <c r="B305" i="5"/>
  <c r="D305" i="5" s="1"/>
  <c r="L304" i="5"/>
  <c r="K304" i="5"/>
  <c r="J304" i="5"/>
  <c r="I304" i="5"/>
  <c r="H304" i="5"/>
  <c r="G304" i="5"/>
  <c r="E304" i="5"/>
  <c r="B304" i="5"/>
  <c r="Q303" i="5"/>
  <c r="P303" i="5" s="1"/>
  <c r="O303" i="5"/>
  <c r="L303" i="5"/>
  <c r="K303" i="5"/>
  <c r="J303" i="5"/>
  <c r="I303" i="5"/>
  <c r="H303" i="5"/>
  <c r="G303" i="5"/>
  <c r="E303" i="5"/>
  <c r="M303" i="5" s="1"/>
  <c r="B303" i="5"/>
  <c r="S303" i="5" s="1"/>
  <c r="L302" i="5"/>
  <c r="K302" i="5"/>
  <c r="J302" i="5"/>
  <c r="I302" i="5"/>
  <c r="H302" i="5"/>
  <c r="G302" i="5"/>
  <c r="E302" i="5"/>
  <c r="O302" i="5" s="1"/>
  <c r="B302" i="5"/>
  <c r="C302" i="5" s="1"/>
  <c r="L301" i="5"/>
  <c r="K301" i="5"/>
  <c r="J301" i="5"/>
  <c r="I301" i="5"/>
  <c r="H301" i="5"/>
  <c r="G301" i="5"/>
  <c r="E301" i="5"/>
  <c r="O301" i="5" s="1"/>
  <c r="B301" i="5"/>
  <c r="L300" i="5"/>
  <c r="K300" i="5"/>
  <c r="J300" i="5"/>
  <c r="I300" i="5"/>
  <c r="H300" i="5"/>
  <c r="G300" i="5"/>
  <c r="E300" i="5"/>
  <c r="O300" i="5" s="1"/>
  <c r="B300" i="5"/>
  <c r="L299" i="5"/>
  <c r="K299" i="5"/>
  <c r="J299" i="5"/>
  <c r="I299" i="5"/>
  <c r="H299" i="5"/>
  <c r="G299" i="5"/>
  <c r="E299" i="5"/>
  <c r="M299" i="5" s="1"/>
  <c r="B299" i="5"/>
  <c r="D299" i="5" s="1"/>
  <c r="Q298" i="5"/>
  <c r="R298" i="5" s="1"/>
  <c r="L298" i="5"/>
  <c r="K298" i="5"/>
  <c r="J298" i="5"/>
  <c r="I298" i="5"/>
  <c r="H298" i="5"/>
  <c r="G298" i="5"/>
  <c r="E298" i="5"/>
  <c r="O298" i="5" s="1"/>
  <c r="B298" i="5"/>
  <c r="L297" i="5"/>
  <c r="K297" i="5"/>
  <c r="J297" i="5"/>
  <c r="I297" i="5"/>
  <c r="H297" i="5"/>
  <c r="G297" i="5"/>
  <c r="E297" i="5"/>
  <c r="O297" i="5" s="1"/>
  <c r="B297" i="5"/>
  <c r="Q296" i="5"/>
  <c r="R296" i="5" s="1"/>
  <c r="L296" i="5"/>
  <c r="K296" i="5"/>
  <c r="J296" i="5"/>
  <c r="I296" i="5"/>
  <c r="H296" i="5"/>
  <c r="G296" i="5"/>
  <c r="E296" i="5"/>
  <c r="F296" i="5" s="1"/>
  <c r="D296" i="5"/>
  <c r="B296" i="5"/>
  <c r="L295" i="5"/>
  <c r="K295" i="5"/>
  <c r="J295" i="5"/>
  <c r="I295" i="5"/>
  <c r="H295" i="5"/>
  <c r="G295" i="5"/>
  <c r="F295" i="5"/>
  <c r="E295" i="5"/>
  <c r="B295" i="5"/>
  <c r="C295" i="5" s="1"/>
  <c r="Q294" i="5"/>
  <c r="R294" i="5" s="1"/>
  <c r="L294" i="5"/>
  <c r="K294" i="5"/>
  <c r="J294" i="5"/>
  <c r="I294" i="5"/>
  <c r="H294" i="5"/>
  <c r="G294" i="5"/>
  <c r="E294" i="5"/>
  <c r="F294" i="5" s="1"/>
  <c r="B294" i="5"/>
  <c r="C294" i="5" s="1"/>
  <c r="Q293" i="5"/>
  <c r="L293" i="5"/>
  <c r="K293" i="5"/>
  <c r="J293" i="5"/>
  <c r="I293" i="5"/>
  <c r="H293" i="5"/>
  <c r="G293" i="5"/>
  <c r="E293" i="5"/>
  <c r="B293" i="5"/>
  <c r="D293" i="5" s="1"/>
  <c r="L292" i="5"/>
  <c r="K292" i="5"/>
  <c r="J292" i="5"/>
  <c r="I292" i="5"/>
  <c r="H292" i="5"/>
  <c r="G292" i="5"/>
  <c r="E292" i="5"/>
  <c r="O292" i="5" s="1"/>
  <c r="B292" i="5"/>
  <c r="S292" i="5" s="1"/>
  <c r="L291" i="5"/>
  <c r="K291" i="5"/>
  <c r="J291" i="5"/>
  <c r="I291" i="5"/>
  <c r="H291" i="5"/>
  <c r="G291" i="5"/>
  <c r="E291" i="5"/>
  <c r="C291" i="5"/>
  <c r="B291" i="5"/>
  <c r="S291" i="5" s="1"/>
  <c r="L290" i="5"/>
  <c r="K290" i="5"/>
  <c r="J290" i="5"/>
  <c r="I290" i="5"/>
  <c r="H290" i="5"/>
  <c r="G290" i="5"/>
  <c r="E290" i="5"/>
  <c r="F290" i="5" s="1"/>
  <c r="B290" i="5"/>
  <c r="C290" i="5" s="1"/>
  <c r="L289" i="5"/>
  <c r="K289" i="5"/>
  <c r="J289" i="5"/>
  <c r="I289" i="5"/>
  <c r="H289" i="5"/>
  <c r="G289" i="5"/>
  <c r="E289" i="5"/>
  <c r="B289" i="5"/>
  <c r="D289" i="5" s="1"/>
  <c r="L288" i="5"/>
  <c r="K288" i="5"/>
  <c r="J288" i="5"/>
  <c r="I288" i="5"/>
  <c r="H288" i="5"/>
  <c r="G288" i="5"/>
  <c r="E288" i="5"/>
  <c r="O288" i="5" s="1"/>
  <c r="B288" i="5"/>
  <c r="S288" i="5" s="1"/>
  <c r="L287" i="5"/>
  <c r="K287" i="5"/>
  <c r="J287" i="5"/>
  <c r="I287" i="5"/>
  <c r="H287" i="5"/>
  <c r="G287" i="5"/>
  <c r="E287" i="5"/>
  <c r="M287" i="5" s="1"/>
  <c r="B287" i="5"/>
  <c r="D287" i="5" s="1"/>
  <c r="L286" i="5"/>
  <c r="K286" i="5"/>
  <c r="J286" i="5"/>
  <c r="I286" i="5"/>
  <c r="H286" i="5"/>
  <c r="G286" i="5"/>
  <c r="E286" i="5"/>
  <c r="B286" i="5"/>
  <c r="Q285" i="5"/>
  <c r="L285" i="5"/>
  <c r="K285" i="5"/>
  <c r="J285" i="5"/>
  <c r="I285" i="5"/>
  <c r="H285" i="5"/>
  <c r="G285" i="5"/>
  <c r="E285" i="5"/>
  <c r="M285" i="5" s="1"/>
  <c r="B285" i="5"/>
  <c r="Q284" i="5"/>
  <c r="P284" i="5" s="1"/>
  <c r="L284" i="5"/>
  <c r="K284" i="5"/>
  <c r="J284" i="5"/>
  <c r="I284" i="5"/>
  <c r="H284" i="5"/>
  <c r="G284" i="5"/>
  <c r="E284" i="5"/>
  <c r="F284" i="5" s="1"/>
  <c r="B284" i="5"/>
  <c r="C284" i="5" s="1"/>
  <c r="L283" i="5"/>
  <c r="K283" i="5"/>
  <c r="J283" i="5"/>
  <c r="I283" i="5"/>
  <c r="H283" i="5"/>
  <c r="G283" i="5"/>
  <c r="E283" i="5"/>
  <c r="B283" i="5"/>
  <c r="Q282" i="5"/>
  <c r="R282" i="5" s="1"/>
  <c r="L282" i="5"/>
  <c r="K282" i="5"/>
  <c r="J282" i="5"/>
  <c r="I282" i="5"/>
  <c r="H282" i="5"/>
  <c r="G282" i="5"/>
  <c r="E282" i="5"/>
  <c r="B282" i="5"/>
  <c r="S282" i="5" s="1"/>
  <c r="Q281" i="5"/>
  <c r="P281" i="5" s="1"/>
  <c r="L281" i="5"/>
  <c r="K281" i="5"/>
  <c r="J281" i="5"/>
  <c r="I281" i="5"/>
  <c r="H281" i="5"/>
  <c r="G281" i="5"/>
  <c r="E281" i="5"/>
  <c r="M281" i="5" s="1"/>
  <c r="B281" i="5"/>
  <c r="C281" i="5" s="1"/>
  <c r="Q280" i="5"/>
  <c r="L280" i="5"/>
  <c r="K280" i="5"/>
  <c r="J280" i="5"/>
  <c r="I280" i="5"/>
  <c r="H280" i="5"/>
  <c r="G280" i="5"/>
  <c r="E280" i="5"/>
  <c r="B280" i="5"/>
  <c r="S280" i="5" s="1"/>
  <c r="Q279" i="5"/>
  <c r="R279" i="5" s="1"/>
  <c r="L279" i="5"/>
  <c r="K279" i="5"/>
  <c r="J279" i="5"/>
  <c r="I279" i="5"/>
  <c r="H279" i="5"/>
  <c r="G279" i="5"/>
  <c r="E279" i="5"/>
  <c r="O279" i="5" s="1"/>
  <c r="B279" i="5"/>
  <c r="D279" i="5" s="1"/>
  <c r="S278" i="5"/>
  <c r="Q278" i="5"/>
  <c r="L278" i="5"/>
  <c r="K278" i="5"/>
  <c r="J278" i="5"/>
  <c r="I278" i="5"/>
  <c r="H278" i="5"/>
  <c r="G278" i="5"/>
  <c r="E278" i="5"/>
  <c r="F278" i="5" s="1"/>
  <c r="B278" i="5"/>
  <c r="D278" i="5" s="1"/>
  <c r="Q277" i="5"/>
  <c r="R277" i="5" s="1"/>
  <c r="L277" i="5"/>
  <c r="K277" i="5"/>
  <c r="J277" i="5"/>
  <c r="I277" i="5"/>
  <c r="H277" i="5"/>
  <c r="G277" i="5"/>
  <c r="E277" i="5"/>
  <c r="O277" i="5" s="1"/>
  <c r="D277" i="5"/>
  <c r="B277" i="5"/>
  <c r="Q276" i="5"/>
  <c r="R276" i="5" s="1"/>
  <c r="L276" i="5"/>
  <c r="K276" i="5"/>
  <c r="J276" i="5"/>
  <c r="I276" i="5"/>
  <c r="H276" i="5"/>
  <c r="G276" i="5"/>
  <c r="E276" i="5"/>
  <c r="B276" i="5"/>
  <c r="L275" i="5"/>
  <c r="K275" i="5"/>
  <c r="J275" i="5"/>
  <c r="I275" i="5"/>
  <c r="H275" i="5"/>
  <c r="G275" i="5"/>
  <c r="E275" i="5"/>
  <c r="F275" i="5" s="1"/>
  <c r="B275" i="5"/>
  <c r="C275" i="5" s="1"/>
  <c r="L274" i="5"/>
  <c r="K274" i="5"/>
  <c r="J274" i="5"/>
  <c r="I274" i="5"/>
  <c r="H274" i="5"/>
  <c r="G274" i="5"/>
  <c r="E274" i="5"/>
  <c r="O274" i="5" s="1"/>
  <c r="B274" i="5"/>
  <c r="S274" i="5" s="1"/>
  <c r="Q273" i="5"/>
  <c r="L273" i="5"/>
  <c r="K273" i="5"/>
  <c r="J273" i="5"/>
  <c r="I273" i="5"/>
  <c r="H273" i="5"/>
  <c r="G273" i="5"/>
  <c r="E273" i="5"/>
  <c r="B273" i="5"/>
  <c r="Q272" i="5"/>
  <c r="P272" i="5" s="1"/>
  <c r="L272" i="5"/>
  <c r="K272" i="5"/>
  <c r="J272" i="5"/>
  <c r="I272" i="5"/>
  <c r="H272" i="5"/>
  <c r="G272" i="5"/>
  <c r="E272" i="5"/>
  <c r="F272" i="5" s="1"/>
  <c r="B272" i="5"/>
  <c r="C272" i="5" s="1"/>
  <c r="L271" i="5"/>
  <c r="K271" i="5"/>
  <c r="J271" i="5"/>
  <c r="I271" i="5"/>
  <c r="H271" i="5"/>
  <c r="G271" i="5"/>
  <c r="E271" i="5"/>
  <c r="B271" i="5"/>
  <c r="L270" i="5"/>
  <c r="K270" i="5"/>
  <c r="J270" i="5"/>
  <c r="I270" i="5"/>
  <c r="H270" i="5"/>
  <c r="G270" i="5"/>
  <c r="E270" i="5"/>
  <c r="M270" i="5" s="1"/>
  <c r="B270" i="5"/>
  <c r="C270" i="5" s="1"/>
  <c r="Q269" i="5"/>
  <c r="R269" i="5" s="1"/>
  <c r="L269" i="5"/>
  <c r="K269" i="5"/>
  <c r="J269" i="5"/>
  <c r="I269" i="5"/>
  <c r="H269" i="5"/>
  <c r="G269" i="5"/>
  <c r="E269" i="5"/>
  <c r="B269" i="5"/>
  <c r="S269" i="5" s="1"/>
  <c r="L268" i="5"/>
  <c r="K268" i="5"/>
  <c r="J268" i="5"/>
  <c r="I268" i="5"/>
  <c r="H268" i="5"/>
  <c r="G268" i="5"/>
  <c r="E268" i="5"/>
  <c r="B268" i="5"/>
  <c r="C268" i="5" s="1"/>
  <c r="L267" i="5"/>
  <c r="K267" i="5"/>
  <c r="J267" i="5"/>
  <c r="I267" i="5"/>
  <c r="H267" i="5"/>
  <c r="G267" i="5"/>
  <c r="E267" i="5"/>
  <c r="B267" i="5"/>
  <c r="L266" i="5"/>
  <c r="K266" i="5"/>
  <c r="J266" i="5"/>
  <c r="I266" i="5"/>
  <c r="H266" i="5"/>
  <c r="G266" i="5"/>
  <c r="F266" i="5"/>
  <c r="E266" i="5"/>
  <c r="B266" i="5"/>
  <c r="S266" i="5" s="1"/>
  <c r="L265" i="5"/>
  <c r="K265" i="5"/>
  <c r="J265" i="5"/>
  <c r="I265" i="5"/>
  <c r="H265" i="5"/>
  <c r="G265" i="5"/>
  <c r="E265" i="5"/>
  <c r="M265" i="5" s="1"/>
  <c r="B265" i="5"/>
  <c r="D265" i="5" s="1"/>
  <c r="L264" i="5"/>
  <c r="K264" i="5"/>
  <c r="J264" i="5"/>
  <c r="I264" i="5"/>
  <c r="H264" i="5"/>
  <c r="G264" i="5"/>
  <c r="E264" i="5"/>
  <c r="B264" i="5"/>
  <c r="C264" i="5" s="1"/>
  <c r="L263" i="5"/>
  <c r="K263" i="5"/>
  <c r="J263" i="5"/>
  <c r="I263" i="5"/>
  <c r="H263" i="5"/>
  <c r="G263" i="5"/>
  <c r="E263" i="5"/>
  <c r="B263" i="5"/>
  <c r="D263" i="5" s="1"/>
  <c r="Q262" i="5"/>
  <c r="L262" i="5"/>
  <c r="K262" i="5"/>
  <c r="J262" i="5"/>
  <c r="I262" i="5"/>
  <c r="H262" i="5"/>
  <c r="G262" i="5"/>
  <c r="E262" i="5"/>
  <c r="F262" i="5" s="1"/>
  <c r="B262" i="5"/>
  <c r="L261" i="5"/>
  <c r="K261" i="5"/>
  <c r="J261" i="5"/>
  <c r="I261" i="5"/>
  <c r="H261" i="5"/>
  <c r="G261" i="5"/>
  <c r="E261" i="5"/>
  <c r="F261" i="5" s="1"/>
  <c r="B261" i="5"/>
  <c r="L260" i="5"/>
  <c r="K260" i="5"/>
  <c r="J260" i="5"/>
  <c r="I260" i="5"/>
  <c r="H260" i="5"/>
  <c r="G260" i="5"/>
  <c r="E260" i="5"/>
  <c r="M260" i="5" s="1"/>
  <c r="B260" i="5"/>
  <c r="L259" i="5"/>
  <c r="K259" i="5"/>
  <c r="J259" i="5"/>
  <c r="I259" i="5"/>
  <c r="H259" i="5"/>
  <c r="G259" i="5"/>
  <c r="E259" i="5"/>
  <c r="B259" i="5"/>
  <c r="D259" i="5" s="1"/>
  <c r="Q258" i="5"/>
  <c r="P258" i="5" s="1"/>
  <c r="L258" i="5"/>
  <c r="K258" i="5"/>
  <c r="J258" i="5"/>
  <c r="I258" i="5"/>
  <c r="H258" i="5"/>
  <c r="G258" i="5"/>
  <c r="E258" i="5"/>
  <c r="F258" i="5" s="1"/>
  <c r="B258" i="5"/>
  <c r="C258" i="5" s="1"/>
  <c r="L257" i="5"/>
  <c r="K257" i="5"/>
  <c r="J257" i="5"/>
  <c r="I257" i="5"/>
  <c r="H257" i="5"/>
  <c r="G257" i="5"/>
  <c r="E257" i="5"/>
  <c r="B257" i="5"/>
  <c r="D257" i="5" s="1"/>
  <c r="L256" i="5"/>
  <c r="K256" i="5"/>
  <c r="J256" i="5"/>
  <c r="I256" i="5"/>
  <c r="H256" i="5"/>
  <c r="G256" i="5"/>
  <c r="E256" i="5"/>
  <c r="M256" i="5" s="1"/>
  <c r="B256" i="5"/>
  <c r="C256" i="5" s="1"/>
  <c r="L255" i="5"/>
  <c r="K255" i="5"/>
  <c r="J255" i="5"/>
  <c r="I255" i="5"/>
  <c r="H255" i="5"/>
  <c r="G255" i="5"/>
  <c r="E255" i="5"/>
  <c r="M255" i="5" s="1"/>
  <c r="B255" i="5"/>
  <c r="S255" i="5" s="1"/>
  <c r="L254" i="5"/>
  <c r="K254" i="5"/>
  <c r="J254" i="5"/>
  <c r="I254" i="5"/>
  <c r="H254" i="5"/>
  <c r="G254" i="5"/>
  <c r="E254" i="5"/>
  <c r="B254" i="5"/>
  <c r="C254" i="5" s="1"/>
  <c r="Q253" i="5"/>
  <c r="R253" i="5" s="1"/>
  <c r="L253" i="5"/>
  <c r="K253" i="5"/>
  <c r="J253" i="5"/>
  <c r="I253" i="5"/>
  <c r="H253" i="5"/>
  <c r="G253" i="5"/>
  <c r="F253" i="5"/>
  <c r="E253" i="5"/>
  <c r="M253" i="5" s="1"/>
  <c r="B253" i="5"/>
  <c r="Q252" i="5"/>
  <c r="L252" i="5"/>
  <c r="K252" i="5"/>
  <c r="J252" i="5"/>
  <c r="I252" i="5"/>
  <c r="H252" i="5"/>
  <c r="G252" i="5"/>
  <c r="E252" i="5"/>
  <c r="M252" i="5" s="1"/>
  <c r="B252" i="5"/>
  <c r="S252" i="5" s="1"/>
  <c r="L251" i="5"/>
  <c r="K251" i="5"/>
  <c r="J251" i="5"/>
  <c r="I251" i="5"/>
  <c r="H251" i="5"/>
  <c r="G251" i="5"/>
  <c r="E251" i="5"/>
  <c r="B251" i="5"/>
  <c r="S251" i="5" s="1"/>
  <c r="L250" i="5"/>
  <c r="K250" i="5"/>
  <c r="J250" i="5"/>
  <c r="I250" i="5"/>
  <c r="H250" i="5"/>
  <c r="G250" i="5"/>
  <c r="E250" i="5"/>
  <c r="B250" i="5"/>
  <c r="D250" i="5" s="1"/>
  <c r="L249" i="5"/>
  <c r="K249" i="5"/>
  <c r="J249" i="5"/>
  <c r="I249" i="5"/>
  <c r="H249" i="5"/>
  <c r="G249" i="5"/>
  <c r="E249" i="5"/>
  <c r="O249" i="5" s="1"/>
  <c r="B249" i="5"/>
  <c r="D249" i="5" s="1"/>
  <c r="L248" i="5"/>
  <c r="K248" i="5"/>
  <c r="J248" i="5"/>
  <c r="I248" i="5"/>
  <c r="H248" i="5"/>
  <c r="G248" i="5"/>
  <c r="E248" i="5"/>
  <c r="F248" i="5" s="1"/>
  <c r="B248" i="5"/>
  <c r="L247" i="5"/>
  <c r="K247" i="5"/>
  <c r="J247" i="5"/>
  <c r="I247" i="5"/>
  <c r="H247" i="5"/>
  <c r="G247" i="5"/>
  <c r="E247" i="5"/>
  <c r="F247" i="5" s="1"/>
  <c r="B247" i="5"/>
  <c r="D247" i="5" s="1"/>
  <c r="L246" i="5"/>
  <c r="K246" i="5"/>
  <c r="J246" i="5"/>
  <c r="I246" i="5"/>
  <c r="H246" i="5"/>
  <c r="G246" i="5"/>
  <c r="E246" i="5"/>
  <c r="O246" i="5" s="1"/>
  <c r="B246" i="5"/>
  <c r="L245" i="5"/>
  <c r="K245" i="5"/>
  <c r="J245" i="5"/>
  <c r="I245" i="5"/>
  <c r="H245" i="5"/>
  <c r="G245" i="5"/>
  <c r="E245" i="5"/>
  <c r="B245" i="5"/>
  <c r="L244" i="5"/>
  <c r="K244" i="5"/>
  <c r="J244" i="5"/>
  <c r="I244" i="5"/>
  <c r="H244" i="5"/>
  <c r="G244" i="5"/>
  <c r="E244" i="5"/>
  <c r="O244" i="5" s="1"/>
  <c r="B244" i="5"/>
  <c r="D244" i="5" s="1"/>
  <c r="Q243" i="5"/>
  <c r="P243" i="5" s="1"/>
  <c r="L243" i="5"/>
  <c r="K243" i="5"/>
  <c r="J243" i="5"/>
  <c r="I243" i="5"/>
  <c r="H243" i="5"/>
  <c r="G243" i="5"/>
  <c r="E243" i="5"/>
  <c r="O243" i="5" s="1"/>
  <c r="B243" i="5"/>
  <c r="S243" i="5" s="1"/>
  <c r="L242" i="5"/>
  <c r="K242" i="5"/>
  <c r="J242" i="5"/>
  <c r="I242" i="5"/>
  <c r="H242" i="5"/>
  <c r="G242" i="5"/>
  <c r="E242" i="5"/>
  <c r="B242" i="5"/>
  <c r="C242" i="5" s="1"/>
  <c r="L241" i="5"/>
  <c r="K241" i="5"/>
  <c r="J241" i="5"/>
  <c r="I241" i="5"/>
  <c r="H241" i="5"/>
  <c r="G241" i="5"/>
  <c r="E241" i="5"/>
  <c r="O241" i="5" s="1"/>
  <c r="B241" i="5"/>
  <c r="L240" i="5"/>
  <c r="K240" i="5"/>
  <c r="J240" i="5"/>
  <c r="I240" i="5"/>
  <c r="H240" i="5"/>
  <c r="G240" i="5"/>
  <c r="E240" i="5"/>
  <c r="O240" i="5" s="1"/>
  <c r="B240" i="5"/>
  <c r="L239" i="5"/>
  <c r="K239" i="5"/>
  <c r="J239" i="5"/>
  <c r="I239" i="5"/>
  <c r="H239" i="5"/>
  <c r="G239" i="5"/>
  <c r="E239" i="5"/>
  <c r="O239" i="5" s="1"/>
  <c r="B239" i="5"/>
  <c r="L238" i="5"/>
  <c r="K238" i="5"/>
  <c r="J238" i="5"/>
  <c r="I238" i="5"/>
  <c r="H238" i="5"/>
  <c r="G238" i="5"/>
  <c r="E238" i="5"/>
  <c r="B238" i="5"/>
  <c r="L237" i="5"/>
  <c r="K237" i="5"/>
  <c r="J237" i="5"/>
  <c r="I237" i="5"/>
  <c r="H237" i="5"/>
  <c r="G237" i="5"/>
  <c r="E237" i="5"/>
  <c r="B237" i="5"/>
  <c r="S237" i="5" s="1"/>
  <c r="L236" i="5"/>
  <c r="K236" i="5"/>
  <c r="J236" i="5"/>
  <c r="I236" i="5"/>
  <c r="H236" i="5"/>
  <c r="G236" i="5"/>
  <c r="E236" i="5"/>
  <c r="B236" i="5"/>
  <c r="S236" i="5" s="1"/>
  <c r="L235" i="5"/>
  <c r="K235" i="5"/>
  <c r="J235" i="5"/>
  <c r="I235" i="5"/>
  <c r="H235" i="5"/>
  <c r="G235" i="5"/>
  <c r="E235" i="5"/>
  <c r="B235" i="5"/>
  <c r="L234" i="5"/>
  <c r="K234" i="5"/>
  <c r="J234" i="5"/>
  <c r="I234" i="5"/>
  <c r="H234" i="5"/>
  <c r="G234" i="5"/>
  <c r="E234" i="5"/>
  <c r="O234" i="5" s="1"/>
  <c r="B234" i="5"/>
  <c r="S234" i="5" s="1"/>
  <c r="L233" i="5"/>
  <c r="K233" i="5"/>
  <c r="J233" i="5"/>
  <c r="I233" i="5"/>
  <c r="H233" i="5"/>
  <c r="G233" i="5"/>
  <c r="E233" i="5"/>
  <c r="O233" i="5" s="1"/>
  <c r="B233" i="5"/>
  <c r="D233" i="5" s="1"/>
  <c r="N233" i="5" s="1"/>
  <c r="L232" i="5"/>
  <c r="K232" i="5"/>
  <c r="J232" i="5"/>
  <c r="I232" i="5"/>
  <c r="H232" i="5"/>
  <c r="G232" i="5"/>
  <c r="E232" i="5"/>
  <c r="M232" i="5" s="1"/>
  <c r="B232" i="5"/>
  <c r="C232" i="5" s="1"/>
  <c r="L231" i="5"/>
  <c r="K231" i="5"/>
  <c r="J231" i="5"/>
  <c r="I231" i="5"/>
  <c r="H231" i="5"/>
  <c r="G231" i="5"/>
  <c r="E231" i="5"/>
  <c r="O231" i="5" s="1"/>
  <c r="B231" i="5"/>
  <c r="D231" i="5" s="1"/>
  <c r="N231" i="5" s="1"/>
  <c r="L230" i="5"/>
  <c r="K230" i="5"/>
  <c r="J230" i="5"/>
  <c r="I230" i="5"/>
  <c r="H230" i="5"/>
  <c r="G230" i="5"/>
  <c r="E230" i="5"/>
  <c r="B230" i="5"/>
  <c r="Q229" i="5"/>
  <c r="R229" i="5" s="1"/>
  <c r="L229" i="5"/>
  <c r="K229" i="5"/>
  <c r="J229" i="5"/>
  <c r="I229" i="5"/>
  <c r="H229" i="5"/>
  <c r="G229" i="5"/>
  <c r="E229" i="5"/>
  <c r="F229" i="5" s="1"/>
  <c r="B229" i="5"/>
  <c r="C229" i="5" s="1"/>
  <c r="L228" i="5"/>
  <c r="K228" i="5"/>
  <c r="J228" i="5"/>
  <c r="I228" i="5"/>
  <c r="H228" i="5"/>
  <c r="G228" i="5"/>
  <c r="F228" i="5"/>
  <c r="E228" i="5"/>
  <c r="M228" i="5" s="1"/>
  <c r="B228" i="5"/>
  <c r="C228" i="5" s="1"/>
  <c r="L227" i="5"/>
  <c r="K227" i="5"/>
  <c r="J227" i="5"/>
  <c r="I227" i="5"/>
  <c r="H227" i="5"/>
  <c r="G227" i="5"/>
  <c r="E227" i="5"/>
  <c r="F227" i="5" s="1"/>
  <c r="B227" i="5"/>
  <c r="D227" i="5" s="1"/>
  <c r="L226" i="5"/>
  <c r="K226" i="5"/>
  <c r="J226" i="5"/>
  <c r="I226" i="5"/>
  <c r="H226" i="5"/>
  <c r="G226" i="5"/>
  <c r="E226" i="5"/>
  <c r="O226" i="5" s="1"/>
  <c r="B226" i="5"/>
  <c r="C226" i="5" s="1"/>
  <c r="L225" i="5"/>
  <c r="K225" i="5"/>
  <c r="J225" i="5"/>
  <c r="I225" i="5"/>
  <c r="H225" i="5"/>
  <c r="G225" i="5"/>
  <c r="E225" i="5"/>
  <c r="B225" i="5"/>
  <c r="C225" i="5" s="1"/>
  <c r="L224" i="5"/>
  <c r="K224" i="5"/>
  <c r="J224" i="5"/>
  <c r="I224" i="5"/>
  <c r="H224" i="5"/>
  <c r="G224" i="5"/>
  <c r="E224" i="5"/>
  <c r="B224" i="5"/>
  <c r="L223" i="5"/>
  <c r="K223" i="5"/>
  <c r="J223" i="5"/>
  <c r="I223" i="5"/>
  <c r="H223" i="5"/>
  <c r="G223" i="5"/>
  <c r="E223" i="5"/>
  <c r="B223" i="5"/>
  <c r="L222" i="5"/>
  <c r="K222" i="5"/>
  <c r="J222" i="5"/>
  <c r="I222" i="5"/>
  <c r="H222" i="5"/>
  <c r="G222" i="5"/>
  <c r="E222" i="5"/>
  <c r="B222" i="5"/>
  <c r="C222" i="5" s="1"/>
  <c r="L221" i="5"/>
  <c r="K221" i="5"/>
  <c r="J221" i="5"/>
  <c r="I221" i="5"/>
  <c r="H221" i="5"/>
  <c r="G221" i="5"/>
  <c r="E221" i="5"/>
  <c r="B221" i="5"/>
  <c r="C221" i="5" s="1"/>
  <c r="L220" i="5"/>
  <c r="K220" i="5"/>
  <c r="J220" i="5"/>
  <c r="I220" i="5"/>
  <c r="H220" i="5"/>
  <c r="G220" i="5"/>
  <c r="E220" i="5"/>
  <c r="B220" i="5"/>
  <c r="L219" i="5"/>
  <c r="K219" i="5"/>
  <c r="J219" i="5"/>
  <c r="I219" i="5"/>
  <c r="H219" i="5"/>
  <c r="G219" i="5"/>
  <c r="E219" i="5"/>
  <c r="B219" i="5"/>
  <c r="C219" i="5" s="1"/>
  <c r="L218" i="5"/>
  <c r="K218" i="5"/>
  <c r="J218" i="5"/>
  <c r="I218" i="5"/>
  <c r="H218" i="5"/>
  <c r="G218" i="5"/>
  <c r="E218" i="5"/>
  <c r="B218" i="5"/>
  <c r="L217" i="5"/>
  <c r="K217" i="5"/>
  <c r="J217" i="5"/>
  <c r="I217" i="5"/>
  <c r="H217" i="5"/>
  <c r="G217" i="5"/>
  <c r="E217" i="5"/>
  <c r="B217" i="5"/>
  <c r="D217" i="5" s="1"/>
  <c r="L216" i="5"/>
  <c r="K216" i="5"/>
  <c r="J216" i="5"/>
  <c r="I216" i="5"/>
  <c r="H216" i="5"/>
  <c r="G216" i="5"/>
  <c r="E216" i="5"/>
  <c r="O216" i="5" s="1"/>
  <c r="B216" i="5"/>
  <c r="C216" i="5" s="1"/>
  <c r="L215" i="5"/>
  <c r="K215" i="5"/>
  <c r="J215" i="5"/>
  <c r="I215" i="5"/>
  <c r="H215" i="5"/>
  <c r="G215" i="5"/>
  <c r="F215" i="5"/>
  <c r="E215" i="5"/>
  <c r="M215" i="5" s="1"/>
  <c r="B215" i="5"/>
  <c r="L214" i="5"/>
  <c r="K214" i="5"/>
  <c r="J214" i="5"/>
  <c r="I214" i="5"/>
  <c r="H214" i="5"/>
  <c r="G214" i="5"/>
  <c r="E214" i="5"/>
  <c r="M214" i="5" s="1"/>
  <c r="B214" i="5"/>
  <c r="C214" i="5" s="1"/>
  <c r="L213" i="5"/>
  <c r="K213" i="5"/>
  <c r="J213" i="5"/>
  <c r="I213" i="5"/>
  <c r="H213" i="5"/>
  <c r="G213" i="5"/>
  <c r="E213" i="5"/>
  <c r="O213" i="5" s="1"/>
  <c r="B213" i="5"/>
  <c r="D213" i="5" s="1"/>
  <c r="L212" i="5"/>
  <c r="K212" i="5"/>
  <c r="J212" i="5"/>
  <c r="I212" i="5"/>
  <c r="H212" i="5"/>
  <c r="G212" i="5"/>
  <c r="E212" i="5"/>
  <c r="B212" i="5"/>
  <c r="D212" i="5" s="1"/>
  <c r="Q211" i="5"/>
  <c r="R211" i="5" s="1"/>
  <c r="L211" i="5"/>
  <c r="K211" i="5"/>
  <c r="J211" i="5"/>
  <c r="I211" i="5"/>
  <c r="H211" i="5"/>
  <c r="G211" i="5"/>
  <c r="E211" i="5"/>
  <c r="F211" i="5" s="1"/>
  <c r="B211" i="5"/>
  <c r="C211" i="5" s="1"/>
  <c r="L210" i="5"/>
  <c r="K210" i="5"/>
  <c r="J210" i="5"/>
  <c r="I210" i="5"/>
  <c r="H210" i="5"/>
  <c r="G210" i="5"/>
  <c r="E210" i="5"/>
  <c r="M210" i="5" s="1"/>
  <c r="B210" i="5"/>
  <c r="C210" i="5" s="1"/>
  <c r="L209" i="5"/>
  <c r="K209" i="5"/>
  <c r="J209" i="5"/>
  <c r="I209" i="5"/>
  <c r="H209" i="5"/>
  <c r="G209" i="5"/>
  <c r="E209" i="5"/>
  <c r="F209" i="5" s="1"/>
  <c r="B209" i="5"/>
  <c r="S209" i="5" s="1"/>
  <c r="L208" i="5"/>
  <c r="K208" i="5"/>
  <c r="J208" i="5"/>
  <c r="I208" i="5"/>
  <c r="H208" i="5"/>
  <c r="G208" i="5"/>
  <c r="E208" i="5"/>
  <c r="B208" i="5"/>
  <c r="L207" i="5"/>
  <c r="K207" i="5"/>
  <c r="J207" i="5"/>
  <c r="I207" i="5"/>
  <c r="H207" i="5"/>
  <c r="G207" i="5"/>
  <c r="E207" i="5"/>
  <c r="B207" i="5"/>
  <c r="D207" i="5" s="1"/>
  <c r="L206" i="5"/>
  <c r="K206" i="5"/>
  <c r="J206" i="5"/>
  <c r="I206" i="5"/>
  <c r="H206" i="5"/>
  <c r="G206" i="5"/>
  <c r="E206" i="5"/>
  <c r="B206" i="5"/>
  <c r="S206" i="5" s="1"/>
  <c r="L205" i="5"/>
  <c r="K205" i="5"/>
  <c r="J205" i="5"/>
  <c r="I205" i="5"/>
  <c r="H205" i="5"/>
  <c r="G205" i="5"/>
  <c r="E205" i="5"/>
  <c r="F205" i="5" s="1"/>
  <c r="B205" i="5"/>
  <c r="D205" i="5" s="1"/>
  <c r="L204" i="5"/>
  <c r="K204" i="5"/>
  <c r="J204" i="5"/>
  <c r="I204" i="5"/>
  <c r="H204" i="5"/>
  <c r="G204" i="5"/>
  <c r="E204" i="5"/>
  <c r="O204" i="5" s="1"/>
  <c r="B204" i="5"/>
  <c r="C204" i="5" s="1"/>
  <c r="L203" i="5"/>
  <c r="K203" i="5"/>
  <c r="J203" i="5"/>
  <c r="I203" i="5"/>
  <c r="H203" i="5"/>
  <c r="G203" i="5"/>
  <c r="E203" i="5"/>
  <c r="F203" i="5" s="1"/>
  <c r="B203" i="5"/>
  <c r="C203" i="5" s="1"/>
  <c r="L202" i="5"/>
  <c r="K202" i="5"/>
  <c r="J202" i="5"/>
  <c r="I202" i="5"/>
  <c r="H202" i="5"/>
  <c r="G202" i="5"/>
  <c r="E202" i="5"/>
  <c r="M202" i="5" s="1"/>
  <c r="B202" i="5"/>
  <c r="L201" i="5"/>
  <c r="K201" i="5"/>
  <c r="J201" i="5"/>
  <c r="I201" i="5"/>
  <c r="H201" i="5"/>
  <c r="G201" i="5"/>
  <c r="E201" i="5"/>
  <c r="O201" i="5" s="1"/>
  <c r="B201" i="5"/>
  <c r="L200" i="5"/>
  <c r="K200" i="5"/>
  <c r="J200" i="5"/>
  <c r="I200" i="5"/>
  <c r="H200" i="5"/>
  <c r="G200" i="5"/>
  <c r="E200" i="5"/>
  <c r="O200" i="5" s="1"/>
  <c r="B200" i="5"/>
  <c r="L199" i="5"/>
  <c r="K199" i="5"/>
  <c r="J199" i="5"/>
  <c r="I199" i="5"/>
  <c r="H199" i="5"/>
  <c r="G199" i="5"/>
  <c r="E199" i="5"/>
  <c r="B199" i="5"/>
  <c r="C199" i="5" s="1"/>
  <c r="L198" i="5"/>
  <c r="K198" i="5"/>
  <c r="J198" i="5"/>
  <c r="I198" i="5"/>
  <c r="H198" i="5"/>
  <c r="G198" i="5"/>
  <c r="E198" i="5"/>
  <c r="B198" i="5"/>
  <c r="D198" i="5" s="1"/>
  <c r="Q197" i="5"/>
  <c r="R197" i="5" s="1"/>
  <c r="L197" i="5"/>
  <c r="K197" i="5"/>
  <c r="J197" i="5"/>
  <c r="I197" i="5"/>
  <c r="H197" i="5"/>
  <c r="G197" i="5"/>
  <c r="E197" i="5"/>
  <c r="B197" i="5"/>
  <c r="C197" i="5" s="1"/>
  <c r="L196" i="5"/>
  <c r="K196" i="5"/>
  <c r="J196" i="5"/>
  <c r="I196" i="5"/>
  <c r="H196" i="5"/>
  <c r="G196" i="5"/>
  <c r="E196" i="5"/>
  <c r="B196" i="5"/>
  <c r="S196" i="5" s="1"/>
  <c r="L195" i="5"/>
  <c r="K195" i="5"/>
  <c r="J195" i="5"/>
  <c r="I195" i="5"/>
  <c r="H195" i="5"/>
  <c r="G195" i="5"/>
  <c r="E195" i="5"/>
  <c r="O195" i="5" s="1"/>
  <c r="B195" i="5"/>
  <c r="L194" i="5"/>
  <c r="K194" i="5"/>
  <c r="J194" i="5"/>
  <c r="I194" i="5"/>
  <c r="H194" i="5"/>
  <c r="G194" i="5"/>
  <c r="E194" i="5"/>
  <c r="B194" i="5"/>
  <c r="C194" i="5" s="1"/>
  <c r="L193" i="5"/>
  <c r="K193" i="5"/>
  <c r="J193" i="5"/>
  <c r="I193" i="5"/>
  <c r="H193" i="5"/>
  <c r="G193" i="5"/>
  <c r="E193" i="5"/>
  <c r="O193" i="5" s="1"/>
  <c r="B193" i="5"/>
  <c r="D193" i="5" s="1"/>
  <c r="Q192" i="5"/>
  <c r="P192" i="5" s="1"/>
  <c r="L192" i="5"/>
  <c r="K192" i="5"/>
  <c r="J192" i="5"/>
  <c r="I192" i="5"/>
  <c r="H192" i="5"/>
  <c r="G192" i="5"/>
  <c r="E192" i="5"/>
  <c r="M192" i="5" s="1"/>
  <c r="B192" i="5"/>
  <c r="C192" i="5" s="1"/>
  <c r="L191" i="5"/>
  <c r="K191" i="5"/>
  <c r="J191" i="5"/>
  <c r="I191" i="5"/>
  <c r="H191" i="5"/>
  <c r="G191" i="5"/>
  <c r="E191" i="5"/>
  <c r="O191" i="5" s="1"/>
  <c r="B191" i="5"/>
  <c r="S191" i="5" s="1"/>
  <c r="L190" i="5"/>
  <c r="K190" i="5"/>
  <c r="J190" i="5"/>
  <c r="I190" i="5"/>
  <c r="H190" i="5"/>
  <c r="G190" i="5"/>
  <c r="E190" i="5"/>
  <c r="B190" i="5"/>
  <c r="L189" i="5"/>
  <c r="K189" i="5"/>
  <c r="J189" i="5"/>
  <c r="I189" i="5"/>
  <c r="H189" i="5"/>
  <c r="G189" i="5"/>
  <c r="E189" i="5"/>
  <c r="B189" i="5"/>
  <c r="S189" i="5" s="1"/>
  <c r="L188" i="5"/>
  <c r="K188" i="5"/>
  <c r="J188" i="5"/>
  <c r="I188" i="5"/>
  <c r="H188" i="5"/>
  <c r="G188" i="5"/>
  <c r="E188" i="5"/>
  <c r="O188" i="5" s="1"/>
  <c r="B188" i="5"/>
  <c r="Q187" i="5"/>
  <c r="R187" i="5" s="1"/>
  <c r="L187" i="5"/>
  <c r="K187" i="5"/>
  <c r="J187" i="5"/>
  <c r="I187" i="5"/>
  <c r="H187" i="5"/>
  <c r="G187" i="5"/>
  <c r="E187" i="5"/>
  <c r="B187" i="5"/>
  <c r="D187" i="5" s="1"/>
  <c r="Q186" i="5"/>
  <c r="L186" i="5"/>
  <c r="K186" i="5"/>
  <c r="J186" i="5"/>
  <c r="I186" i="5"/>
  <c r="H186" i="5"/>
  <c r="G186" i="5"/>
  <c r="E186" i="5"/>
  <c r="M186" i="5" s="1"/>
  <c r="B186" i="5"/>
  <c r="L185" i="5"/>
  <c r="K185" i="5"/>
  <c r="J185" i="5"/>
  <c r="I185" i="5"/>
  <c r="H185" i="5"/>
  <c r="G185" i="5"/>
  <c r="E185" i="5"/>
  <c r="M185" i="5" s="1"/>
  <c r="B185" i="5"/>
  <c r="D185" i="5" s="1"/>
  <c r="Q184" i="5"/>
  <c r="P184" i="5" s="1"/>
  <c r="L184" i="5"/>
  <c r="K184" i="5"/>
  <c r="J184" i="5"/>
  <c r="I184" i="5"/>
  <c r="H184" i="5"/>
  <c r="G184" i="5"/>
  <c r="E184" i="5"/>
  <c r="M184" i="5" s="1"/>
  <c r="B184" i="5"/>
  <c r="S184" i="5" s="1"/>
  <c r="Q183" i="5"/>
  <c r="P183" i="5" s="1"/>
  <c r="L183" i="5"/>
  <c r="K183" i="5"/>
  <c r="J183" i="5"/>
  <c r="I183" i="5"/>
  <c r="H183" i="5"/>
  <c r="G183" i="5"/>
  <c r="E183" i="5"/>
  <c r="B183" i="5"/>
  <c r="D183" i="5" s="1"/>
  <c r="L182" i="5"/>
  <c r="K182" i="5"/>
  <c r="J182" i="5"/>
  <c r="I182" i="5"/>
  <c r="H182" i="5"/>
  <c r="G182" i="5"/>
  <c r="E182" i="5"/>
  <c r="F182" i="5" s="1"/>
  <c r="B182" i="5"/>
  <c r="L181" i="5"/>
  <c r="K181" i="5"/>
  <c r="J181" i="5"/>
  <c r="I181" i="5"/>
  <c r="H181" i="5"/>
  <c r="G181" i="5"/>
  <c r="E181" i="5"/>
  <c r="O181" i="5" s="1"/>
  <c r="B181" i="5"/>
  <c r="Q180" i="5"/>
  <c r="L180" i="5"/>
  <c r="K180" i="5"/>
  <c r="J180" i="5"/>
  <c r="I180" i="5"/>
  <c r="H180" i="5"/>
  <c r="G180" i="5"/>
  <c r="E180" i="5"/>
  <c r="O180" i="5" s="1"/>
  <c r="B180" i="5"/>
  <c r="D180" i="5" s="1"/>
  <c r="L179" i="5"/>
  <c r="K179" i="5"/>
  <c r="J179" i="5"/>
  <c r="I179" i="5"/>
  <c r="H179" i="5"/>
  <c r="G179" i="5"/>
  <c r="E179" i="5"/>
  <c r="O179" i="5" s="1"/>
  <c r="B179" i="5"/>
  <c r="L178" i="5"/>
  <c r="K178" i="5"/>
  <c r="J178" i="5"/>
  <c r="I178" i="5"/>
  <c r="H178" i="5"/>
  <c r="G178" i="5"/>
  <c r="E178" i="5"/>
  <c r="B178" i="5"/>
  <c r="C178" i="5" s="1"/>
  <c r="Q177" i="5"/>
  <c r="L177" i="5"/>
  <c r="K177" i="5"/>
  <c r="J177" i="5"/>
  <c r="I177" i="5"/>
  <c r="H177" i="5"/>
  <c r="G177" i="5"/>
  <c r="E177" i="5"/>
  <c r="B177" i="5"/>
  <c r="S177" i="5" s="1"/>
  <c r="Q176" i="5"/>
  <c r="L176" i="5"/>
  <c r="K176" i="5"/>
  <c r="J176" i="5"/>
  <c r="I176" i="5"/>
  <c r="H176" i="5"/>
  <c r="G176" i="5"/>
  <c r="E176" i="5"/>
  <c r="M176" i="5" s="1"/>
  <c r="B176" i="5"/>
  <c r="L175" i="5"/>
  <c r="K175" i="5"/>
  <c r="J175" i="5"/>
  <c r="I175" i="5"/>
  <c r="H175" i="5"/>
  <c r="G175" i="5"/>
  <c r="E175" i="5"/>
  <c r="B175" i="5"/>
  <c r="S175" i="5" s="1"/>
  <c r="L174" i="5"/>
  <c r="K174" i="5"/>
  <c r="J174" i="5"/>
  <c r="I174" i="5"/>
  <c r="H174" i="5"/>
  <c r="G174" i="5"/>
  <c r="E174" i="5"/>
  <c r="B174" i="5"/>
  <c r="L173" i="5"/>
  <c r="K173" i="5"/>
  <c r="J173" i="5"/>
  <c r="I173" i="5"/>
  <c r="H173" i="5"/>
  <c r="G173" i="5"/>
  <c r="E173" i="5"/>
  <c r="B173" i="5"/>
  <c r="C173" i="5" s="1"/>
  <c r="L172" i="5"/>
  <c r="K172" i="5"/>
  <c r="J172" i="5"/>
  <c r="I172" i="5"/>
  <c r="H172" i="5"/>
  <c r="G172" i="5"/>
  <c r="E172" i="5"/>
  <c r="B172" i="5"/>
  <c r="S172" i="5" s="1"/>
  <c r="L171" i="5"/>
  <c r="K171" i="5"/>
  <c r="J171" i="5"/>
  <c r="I171" i="5"/>
  <c r="H171" i="5"/>
  <c r="G171" i="5"/>
  <c r="E171" i="5"/>
  <c r="O171" i="5" s="1"/>
  <c r="B171" i="5"/>
  <c r="S171" i="5" s="1"/>
  <c r="L170" i="5"/>
  <c r="K170" i="5"/>
  <c r="J170" i="5"/>
  <c r="I170" i="5"/>
  <c r="H170" i="5"/>
  <c r="G170" i="5"/>
  <c r="E170" i="5"/>
  <c r="O170" i="5" s="1"/>
  <c r="B170" i="5"/>
  <c r="S170" i="5" s="1"/>
  <c r="Q169" i="5"/>
  <c r="R169" i="5" s="1"/>
  <c r="L169" i="5"/>
  <c r="K169" i="5"/>
  <c r="J169" i="5"/>
  <c r="I169" i="5"/>
  <c r="H169" i="5"/>
  <c r="G169" i="5"/>
  <c r="E169" i="5"/>
  <c r="B169" i="5"/>
  <c r="D169" i="5" s="1"/>
  <c r="Q168" i="5"/>
  <c r="P168" i="5" s="1"/>
  <c r="L168" i="5"/>
  <c r="K168" i="5"/>
  <c r="J168" i="5"/>
  <c r="I168" i="5"/>
  <c r="H168" i="5"/>
  <c r="G168" i="5"/>
  <c r="E168" i="5"/>
  <c r="F168" i="5" s="1"/>
  <c r="B168" i="5"/>
  <c r="S168" i="5" s="1"/>
  <c r="Q167" i="5"/>
  <c r="L167" i="5"/>
  <c r="K167" i="5"/>
  <c r="J167" i="5"/>
  <c r="I167" i="5"/>
  <c r="H167" i="5"/>
  <c r="G167" i="5"/>
  <c r="E167" i="5"/>
  <c r="F167" i="5" s="1"/>
  <c r="B167" i="5"/>
  <c r="D167" i="5" s="1"/>
  <c r="Q166" i="5"/>
  <c r="L166" i="5"/>
  <c r="K166" i="5"/>
  <c r="J166" i="5"/>
  <c r="I166" i="5"/>
  <c r="H166" i="5"/>
  <c r="G166" i="5"/>
  <c r="E166" i="5"/>
  <c r="F166" i="5" s="1"/>
  <c r="B166" i="5"/>
  <c r="Q165" i="5"/>
  <c r="R165" i="5" s="1"/>
  <c r="L165" i="5"/>
  <c r="K165" i="5"/>
  <c r="J165" i="5"/>
  <c r="I165" i="5"/>
  <c r="H165" i="5"/>
  <c r="G165" i="5"/>
  <c r="E165" i="5"/>
  <c r="O165" i="5" s="1"/>
  <c r="B165" i="5"/>
  <c r="S165" i="5" s="1"/>
  <c r="L164" i="5"/>
  <c r="K164" i="5"/>
  <c r="J164" i="5"/>
  <c r="I164" i="5"/>
  <c r="H164" i="5"/>
  <c r="G164" i="5"/>
  <c r="E164" i="5"/>
  <c r="M164" i="5" s="1"/>
  <c r="B164" i="5"/>
  <c r="D164" i="5" s="1"/>
  <c r="Q163" i="5"/>
  <c r="L163" i="5"/>
  <c r="K163" i="5"/>
  <c r="J163" i="5"/>
  <c r="I163" i="5"/>
  <c r="H163" i="5"/>
  <c r="G163" i="5"/>
  <c r="E163" i="5"/>
  <c r="F163" i="5" s="1"/>
  <c r="B163" i="5"/>
  <c r="S163" i="5" s="1"/>
  <c r="L162" i="5"/>
  <c r="K162" i="5"/>
  <c r="J162" i="5"/>
  <c r="I162" i="5"/>
  <c r="H162" i="5"/>
  <c r="G162" i="5"/>
  <c r="E162" i="5"/>
  <c r="M162" i="5" s="1"/>
  <c r="B162" i="5"/>
  <c r="S162" i="5" s="1"/>
  <c r="L161" i="5"/>
  <c r="K161" i="5"/>
  <c r="J161" i="5"/>
  <c r="I161" i="5"/>
  <c r="H161" i="5"/>
  <c r="G161" i="5"/>
  <c r="E161" i="5"/>
  <c r="B161" i="5"/>
  <c r="S161" i="5" s="1"/>
  <c r="L160" i="5"/>
  <c r="K160" i="5"/>
  <c r="J160" i="5"/>
  <c r="I160" i="5"/>
  <c r="H160" i="5"/>
  <c r="G160" i="5"/>
  <c r="E160" i="5"/>
  <c r="B160" i="5"/>
  <c r="D160" i="5" s="1"/>
  <c r="L159" i="5"/>
  <c r="K159" i="5"/>
  <c r="J159" i="5"/>
  <c r="I159" i="5"/>
  <c r="H159" i="5"/>
  <c r="G159" i="5"/>
  <c r="E159" i="5"/>
  <c r="F159" i="5" s="1"/>
  <c r="B159" i="5"/>
  <c r="S159" i="5" s="1"/>
  <c r="L158" i="5"/>
  <c r="K158" i="5"/>
  <c r="J158" i="5"/>
  <c r="I158" i="5"/>
  <c r="H158" i="5"/>
  <c r="G158" i="5"/>
  <c r="E158" i="5"/>
  <c r="B158" i="5"/>
  <c r="D158" i="5" s="1"/>
  <c r="Q157" i="5"/>
  <c r="R157" i="5" s="1"/>
  <c r="L157" i="5"/>
  <c r="K157" i="5"/>
  <c r="J157" i="5"/>
  <c r="I157" i="5"/>
  <c r="H157" i="5"/>
  <c r="G157" i="5"/>
  <c r="E157" i="5"/>
  <c r="O157" i="5" s="1"/>
  <c r="B157" i="5"/>
  <c r="D157" i="5" s="1"/>
  <c r="L156" i="5"/>
  <c r="K156" i="5"/>
  <c r="J156" i="5"/>
  <c r="I156" i="5"/>
  <c r="H156" i="5"/>
  <c r="G156" i="5"/>
  <c r="E156" i="5"/>
  <c r="M156" i="5" s="1"/>
  <c r="B156" i="5"/>
  <c r="S156" i="5" s="1"/>
  <c r="L155" i="5"/>
  <c r="K155" i="5"/>
  <c r="J155" i="5"/>
  <c r="I155" i="5"/>
  <c r="H155" i="5"/>
  <c r="G155" i="5"/>
  <c r="E155" i="5"/>
  <c r="O155" i="5" s="1"/>
  <c r="B155" i="5"/>
  <c r="C155" i="5" s="1"/>
  <c r="L154" i="5"/>
  <c r="K154" i="5"/>
  <c r="J154" i="5"/>
  <c r="I154" i="5"/>
  <c r="H154" i="5"/>
  <c r="G154" i="5"/>
  <c r="E154" i="5"/>
  <c r="M154" i="5" s="1"/>
  <c r="B154" i="5"/>
  <c r="L153" i="5"/>
  <c r="K153" i="5"/>
  <c r="J153" i="5"/>
  <c r="I153" i="5"/>
  <c r="H153" i="5"/>
  <c r="G153" i="5"/>
  <c r="E153" i="5"/>
  <c r="M153" i="5" s="1"/>
  <c r="B153" i="5"/>
  <c r="D153" i="5" s="1"/>
  <c r="L152" i="5"/>
  <c r="K152" i="5"/>
  <c r="J152" i="5"/>
  <c r="I152" i="5"/>
  <c r="H152" i="5"/>
  <c r="G152" i="5"/>
  <c r="E152" i="5"/>
  <c r="M152" i="5" s="1"/>
  <c r="B152" i="5"/>
  <c r="D152" i="5" s="1"/>
  <c r="L151" i="5"/>
  <c r="K151" i="5"/>
  <c r="J151" i="5"/>
  <c r="I151" i="5"/>
  <c r="H151" i="5"/>
  <c r="G151" i="5"/>
  <c r="E151" i="5"/>
  <c r="M151" i="5" s="1"/>
  <c r="B151" i="5"/>
  <c r="L150" i="5"/>
  <c r="K150" i="5"/>
  <c r="J150" i="5"/>
  <c r="I150" i="5"/>
  <c r="H150" i="5"/>
  <c r="G150" i="5"/>
  <c r="E150" i="5"/>
  <c r="O150" i="5" s="1"/>
  <c r="B150" i="5"/>
  <c r="L149" i="5"/>
  <c r="K149" i="5"/>
  <c r="J149" i="5"/>
  <c r="I149" i="5"/>
  <c r="H149" i="5"/>
  <c r="G149" i="5"/>
  <c r="E149" i="5"/>
  <c r="F149" i="5" s="1"/>
  <c r="B149" i="5"/>
  <c r="L148" i="5"/>
  <c r="K148" i="5"/>
  <c r="J148" i="5"/>
  <c r="I148" i="5"/>
  <c r="H148" i="5"/>
  <c r="G148" i="5"/>
  <c r="E148" i="5"/>
  <c r="F148" i="5" s="1"/>
  <c r="B148" i="5"/>
  <c r="L147" i="5"/>
  <c r="K147" i="5"/>
  <c r="J147" i="5"/>
  <c r="I147" i="5"/>
  <c r="H147" i="5"/>
  <c r="G147" i="5"/>
  <c r="E147" i="5"/>
  <c r="B147" i="5"/>
  <c r="L146" i="5"/>
  <c r="K146" i="5"/>
  <c r="J146" i="5"/>
  <c r="I146" i="5"/>
  <c r="H146" i="5"/>
  <c r="G146" i="5"/>
  <c r="E146" i="5"/>
  <c r="B146" i="5"/>
  <c r="D146" i="5" s="1"/>
  <c r="L145" i="5"/>
  <c r="K145" i="5"/>
  <c r="J145" i="5"/>
  <c r="I145" i="5"/>
  <c r="H145" i="5"/>
  <c r="G145" i="5"/>
  <c r="E145" i="5"/>
  <c r="F145" i="5" s="1"/>
  <c r="B145" i="5"/>
  <c r="L144" i="5"/>
  <c r="K144" i="5"/>
  <c r="J144" i="5"/>
  <c r="I144" i="5"/>
  <c r="H144" i="5"/>
  <c r="G144" i="5"/>
  <c r="E144" i="5"/>
  <c r="F144" i="5" s="1"/>
  <c r="B144" i="5"/>
  <c r="S144" i="5" s="1"/>
  <c r="L143" i="5"/>
  <c r="K143" i="5"/>
  <c r="J143" i="5"/>
  <c r="I143" i="5"/>
  <c r="H143" i="5"/>
  <c r="G143" i="5"/>
  <c r="E143" i="5"/>
  <c r="B143" i="5"/>
  <c r="C143" i="5" s="1"/>
  <c r="L142" i="5"/>
  <c r="K142" i="5"/>
  <c r="J142" i="5"/>
  <c r="I142" i="5"/>
  <c r="H142" i="5"/>
  <c r="G142" i="5"/>
  <c r="F142" i="5"/>
  <c r="E142" i="5"/>
  <c r="B142" i="5"/>
  <c r="C142" i="5" s="1"/>
  <c r="Q141" i="5"/>
  <c r="P141" i="5" s="1"/>
  <c r="L141" i="5"/>
  <c r="K141" i="5"/>
  <c r="J141" i="5"/>
  <c r="I141" i="5"/>
  <c r="H141" i="5"/>
  <c r="G141" i="5"/>
  <c r="E141" i="5"/>
  <c r="O141" i="5" s="1"/>
  <c r="B141" i="5"/>
  <c r="S141" i="5" s="1"/>
  <c r="L140" i="5"/>
  <c r="K140" i="5"/>
  <c r="J140" i="5"/>
  <c r="I140" i="5"/>
  <c r="H140" i="5"/>
  <c r="G140" i="5"/>
  <c r="E140" i="5"/>
  <c r="O140" i="5" s="1"/>
  <c r="B140" i="5"/>
  <c r="D140" i="5" s="1"/>
  <c r="L139" i="5"/>
  <c r="K139" i="5"/>
  <c r="J139" i="5"/>
  <c r="I139" i="5"/>
  <c r="H139" i="5"/>
  <c r="G139" i="5"/>
  <c r="E139" i="5"/>
  <c r="O139" i="5" s="1"/>
  <c r="B139" i="5"/>
  <c r="C139" i="5" s="1"/>
  <c r="L138" i="5"/>
  <c r="K138" i="5"/>
  <c r="J138" i="5"/>
  <c r="I138" i="5"/>
  <c r="H138" i="5"/>
  <c r="G138" i="5"/>
  <c r="E138" i="5"/>
  <c r="M138" i="5" s="1"/>
  <c r="B138" i="5"/>
  <c r="Q137" i="5"/>
  <c r="L137" i="5"/>
  <c r="K137" i="5"/>
  <c r="J137" i="5"/>
  <c r="I137" i="5"/>
  <c r="H137" i="5"/>
  <c r="G137" i="5"/>
  <c r="E137" i="5"/>
  <c r="M137" i="5" s="1"/>
  <c r="B137" i="5"/>
  <c r="C137" i="5" s="1"/>
  <c r="Q136" i="5"/>
  <c r="L136" i="5"/>
  <c r="K136" i="5"/>
  <c r="J136" i="5"/>
  <c r="I136" i="5"/>
  <c r="H136" i="5"/>
  <c r="G136" i="5"/>
  <c r="E136" i="5"/>
  <c r="B136" i="5"/>
  <c r="L135" i="5"/>
  <c r="K135" i="5"/>
  <c r="J135" i="5"/>
  <c r="I135" i="5"/>
  <c r="H135" i="5"/>
  <c r="G135" i="5"/>
  <c r="E135" i="5"/>
  <c r="O135" i="5" s="1"/>
  <c r="B135" i="5"/>
  <c r="D135" i="5" s="1"/>
  <c r="L134" i="5"/>
  <c r="K134" i="5"/>
  <c r="J134" i="5"/>
  <c r="I134" i="5"/>
  <c r="H134" i="5"/>
  <c r="G134" i="5"/>
  <c r="E134" i="5"/>
  <c r="F134" i="5" s="1"/>
  <c r="B134" i="5"/>
  <c r="L133" i="5"/>
  <c r="K133" i="5"/>
  <c r="J133" i="5"/>
  <c r="I133" i="5"/>
  <c r="H133" i="5"/>
  <c r="G133" i="5"/>
  <c r="E133" i="5"/>
  <c r="M133" i="5" s="1"/>
  <c r="B133" i="5"/>
  <c r="S133" i="5" s="1"/>
  <c r="L132" i="5"/>
  <c r="K132" i="5"/>
  <c r="J132" i="5"/>
  <c r="I132" i="5"/>
  <c r="H132" i="5"/>
  <c r="G132" i="5"/>
  <c r="E132" i="5"/>
  <c r="O132" i="5" s="1"/>
  <c r="B132" i="5"/>
  <c r="S132" i="5" s="1"/>
  <c r="L131" i="5"/>
  <c r="K131" i="5"/>
  <c r="J131" i="5"/>
  <c r="I131" i="5"/>
  <c r="H131" i="5"/>
  <c r="G131" i="5"/>
  <c r="E131" i="5"/>
  <c r="B131" i="5"/>
  <c r="L130" i="5"/>
  <c r="K130" i="5"/>
  <c r="J130" i="5"/>
  <c r="I130" i="5"/>
  <c r="H130" i="5"/>
  <c r="G130" i="5"/>
  <c r="E130" i="5"/>
  <c r="M130" i="5" s="1"/>
  <c r="B130" i="5"/>
  <c r="S130" i="5" s="1"/>
  <c r="L129" i="5"/>
  <c r="K129" i="5"/>
  <c r="J129" i="5"/>
  <c r="I129" i="5"/>
  <c r="H129" i="5"/>
  <c r="G129" i="5"/>
  <c r="E129" i="5"/>
  <c r="O129" i="5" s="1"/>
  <c r="B129" i="5"/>
  <c r="L128" i="5"/>
  <c r="K128" i="5"/>
  <c r="J128" i="5"/>
  <c r="I128" i="5"/>
  <c r="H128" i="5"/>
  <c r="G128" i="5"/>
  <c r="E128" i="5"/>
  <c r="O128" i="5" s="1"/>
  <c r="B128" i="5"/>
  <c r="D128" i="5" s="1"/>
  <c r="L127" i="5"/>
  <c r="K127" i="5"/>
  <c r="J127" i="5"/>
  <c r="I127" i="5"/>
  <c r="H127" i="5"/>
  <c r="G127" i="5"/>
  <c r="E127" i="5"/>
  <c r="M127" i="5" s="1"/>
  <c r="B127" i="5"/>
  <c r="S127" i="5" s="1"/>
  <c r="L126" i="5"/>
  <c r="K126" i="5"/>
  <c r="J126" i="5"/>
  <c r="I126" i="5"/>
  <c r="H126" i="5"/>
  <c r="G126" i="5"/>
  <c r="E126" i="5"/>
  <c r="F126" i="5" s="1"/>
  <c r="B126" i="5"/>
  <c r="Q125" i="5"/>
  <c r="L125" i="5"/>
  <c r="K125" i="5"/>
  <c r="J125" i="5"/>
  <c r="I125" i="5"/>
  <c r="H125" i="5"/>
  <c r="G125" i="5"/>
  <c r="E125" i="5"/>
  <c r="B125" i="5"/>
  <c r="Q124" i="5"/>
  <c r="L124" i="5"/>
  <c r="K124" i="5"/>
  <c r="J124" i="5"/>
  <c r="I124" i="5"/>
  <c r="H124" i="5"/>
  <c r="G124" i="5"/>
  <c r="E124" i="5"/>
  <c r="B124" i="5"/>
  <c r="C124" i="5" s="1"/>
  <c r="L123" i="5"/>
  <c r="K123" i="5"/>
  <c r="J123" i="5"/>
  <c r="I123" i="5"/>
  <c r="H123" i="5"/>
  <c r="G123" i="5"/>
  <c r="E123" i="5"/>
  <c r="M123" i="5" s="1"/>
  <c r="B123" i="5"/>
  <c r="Q122" i="5"/>
  <c r="R122" i="5" s="1"/>
  <c r="L122" i="5"/>
  <c r="K122" i="5"/>
  <c r="J122" i="5"/>
  <c r="I122" i="5"/>
  <c r="H122" i="5"/>
  <c r="G122" i="5"/>
  <c r="E122" i="5"/>
  <c r="B122" i="5"/>
  <c r="C122" i="5" s="1"/>
  <c r="L121" i="5"/>
  <c r="K121" i="5"/>
  <c r="J121" i="5"/>
  <c r="I121" i="5"/>
  <c r="H121" i="5"/>
  <c r="G121" i="5"/>
  <c r="E121" i="5"/>
  <c r="F121" i="5" s="1"/>
  <c r="B121" i="5"/>
  <c r="C121" i="5" s="1"/>
  <c r="L120" i="5"/>
  <c r="K120" i="5"/>
  <c r="J120" i="5"/>
  <c r="I120" i="5"/>
  <c r="H120" i="5"/>
  <c r="G120" i="5"/>
  <c r="E120" i="5"/>
  <c r="B120" i="5"/>
  <c r="C120" i="5" s="1"/>
  <c r="L119" i="5"/>
  <c r="K119" i="5"/>
  <c r="J119" i="5"/>
  <c r="I119" i="5"/>
  <c r="H119" i="5"/>
  <c r="G119" i="5"/>
  <c r="E119" i="5"/>
  <c r="O119" i="5" s="1"/>
  <c r="B119" i="5"/>
  <c r="L118" i="5"/>
  <c r="K118" i="5"/>
  <c r="J118" i="5"/>
  <c r="I118" i="5"/>
  <c r="H118" i="5"/>
  <c r="G118" i="5"/>
  <c r="E118" i="5"/>
  <c r="O118" i="5" s="1"/>
  <c r="B118" i="5"/>
  <c r="D118" i="5" s="1"/>
  <c r="L117" i="5"/>
  <c r="K117" i="5"/>
  <c r="J117" i="5"/>
  <c r="I117" i="5"/>
  <c r="H117" i="5"/>
  <c r="G117" i="5"/>
  <c r="E117" i="5"/>
  <c r="B117" i="5"/>
  <c r="D117" i="5" s="1"/>
  <c r="L116" i="5"/>
  <c r="K116" i="5"/>
  <c r="J116" i="5"/>
  <c r="I116" i="5"/>
  <c r="H116" i="5"/>
  <c r="G116" i="5"/>
  <c r="E116" i="5"/>
  <c r="M116" i="5" s="1"/>
  <c r="B116" i="5"/>
  <c r="S116" i="5" s="1"/>
  <c r="L115" i="5"/>
  <c r="K115" i="5"/>
  <c r="J115" i="5"/>
  <c r="I115" i="5"/>
  <c r="H115" i="5"/>
  <c r="G115" i="5"/>
  <c r="E115" i="5"/>
  <c r="M115" i="5" s="1"/>
  <c r="B115" i="5"/>
  <c r="D115" i="5" s="1"/>
  <c r="L114" i="5"/>
  <c r="K114" i="5"/>
  <c r="J114" i="5"/>
  <c r="I114" i="5"/>
  <c r="H114" i="5"/>
  <c r="G114" i="5"/>
  <c r="E114" i="5"/>
  <c r="O114" i="5" s="1"/>
  <c r="B114" i="5"/>
  <c r="S114" i="5" s="1"/>
  <c r="L113" i="5"/>
  <c r="K113" i="5"/>
  <c r="J113" i="5"/>
  <c r="I113" i="5"/>
  <c r="H113" i="5"/>
  <c r="G113" i="5"/>
  <c r="E113" i="5"/>
  <c r="O113" i="5" s="1"/>
  <c r="B113" i="5"/>
  <c r="L112" i="5"/>
  <c r="K112" i="5"/>
  <c r="J112" i="5"/>
  <c r="I112" i="5"/>
  <c r="H112" i="5"/>
  <c r="G112" i="5"/>
  <c r="E112" i="5"/>
  <c r="B112" i="5"/>
  <c r="D112" i="5" s="1"/>
  <c r="L111" i="5"/>
  <c r="K111" i="5"/>
  <c r="J111" i="5"/>
  <c r="I111" i="5"/>
  <c r="H111" i="5"/>
  <c r="G111" i="5"/>
  <c r="E111" i="5"/>
  <c r="M111" i="5" s="1"/>
  <c r="B111" i="5"/>
  <c r="L110" i="5"/>
  <c r="K110" i="5"/>
  <c r="J110" i="5"/>
  <c r="I110" i="5"/>
  <c r="H110" i="5"/>
  <c r="G110" i="5"/>
  <c r="E110" i="5"/>
  <c r="F110" i="5" s="1"/>
  <c r="B110" i="5"/>
  <c r="Q109" i="5"/>
  <c r="P109" i="5" s="1"/>
  <c r="L109" i="5"/>
  <c r="K109" i="5"/>
  <c r="J109" i="5"/>
  <c r="I109" i="5"/>
  <c r="H109" i="5"/>
  <c r="G109" i="5"/>
  <c r="E109" i="5"/>
  <c r="B109" i="5"/>
  <c r="L108" i="5"/>
  <c r="K108" i="5"/>
  <c r="J108" i="5"/>
  <c r="I108" i="5"/>
  <c r="H108" i="5"/>
  <c r="G108" i="5"/>
  <c r="E108" i="5"/>
  <c r="B108" i="5"/>
  <c r="L107" i="5"/>
  <c r="K107" i="5"/>
  <c r="J107" i="5"/>
  <c r="I107" i="5"/>
  <c r="H107" i="5"/>
  <c r="G107" i="5"/>
  <c r="E107" i="5"/>
  <c r="M107" i="5" s="1"/>
  <c r="B107" i="5"/>
  <c r="D107" i="5" s="1"/>
  <c r="Q106" i="5"/>
  <c r="P106" i="5" s="1"/>
  <c r="L106" i="5"/>
  <c r="K106" i="5"/>
  <c r="J106" i="5"/>
  <c r="I106" i="5"/>
  <c r="H106" i="5"/>
  <c r="G106" i="5"/>
  <c r="E106" i="5"/>
  <c r="O106" i="5" s="1"/>
  <c r="B106" i="5"/>
  <c r="D106" i="5" s="1"/>
  <c r="L105" i="5"/>
  <c r="K105" i="5"/>
  <c r="J105" i="5"/>
  <c r="I105" i="5"/>
  <c r="H105" i="5"/>
  <c r="G105" i="5"/>
  <c r="E105" i="5"/>
  <c r="M105" i="5" s="1"/>
  <c r="B105" i="5"/>
  <c r="L104" i="5"/>
  <c r="K104" i="5"/>
  <c r="J104" i="5"/>
  <c r="I104" i="5"/>
  <c r="H104" i="5"/>
  <c r="G104" i="5"/>
  <c r="E104" i="5"/>
  <c r="F104" i="5" s="1"/>
  <c r="B104" i="5"/>
  <c r="L103" i="5"/>
  <c r="K103" i="5"/>
  <c r="J103" i="5"/>
  <c r="I103" i="5"/>
  <c r="H103" i="5"/>
  <c r="G103" i="5"/>
  <c r="F103" i="5"/>
  <c r="E103" i="5"/>
  <c r="O103" i="5" s="1"/>
  <c r="B103" i="5"/>
  <c r="M102" i="5"/>
  <c r="L102" i="5"/>
  <c r="K102" i="5"/>
  <c r="J102" i="5"/>
  <c r="I102" i="5"/>
  <c r="H102" i="5"/>
  <c r="G102" i="5"/>
  <c r="E102" i="5"/>
  <c r="B102" i="5"/>
  <c r="S102" i="5" s="1"/>
  <c r="L101" i="5"/>
  <c r="K101" i="5"/>
  <c r="J101" i="5"/>
  <c r="I101" i="5"/>
  <c r="H101" i="5"/>
  <c r="G101" i="5"/>
  <c r="E101" i="5"/>
  <c r="O101" i="5" s="1"/>
  <c r="B101" i="5"/>
  <c r="C101" i="5" s="1"/>
  <c r="L100" i="5"/>
  <c r="K100" i="5"/>
  <c r="J100" i="5"/>
  <c r="I100" i="5"/>
  <c r="H100" i="5"/>
  <c r="G100" i="5"/>
  <c r="E100" i="5"/>
  <c r="B100" i="5"/>
  <c r="S100" i="5" s="1"/>
  <c r="S99" i="5"/>
  <c r="Q99" i="5"/>
  <c r="P99" i="5" s="1"/>
  <c r="L99" i="5"/>
  <c r="K99" i="5"/>
  <c r="J99" i="5"/>
  <c r="I99" i="5"/>
  <c r="H99" i="5"/>
  <c r="G99" i="5"/>
  <c r="E99" i="5"/>
  <c r="B99" i="5"/>
  <c r="D99" i="5" s="1"/>
  <c r="Q98" i="5"/>
  <c r="P98" i="5" s="1"/>
  <c r="L98" i="5"/>
  <c r="K98" i="5"/>
  <c r="J98" i="5"/>
  <c r="I98" i="5"/>
  <c r="H98" i="5"/>
  <c r="G98" i="5"/>
  <c r="E98" i="5"/>
  <c r="B98" i="5"/>
  <c r="S98" i="5" s="1"/>
  <c r="L97" i="5"/>
  <c r="K97" i="5"/>
  <c r="J97" i="5"/>
  <c r="I97" i="5"/>
  <c r="H97" i="5"/>
  <c r="G97" i="5"/>
  <c r="E97" i="5"/>
  <c r="B97" i="5"/>
  <c r="C97" i="5" s="1"/>
  <c r="L96" i="5"/>
  <c r="K96" i="5"/>
  <c r="J96" i="5"/>
  <c r="I96" i="5"/>
  <c r="H96" i="5"/>
  <c r="G96" i="5"/>
  <c r="E96" i="5"/>
  <c r="F96" i="5" s="1"/>
  <c r="B96" i="5"/>
  <c r="C96" i="5" s="1"/>
  <c r="L95" i="5"/>
  <c r="K95" i="5"/>
  <c r="J95" i="5"/>
  <c r="I95" i="5"/>
  <c r="H95" i="5"/>
  <c r="G95" i="5"/>
  <c r="E95" i="5"/>
  <c r="M95" i="5" s="1"/>
  <c r="B95" i="5"/>
  <c r="L94" i="5"/>
  <c r="K94" i="5"/>
  <c r="J94" i="5"/>
  <c r="I94" i="5"/>
  <c r="H94" i="5"/>
  <c r="G94" i="5"/>
  <c r="E94" i="5"/>
  <c r="B94" i="5"/>
  <c r="C94" i="5" s="1"/>
  <c r="L93" i="5"/>
  <c r="K93" i="5"/>
  <c r="J93" i="5"/>
  <c r="I93" i="5"/>
  <c r="H93" i="5"/>
  <c r="G93" i="5"/>
  <c r="E93" i="5"/>
  <c r="B93" i="5"/>
  <c r="D93" i="5" s="1"/>
  <c r="L92" i="5"/>
  <c r="K92" i="5"/>
  <c r="J92" i="5"/>
  <c r="I92" i="5"/>
  <c r="H92" i="5"/>
  <c r="G92" i="5"/>
  <c r="E92" i="5"/>
  <c r="B92" i="5"/>
  <c r="Q91" i="5"/>
  <c r="R91" i="5" s="1"/>
  <c r="L91" i="5"/>
  <c r="K91" i="5"/>
  <c r="J91" i="5"/>
  <c r="I91" i="5"/>
  <c r="H91" i="5"/>
  <c r="G91" i="5"/>
  <c r="E91" i="5"/>
  <c r="O91" i="5" s="1"/>
  <c r="B91" i="5"/>
  <c r="Q90" i="5"/>
  <c r="L90" i="5"/>
  <c r="K90" i="5"/>
  <c r="J90" i="5"/>
  <c r="I90" i="5"/>
  <c r="H90" i="5"/>
  <c r="G90" i="5"/>
  <c r="E90" i="5"/>
  <c r="M90" i="5" s="1"/>
  <c r="B90" i="5"/>
  <c r="S90" i="5" s="1"/>
  <c r="Q89" i="5"/>
  <c r="R89" i="5" s="1"/>
  <c r="P89" i="5"/>
  <c r="L89" i="5"/>
  <c r="K89" i="5"/>
  <c r="J89" i="5"/>
  <c r="I89" i="5"/>
  <c r="H89" i="5"/>
  <c r="G89" i="5"/>
  <c r="E89" i="5"/>
  <c r="F89" i="5" s="1"/>
  <c r="B89" i="5"/>
  <c r="D89" i="5" s="1"/>
  <c r="S88" i="5"/>
  <c r="Q88" i="5"/>
  <c r="P88" i="5" s="1"/>
  <c r="L88" i="5"/>
  <c r="K88" i="5"/>
  <c r="J88" i="5"/>
  <c r="I88" i="5"/>
  <c r="H88" i="5"/>
  <c r="G88" i="5"/>
  <c r="E88" i="5"/>
  <c r="B88" i="5"/>
  <c r="Q87" i="5"/>
  <c r="L87" i="5"/>
  <c r="K87" i="5"/>
  <c r="J87" i="5"/>
  <c r="I87" i="5"/>
  <c r="H87" i="5"/>
  <c r="G87" i="5"/>
  <c r="E87" i="5"/>
  <c r="M87" i="5" s="1"/>
  <c r="B87" i="5"/>
  <c r="Q86" i="5"/>
  <c r="L86" i="5"/>
  <c r="K86" i="5"/>
  <c r="J86" i="5"/>
  <c r="I86" i="5"/>
  <c r="H86" i="5"/>
  <c r="G86" i="5"/>
  <c r="E86" i="5"/>
  <c r="F86" i="5" s="1"/>
  <c r="B86" i="5"/>
  <c r="D86" i="5" s="1"/>
  <c r="L85" i="5"/>
  <c r="K85" i="5"/>
  <c r="J85" i="5"/>
  <c r="I85" i="5"/>
  <c r="H85" i="5"/>
  <c r="G85" i="5"/>
  <c r="E85" i="5"/>
  <c r="F85" i="5" s="1"/>
  <c r="B85" i="5"/>
  <c r="S85" i="5" s="1"/>
  <c r="M84" i="5"/>
  <c r="L84" i="5"/>
  <c r="K84" i="5"/>
  <c r="J84" i="5"/>
  <c r="I84" i="5"/>
  <c r="H84" i="5"/>
  <c r="G84" i="5"/>
  <c r="E84" i="5"/>
  <c r="O84" i="5" s="1"/>
  <c r="B84" i="5"/>
  <c r="C84" i="5" s="1"/>
  <c r="L83" i="5"/>
  <c r="K83" i="5"/>
  <c r="J83" i="5"/>
  <c r="I83" i="5"/>
  <c r="H83" i="5"/>
  <c r="G83" i="5"/>
  <c r="E83" i="5"/>
  <c r="B83" i="5"/>
  <c r="L82" i="5"/>
  <c r="K82" i="5"/>
  <c r="J82" i="5"/>
  <c r="I82" i="5"/>
  <c r="H82" i="5"/>
  <c r="G82" i="5"/>
  <c r="E82" i="5"/>
  <c r="B82" i="5"/>
  <c r="L81" i="5"/>
  <c r="K81" i="5"/>
  <c r="J81" i="5"/>
  <c r="I81" i="5"/>
  <c r="H81" i="5"/>
  <c r="G81" i="5"/>
  <c r="E81" i="5"/>
  <c r="M81" i="5" s="1"/>
  <c r="B81" i="5"/>
  <c r="C81" i="5" s="1"/>
  <c r="L80" i="5"/>
  <c r="K80" i="5"/>
  <c r="J80" i="5"/>
  <c r="I80" i="5"/>
  <c r="H80" i="5"/>
  <c r="G80" i="5"/>
  <c r="E80" i="5"/>
  <c r="F80" i="5" s="1"/>
  <c r="B80" i="5"/>
  <c r="L79" i="5"/>
  <c r="K79" i="5"/>
  <c r="J79" i="5"/>
  <c r="I79" i="5"/>
  <c r="H79" i="5"/>
  <c r="G79" i="5"/>
  <c r="E79" i="5"/>
  <c r="B79" i="5"/>
  <c r="D79" i="5" s="1"/>
  <c r="N79" i="5" s="1"/>
  <c r="Q78" i="5"/>
  <c r="P78" i="5" s="1"/>
  <c r="L78" i="5"/>
  <c r="K78" i="5"/>
  <c r="J78" i="5"/>
  <c r="I78" i="5"/>
  <c r="H78" i="5"/>
  <c r="G78" i="5"/>
  <c r="E78" i="5"/>
  <c r="M78" i="5" s="1"/>
  <c r="B78" i="5"/>
  <c r="S78" i="5" s="1"/>
  <c r="L77" i="5"/>
  <c r="K77" i="5"/>
  <c r="J77" i="5"/>
  <c r="I77" i="5"/>
  <c r="H77" i="5"/>
  <c r="G77" i="5"/>
  <c r="E77" i="5"/>
  <c r="O77" i="5" s="1"/>
  <c r="B77" i="5"/>
  <c r="C77" i="5" s="1"/>
  <c r="L76" i="5"/>
  <c r="K76" i="5"/>
  <c r="J76" i="5"/>
  <c r="I76" i="5"/>
  <c r="H76" i="5"/>
  <c r="G76" i="5"/>
  <c r="E76" i="5"/>
  <c r="O76" i="5" s="1"/>
  <c r="B76" i="5"/>
  <c r="Q75" i="5"/>
  <c r="L75" i="5"/>
  <c r="K75" i="5"/>
  <c r="J75" i="5"/>
  <c r="I75" i="5"/>
  <c r="H75" i="5"/>
  <c r="G75" i="5"/>
  <c r="E75" i="5"/>
  <c r="F75" i="5" s="1"/>
  <c r="B75" i="5"/>
  <c r="M74" i="5"/>
  <c r="L74" i="5"/>
  <c r="K74" i="5"/>
  <c r="J74" i="5"/>
  <c r="I74" i="5"/>
  <c r="H74" i="5"/>
  <c r="G74" i="5"/>
  <c r="E74" i="5"/>
  <c r="B74" i="5"/>
  <c r="S74" i="5" s="1"/>
  <c r="L73" i="5"/>
  <c r="K73" i="5"/>
  <c r="J73" i="5"/>
  <c r="I73" i="5"/>
  <c r="H73" i="5"/>
  <c r="G73" i="5"/>
  <c r="E73" i="5"/>
  <c r="B73" i="5"/>
  <c r="C73" i="5" s="1"/>
  <c r="L72" i="5"/>
  <c r="K72" i="5"/>
  <c r="J72" i="5"/>
  <c r="I72" i="5"/>
  <c r="H72" i="5"/>
  <c r="G72" i="5"/>
  <c r="E72" i="5"/>
  <c r="O72" i="5" s="1"/>
  <c r="B72" i="5"/>
  <c r="D72" i="5" s="1"/>
  <c r="N72" i="5" s="1"/>
  <c r="Q71" i="5"/>
  <c r="L71" i="5"/>
  <c r="K71" i="5"/>
  <c r="J71" i="5"/>
  <c r="I71" i="5"/>
  <c r="H71" i="5"/>
  <c r="G71" i="5"/>
  <c r="E71" i="5"/>
  <c r="O71" i="5" s="1"/>
  <c r="B71" i="5"/>
  <c r="S71" i="5" s="1"/>
  <c r="L70" i="5"/>
  <c r="K70" i="5"/>
  <c r="J70" i="5"/>
  <c r="I70" i="5"/>
  <c r="H70" i="5"/>
  <c r="G70" i="5"/>
  <c r="E70" i="5"/>
  <c r="M70" i="5" s="1"/>
  <c r="B70" i="5"/>
  <c r="S70" i="5" s="1"/>
  <c r="Q69" i="5"/>
  <c r="R69" i="5" s="1"/>
  <c r="L69" i="5"/>
  <c r="K69" i="5"/>
  <c r="J69" i="5"/>
  <c r="I69" i="5"/>
  <c r="H69" i="5"/>
  <c r="G69" i="5"/>
  <c r="E69" i="5"/>
  <c r="F69" i="5" s="1"/>
  <c r="B69" i="5"/>
  <c r="D69" i="5" s="1"/>
  <c r="Q68" i="5"/>
  <c r="R68" i="5" s="1"/>
  <c r="L68" i="5"/>
  <c r="K68" i="5"/>
  <c r="J68" i="5"/>
  <c r="I68" i="5"/>
  <c r="H68" i="5"/>
  <c r="G68" i="5"/>
  <c r="E68" i="5"/>
  <c r="M68" i="5" s="1"/>
  <c r="B68" i="5"/>
  <c r="Q67" i="5"/>
  <c r="L67" i="5"/>
  <c r="K67" i="5"/>
  <c r="J67" i="5"/>
  <c r="I67" i="5"/>
  <c r="H67" i="5"/>
  <c r="G67" i="5"/>
  <c r="E67" i="5"/>
  <c r="B67" i="5"/>
  <c r="L66" i="5"/>
  <c r="K66" i="5"/>
  <c r="J66" i="5"/>
  <c r="I66" i="5"/>
  <c r="H66" i="5"/>
  <c r="G66" i="5"/>
  <c r="E66" i="5"/>
  <c r="B66" i="5"/>
  <c r="S66" i="5" s="1"/>
  <c r="L65" i="5"/>
  <c r="K65" i="5"/>
  <c r="J65" i="5"/>
  <c r="I65" i="5"/>
  <c r="H65" i="5"/>
  <c r="G65" i="5"/>
  <c r="E65" i="5"/>
  <c r="B65" i="5"/>
  <c r="L64" i="5"/>
  <c r="K64" i="5"/>
  <c r="J64" i="5"/>
  <c r="I64" i="5"/>
  <c r="H64" i="5"/>
  <c r="G64" i="5"/>
  <c r="E64" i="5"/>
  <c r="M64" i="5" s="1"/>
  <c r="B64" i="5"/>
  <c r="L63" i="5"/>
  <c r="K63" i="5"/>
  <c r="J63" i="5"/>
  <c r="I63" i="5"/>
  <c r="H63" i="5"/>
  <c r="G63" i="5"/>
  <c r="E63" i="5"/>
  <c r="B63" i="5"/>
  <c r="L62" i="5"/>
  <c r="K62" i="5"/>
  <c r="J62" i="5"/>
  <c r="I62" i="5"/>
  <c r="H62" i="5"/>
  <c r="G62" i="5"/>
  <c r="E62" i="5"/>
  <c r="O62" i="5" s="1"/>
  <c r="B62" i="5"/>
  <c r="Q61" i="5"/>
  <c r="R61" i="5" s="1"/>
  <c r="L61" i="5"/>
  <c r="K61" i="5"/>
  <c r="J61" i="5"/>
  <c r="I61" i="5"/>
  <c r="H61" i="5"/>
  <c r="G61" i="5"/>
  <c r="E61" i="5"/>
  <c r="O61" i="5" s="1"/>
  <c r="B61" i="5"/>
  <c r="L60" i="5"/>
  <c r="K60" i="5"/>
  <c r="J60" i="5"/>
  <c r="I60" i="5"/>
  <c r="H60" i="5"/>
  <c r="G60" i="5"/>
  <c r="E60" i="5"/>
  <c r="F60" i="5" s="1"/>
  <c r="B60" i="5"/>
  <c r="S60" i="5" s="1"/>
  <c r="L59" i="5"/>
  <c r="K59" i="5"/>
  <c r="J59" i="5"/>
  <c r="I59" i="5"/>
  <c r="H59" i="5"/>
  <c r="G59" i="5"/>
  <c r="E59" i="5"/>
  <c r="B59" i="5"/>
  <c r="L58" i="5"/>
  <c r="K58" i="5"/>
  <c r="J58" i="5"/>
  <c r="I58" i="5"/>
  <c r="H58" i="5"/>
  <c r="G58" i="5"/>
  <c r="E58" i="5"/>
  <c r="F58" i="5" s="1"/>
  <c r="B58" i="5"/>
  <c r="S58" i="5" s="1"/>
  <c r="Q57" i="5"/>
  <c r="P57" i="5" s="1"/>
  <c r="L57" i="5"/>
  <c r="K57" i="5"/>
  <c r="J57" i="5"/>
  <c r="I57" i="5"/>
  <c r="H57" i="5"/>
  <c r="G57" i="5"/>
  <c r="E57" i="5"/>
  <c r="O57" i="5" s="1"/>
  <c r="B57" i="5"/>
  <c r="D57" i="5" s="1"/>
  <c r="L56" i="5"/>
  <c r="K56" i="5"/>
  <c r="J56" i="5"/>
  <c r="I56" i="5"/>
  <c r="H56" i="5"/>
  <c r="G56" i="5"/>
  <c r="E56" i="5"/>
  <c r="F56" i="5" s="1"/>
  <c r="B56" i="5"/>
  <c r="C56" i="5" s="1"/>
  <c r="L55" i="5"/>
  <c r="K55" i="5"/>
  <c r="J55" i="5"/>
  <c r="I55" i="5"/>
  <c r="H55" i="5"/>
  <c r="G55" i="5"/>
  <c r="E55" i="5"/>
  <c r="O55" i="5" s="1"/>
  <c r="B55" i="5"/>
  <c r="S55" i="5" s="1"/>
  <c r="L54" i="5"/>
  <c r="K54" i="5"/>
  <c r="J54" i="5"/>
  <c r="I54" i="5"/>
  <c r="H54" i="5"/>
  <c r="G54" i="5"/>
  <c r="E54" i="5"/>
  <c r="M54" i="5" s="1"/>
  <c r="B54" i="5"/>
  <c r="L53" i="5"/>
  <c r="K53" i="5"/>
  <c r="J53" i="5"/>
  <c r="I53" i="5"/>
  <c r="H53" i="5"/>
  <c r="G53" i="5"/>
  <c r="E53" i="5"/>
  <c r="M53" i="5" s="1"/>
  <c r="B53" i="5"/>
  <c r="C53" i="5" s="1"/>
  <c r="L52" i="5"/>
  <c r="K52" i="5"/>
  <c r="J52" i="5"/>
  <c r="I52" i="5"/>
  <c r="H52" i="5"/>
  <c r="G52" i="5"/>
  <c r="E52" i="5"/>
  <c r="M52" i="5" s="1"/>
  <c r="B52" i="5"/>
  <c r="D52" i="5" s="1"/>
  <c r="N52" i="5" s="1"/>
  <c r="L51" i="5"/>
  <c r="K51" i="5"/>
  <c r="J51" i="5"/>
  <c r="I51" i="5"/>
  <c r="H51" i="5"/>
  <c r="G51" i="5"/>
  <c r="E51" i="5"/>
  <c r="M51" i="5" s="1"/>
  <c r="B51" i="5"/>
  <c r="L50" i="5"/>
  <c r="K50" i="5"/>
  <c r="J50" i="5"/>
  <c r="I50" i="5"/>
  <c r="H50" i="5"/>
  <c r="G50" i="5"/>
  <c r="E50" i="5"/>
  <c r="B50" i="5"/>
  <c r="C50" i="5" s="1"/>
  <c r="L49" i="5"/>
  <c r="K49" i="5"/>
  <c r="J49" i="5"/>
  <c r="I49" i="5"/>
  <c r="H49" i="5"/>
  <c r="G49" i="5"/>
  <c r="E49" i="5"/>
  <c r="F49" i="5" s="1"/>
  <c r="B49" i="5"/>
  <c r="L48" i="5"/>
  <c r="K48" i="5"/>
  <c r="J48" i="5"/>
  <c r="I48" i="5"/>
  <c r="H48" i="5"/>
  <c r="G48" i="5"/>
  <c r="E48" i="5"/>
  <c r="B48" i="5"/>
  <c r="Q47" i="5"/>
  <c r="R47" i="5" s="1"/>
  <c r="L47" i="5"/>
  <c r="K47" i="5"/>
  <c r="J47" i="5"/>
  <c r="I47" i="5"/>
  <c r="H47" i="5"/>
  <c r="G47" i="5"/>
  <c r="E47" i="5"/>
  <c r="O47" i="5" s="1"/>
  <c r="B47" i="5"/>
  <c r="C47" i="5" s="1"/>
  <c r="Q46" i="5"/>
  <c r="L46" i="5"/>
  <c r="K46" i="5"/>
  <c r="J46" i="5"/>
  <c r="I46" i="5"/>
  <c r="H46" i="5"/>
  <c r="G46" i="5"/>
  <c r="E46" i="5"/>
  <c r="F46" i="5" s="1"/>
  <c r="B46" i="5"/>
  <c r="D46" i="5" s="1"/>
  <c r="Q45" i="5"/>
  <c r="P45" i="5" s="1"/>
  <c r="O45" i="5"/>
  <c r="L45" i="5"/>
  <c r="K45" i="5"/>
  <c r="J45" i="5"/>
  <c r="I45" i="5"/>
  <c r="H45" i="5"/>
  <c r="G45" i="5"/>
  <c r="E45" i="5"/>
  <c r="M45" i="5" s="1"/>
  <c r="B45" i="5"/>
  <c r="D45" i="5" s="1"/>
  <c r="M44" i="5"/>
  <c r="L44" i="5"/>
  <c r="K44" i="5"/>
  <c r="J44" i="5"/>
  <c r="I44" i="5"/>
  <c r="H44" i="5"/>
  <c r="G44" i="5"/>
  <c r="E44" i="5"/>
  <c r="O44" i="5" s="1"/>
  <c r="B44" i="5"/>
  <c r="Q43" i="5"/>
  <c r="P43" i="5" s="1"/>
  <c r="L43" i="5"/>
  <c r="K43" i="5"/>
  <c r="J43" i="5"/>
  <c r="I43" i="5"/>
  <c r="H43" i="5"/>
  <c r="G43" i="5"/>
  <c r="E43" i="5"/>
  <c r="O43" i="5" s="1"/>
  <c r="B43" i="5"/>
  <c r="S43" i="5" s="1"/>
  <c r="Q42" i="5"/>
  <c r="L42" i="5"/>
  <c r="K42" i="5"/>
  <c r="J42" i="5"/>
  <c r="I42" i="5"/>
  <c r="H42" i="5"/>
  <c r="G42" i="5"/>
  <c r="E42" i="5"/>
  <c r="O42" i="5" s="1"/>
  <c r="B42" i="5"/>
  <c r="C42" i="5" s="1"/>
  <c r="Q41" i="5"/>
  <c r="L41" i="5"/>
  <c r="K41" i="5"/>
  <c r="J41" i="5"/>
  <c r="I41" i="5"/>
  <c r="H41" i="5"/>
  <c r="G41" i="5"/>
  <c r="E41" i="5"/>
  <c r="O41" i="5" s="1"/>
  <c r="B41" i="5"/>
  <c r="D41" i="5" s="1"/>
  <c r="Q40" i="5"/>
  <c r="R40" i="5" s="1"/>
  <c r="P40" i="5"/>
  <c r="L40" i="5"/>
  <c r="K40" i="5"/>
  <c r="J40" i="5"/>
  <c r="I40" i="5"/>
  <c r="H40" i="5"/>
  <c r="G40" i="5"/>
  <c r="E40" i="5"/>
  <c r="B40" i="5"/>
  <c r="L39" i="5"/>
  <c r="K39" i="5"/>
  <c r="J39" i="5"/>
  <c r="I39" i="5"/>
  <c r="H39" i="5"/>
  <c r="G39" i="5"/>
  <c r="E39" i="5"/>
  <c r="M39" i="5" s="1"/>
  <c r="B39" i="5"/>
  <c r="Q38" i="5"/>
  <c r="L38" i="5"/>
  <c r="K38" i="5"/>
  <c r="J38" i="5"/>
  <c r="I38" i="5"/>
  <c r="H38" i="5"/>
  <c r="G38" i="5"/>
  <c r="E38" i="5"/>
  <c r="M38" i="5" s="1"/>
  <c r="B38" i="5"/>
  <c r="S38" i="5" s="1"/>
  <c r="L37" i="5"/>
  <c r="K37" i="5"/>
  <c r="J37" i="5"/>
  <c r="I37" i="5"/>
  <c r="H37" i="5"/>
  <c r="G37" i="5"/>
  <c r="E37" i="5"/>
  <c r="B37" i="5"/>
  <c r="L36" i="5"/>
  <c r="K36" i="5"/>
  <c r="J36" i="5"/>
  <c r="I36" i="5"/>
  <c r="H36" i="5"/>
  <c r="G36" i="5"/>
  <c r="E36" i="5"/>
  <c r="M36" i="5" s="1"/>
  <c r="B36" i="5"/>
  <c r="S36" i="5" s="1"/>
  <c r="L35" i="5"/>
  <c r="K35" i="5"/>
  <c r="J35" i="5"/>
  <c r="I35" i="5"/>
  <c r="H35" i="5"/>
  <c r="G35" i="5"/>
  <c r="E35" i="5"/>
  <c r="F35" i="5" s="1"/>
  <c r="B35" i="5"/>
  <c r="Q34" i="5"/>
  <c r="L34" i="5"/>
  <c r="K34" i="5"/>
  <c r="J34" i="5"/>
  <c r="I34" i="5"/>
  <c r="H34" i="5"/>
  <c r="G34" i="5"/>
  <c r="E34" i="5"/>
  <c r="O34" i="5" s="1"/>
  <c r="B34" i="5"/>
  <c r="S34" i="5" s="1"/>
  <c r="L33" i="5"/>
  <c r="K33" i="5"/>
  <c r="J33" i="5"/>
  <c r="I33" i="5"/>
  <c r="H33" i="5"/>
  <c r="G33" i="5"/>
  <c r="E33" i="5"/>
  <c r="B33" i="5"/>
  <c r="Q32" i="5"/>
  <c r="R32" i="5" s="1"/>
  <c r="P32" i="5"/>
  <c r="L32" i="5"/>
  <c r="K32" i="5"/>
  <c r="J32" i="5"/>
  <c r="I32" i="5"/>
  <c r="H32" i="5"/>
  <c r="G32" i="5"/>
  <c r="E32" i="5"/>
  <c r="F32" i="5" s="1"/>
  <c r="B32" i="5"/>
  <c r="D32" i="5" s="1"/>
  <c r="N32" i="5" s="1"/>
  <c r="L31" i="5"/>
  <c r="K31" i="5"/>
  <c r="J31" i="5"/>
  <c r="I31" i="5"/>
  <c r="H31" i="5"/>
  <c r="G31" i="5"/>
  <c r="E31" i="5"/>
  <c r="M31" i="5" s="1"/>
  <c r="B31" i="5"/>
  <c r="S31" i="5" s="1"/>
  <c r="L30" i="5"/>
  <c r="K30" i="5"/>
  <c r="J30" i="5"/>
  <c r="I30" i="5"/>
  <c r="H30" i="5"/>
  <c r="G30" i="5"/>
  <c r="E30" i="5"/>
  <c r="O30" i="5" s="1"/>
  <c r="B30" i="5"/>
  <c r="L29" i="5"/>
  <c r="K29" i="5"/>
  <c r="J29" i="5"/>
  <c r="I29" i="5"/>
  <c r="H29" i="5"/>
  <c r="G29" i="5"/>
  <c r="E29" i="5"/>
  <c r="B29" i="5"/>
  <c r="D29" i="5" s="1"/>
  <c r="L28" i="5"/>
  <c r="K28" i="5"/>
  <c r="J28" i="5"/>
  <c r="I28" i="5"/>
  <c r="H28" i="5"/>
  <c r="G28" i="5"/>
  <c r="E28" i="5"/>
  <c r="M28" i="5" s="1"/>
  <c r="B28" i="5"/>
  <c r="D28" i="5" s="1"/>
  <c r="L27" i="5"/>
  <c r="K27" i="5"/>
  <c r="Q27" i="5" s="1"/>
  <c r="J27" i="5"/>
  <c r="I27" i="5"/>
  <c r="H27" i="5"/>
  <c r="G27" i="5"/>
  <c r="E27" i="5"/>
  <c r="F27" i="5" s="1"/>
  <c r="B27" i="5"/>
  <c r="S27" i="5" s="1"/>
  <c r="Q26" i="5"/>
  <c r="R26" i="5" s="1"/>
  <c r="M26" i="5"/>
  <c r="L26" i="5"/>
  <c r="K26" i="5"/>
  <c r="J26" i="5"/>
  <c r="I26" i="5"/>
  <c r="H26" i="5"/>
  <c r="G26" i="5"/>
  <c r="E26" i="5"/>
  <c r="O26" i="5" s="1"/>
  <c r="B26" i="5"/>
  <c r="C26" i="5" s="1"/>
  <c r="L25" i="5"/>
  <c r="K25" i="5"/>
  <c r="J25" i="5"/>
  <c r="I25" i="5"/>
  <c r="H25" i="5"/>
  <c r="G25" i="5"/>
  <c r="E25" i="5"/>
  <c r="O25" i="5" s="1"/>
  <c r="B25" i="5"/>
  <c r="L24" i="5"/>
  <c r="K24" i="5"/>
  <c r="J24" i="5"/>
  <c r="I24" i="5"/>
  <c r="H24" i="5"/>
  <c r="G24" i="5"/>
  <c r="E24" i="5"/>
  <c r="O24" i="5" s="1"/>
  <c r="B24" i="5"/>
  <c r="L23" i="5"/>
  <c r="K23" i="5"/>
  <c r="J23" i="5"/>
  <c r="I23" i="5"/>
  <c r="H23" i="5"/>
  <c r="G23" i="5"/>
  <c r="E23" i="5"/>
  <c r="B23" i="5"/>
  <c r="D23" i="5" s="1"/>
  <c r="L22" i="5"/>
  <c r="K22" i="5"/>
  <c r="J22" i="5"/>
  <c r="I22" i="5"/>
  <c r="H22" i="5"/>
  <c r="G22" i="5"/>
  <c r="E22" i="5"/>
  <c r="B22" i="5"/>
  <c r="C22" i="5" s="1"/>
  <c r="L21" i="5"/>
  <c r="K21" i="5"/>
  <c r="J21" i="5"/>
  <c r="I21" i="5"/>
  <c r="H21" i="5"/>
  <c r="G21" i="5"/>
  <c r="E21" i="5"/>
  <c r="O21" i="5" s="1"/>
  <c r="B21" i="5"/>
  <c r="O20" i="5"/>
  <c r="L20" i="5"/>
  <c r="K20" i="5"/>
  <c r="J20" i="5"/>
  <c r="I20" i="5"/>
  <c r="H20" i="5"/>
  <c r="G20" i="5"/>
  <c r="E20" i="5"/>
  <c r="M20" i="5" s="1"/>
  <c r="B20" i="5"/>
  <c r="S20" i="5" s="1"/>
  <c r="L19" i="5"/>
  <c r="K19" i="5"/>
  <c r="J19" i="5"/>
  <c r="I19" i="5"/>
  <c r="H19" i="5"/>
  <c r="G19" i="5"/>
  <c r="E19" i="5"/>
  <c r="M19" i="5" s="1"/>
  <c r="B19" i="5"/>
  <c r="C19" i="5" s="1"/>
  <c r="L18" i="5"/>
  <c r="K18" i="5"/>
  <c r="J18" i="5"/>
  <c r="I18" i="5"/>
  <c r="H18" i="5"/>
  <c r="G18" i="5"/>
  <c r="E18" i="5"/>
  <c r="M18" i="5" s="1"/>
  <c r="B18" i="5"/>
  <c r="S18" i="5" s="1"/>
  <c r="L17" i="5"/>
  <c r="K17" i="5"/>
  <c r="J17" i="5"/>
  <c r="I17" i="5"/>
  <c r="H17" i="5"/>
  <c r="G17" i="5"/>
  <c r="E17" i="5"/>
  <c r="O17" i="5" s="1"/>
  <c r="B17" i="5"/>
  <c r="L16" i="5"/>
  <c r="K16" i="5"/>
  <c r="Q16" i="5" s="1"/>
  <c r="J16" i="5"/>
  <c r="I16" i="5"/>
  <c r="H16" i="5"/>
  <c r="G16" i="5"/>
  <c r="E16" i="5"/>
  <c r="M16" i="5" s="1"/>
  <c r="B16" i="5"/>
  <c r="L15" i="5"/>
  <c r="K15" i="5"/>
  <c r="J15" i="5"/>
  <c r="I15" i="5"/>
  <c r="H15" i="5"/>
  <c r="G15" i="5"/>
  <c r="E15" i="5"/>
  <c r="M15" i="5" s="1"/>
  <c r="B15" i="5"/>
  <c r="D15" i="5" s="1"/>
  <c r="L14" i="5"/>
  <c r="K14" i="5"/>
  <c r="J14" i="5"/>
  <c r="I14" i="5"/>
  <c r="H14" i="5"/>
  <c r="G14" i="5"/>
  <c r="E14" i="5"/>
  <c r="O14" i="5" s="1"/>
  <c r="B14" i="5"/>
  <c r="C14" i="5" s="1"/>
  <c r="L13" i="5"/>
  <c r="K13" i="5"/>
  <c r="J13" i="5"/>
  <c r="I13" i="5"/>
  <c r="H13" i="5"/>
  <c r="G13" i="5"/>
  <c r="E13" i="5"/>
  <c r="M13" i="5" s="1"/>
  <c r="B13" i="5"/>
  <c r="S13" i="5" s="1"/>
  <c r="L12" i="5"/>
  <c r="K12" i="5"/>
  <c r="J12" i="5"/>
  <c r="I12" i="5"/>
  <c r="H12" i="5"/>
  <c r="G12" i="5"/>
  <c r="E12" i="5"/>
  <c r="B12" i="5"/>
  <c r="S12" i="5" s="1"/>
  <c r="L11" i="5"/>
  <c r="K11" i="5"/>
  <c r="J11" i="5"/>
  <c r="I11" i="5"/>
  <c r="H11" i="5"/>
  <c r="G11" i="5"/>
  <c r="E11" i="5"/>
  <c r="B11" i="5"/>
  <c r="D11" i="5" s="1"/>
  <c r="O10" i="5"/>
  <c r="L10" i="5"/>
  <c r="K10" i="5"/>
  <c r="J10" i="5"/>
  <c r="I10" i="5"/>
  <c r="H10" i="5"/>
  <c r="G10" i="5"/>
  <c r="E10" i="5"/>
  <c r="M10" i="5" s="1"/>
  <c r="B10" i="5"/>
  <c r="Q9" i="5"/>
  <c r="R9" i="5" s="1"/>
  <c r="L9" i="5"/>
  <c r="K9" i="5"/>
  <c r="J9" i="5"/>
  <c r="I9" i="5"/>
  <c r="H9" i="5"/>
  <c r="G9" i="5"/>
  <c r="E9" i="5"/>
  <c r="F9" i="5" s="1"/>
  <c r="B9" i="5"/>
  <c r="Q8" i="5"/>
  <c r="R8" i="5" s="1"/>
  <c r="L8" i="5"/>
  <c r="K8" i="5"/>
  <c r="J8" i="5"/>
  <c r="I8" i="5"/>
  <c r="H8" i="5"/>
  <c r="G8" i="5"/>
  <c r="E8" i="5"/>
  <c r="B8" i="5"/>
  <c r="Q7" i="5"/>
  <c r="R7" i="5" s="1"/>
  <c r="L7" i="5"/>
  <c r="K7" i="5"/>
  <c r="J7" i="5"/>
  <c r="I7" i="5"/>
  <c r="H7" i="5"/>
  <c r="G7" i="5"/>
  <c r="E7" i="5"/>
  <c r="O7" i="5" s="1"/>
  <c r="B7" i="5"/>
  <c r="Q6" i="5"/>
  <c r="L6" i="5"/>
  <c r="K6" i="5"/>
  <c r="J6" i="5"/>
  <c r="I6" i="5"/>
  <c r="H6" i="5"/>
  <c r="G6" i="5"/>
  <c r="E6" i="5"/>
  <c r="F6" i="5" s="1"/>
  <c r="B6" i="5"/>
  <c r="C6" i="5" s="1"/>
  <c r="L5" i="5"/>
  <c r="K5" i="5"/>
  <c r="J5" i="5"/>
  <c r="I5" i="5"/>
  <c r="H5" i="5"/>
  <c r="G5" i="5"/>
  <c r="E5" i="5"/>
  <c r="B5" i="5"/>
  <c r="S5" i="5" s="1"/>
  <c r="D3" i="2"/>
  <c r="C8" i="1"/>
  <c r="F90" i="5" l="1"/>
  <c r="C107" i="5"/>
  <c r="S107" i="5"/>
  <c r="C135" i="5"/>
  <c r="S135" i="5"/>
  <c r="C250" i="5"/>
  <c r="F328" i="5"/>
  <c r="N338" i="5"/>
  <c r="F355" i="5"/>
  <c r="F378" i="5"/>
  <c r="F170" i="5"/>
  <c r="D214" i="5"/>
  <c r="S385" i="5"/>
  <c r="D22" i="5"/>
  <c r="C191" i="5"/>
  <c r="N217" i="5"/>
  <c r="M27" i="5"/>
  <c r="N41" i="5"/>
  <c r="M179" i="5"/>
  <c r="D191" i="5"/>
  <c r="N191" i="5" s="1"/>
  <c r="N257" i="5"/>
  <c r="N277" i="5"/>
  <c r="M277" i="5"/>
  <c r="O323" i="5"/>
  <c r="M344" i="5"/>
  <c r="N389" i="5"/>
  <c r="F191" i="5"/>
  <c r="O389" i="5"/>
  <c r="F139" i="5"/>
  <c r="N15" i="5"/>
  <c r="M17" i="5"/>
  <c r="F28" i="5"/>
  <c r="D43" i="5"/>
  <c r="F54" i="5"/>
  <c r="M134" i="5"/>
  <c r="O156" i="5"/>
  <c r="O202" i="5"/>
  <c r="F241" i="5"/>
  <c r="C278" i="5"/>
  <c r="D345" i="5"/>
  <c r="N345" i="5" s="1"/>
  <c r="F376" i="5"/>
  <c r="F389" i="5"/>
  <c r="P68" i="5"/>
  <c r="F16" i="5"/>
  <c r="S287" i="5"/>
  <c r="O16" i="5"/>
  <c r="F51" i="5"/>
  <c r="S128" i="5"/>
  <c r="D5" i="5"/>
  <c r="O28" i="5"/>
  <c r="N57" i="5"/>
  <c r="F111" i="5"/>
  <c r="M114" i="5"/>
  <c r="S137" i="5"/>
  <c r="F171" i="5"/>
  <c r="C184" i="5"/>
  <c r="S228" i="5"/>
  <c r="S258" i="5"/>
  <c r="F298" i="5"/>
  <c r="F312" i="5"/>
  <c r="N321" i="5"/>
  <c r="O321" i="5"/>
  <c r="F350" i="5"/>
  <c r="F356" i="5"/>
  <c r="C357" i="5"/>
  <c r="M357" i="5"/>
  <c r="C369" i="5"/>
  <c r="O51" i="5"/>
  <c r="O81" i="5"/>
  <c r="C45" i="5"/>
  <c r="S19" i="5"/>
  <c r="O105" i="5"/>
  <c r="D184" i="5"/>
  <c r="N184" i="5" s="1"/>
  <c r="N333" i="5"/>
  <c r="D369" i="5"/>
  <c r="C9" i="1"/>
  <c r="O133" i="5"/>
  <c r="F57" i="5"/>
  <c r="S281" i="5"/>
  <c r="S389" i="5"/>
  <c r="D101" i="5"/>
  <c r="N101" i="5" s="1"/>
  <c r="F81" i="5"/>
  <c r="F42" i="5"/>
  <c r="S46" i="5"/>
  <c r="F105" i="5"/>
  <c r="C116" i="5"/>
  <c r="F133" i="5"/>
  <c r="C161" i="5"/>
  <c r="Q15" i="5"/>
  <c r="C43" i="5"/>
  <c r="M47" i="5"/>
  <c r="D116" i="5"/>
  <c r="F138" i="5"/>
  <c r="D161" i="5"/>
  <c r="N180" i="5"/>
  <c r="M180" i="5"/>
  <c r="F184" i="5"/>
  <c r="N185" i="5"/>
  <c r="M203" i="5"/>
  <c r="F214" i="5"/>
  <c r="O215" i="5"/>
  <c r="M231" i="5"/>
  <c r="M309" i="5"/>
  <c r="C361" i="5"/>
  <c r="F371" i="5"/>
  <c r="Q376" i="5"/>
  <c r="O324" i="5"/>
  <c r="D361" i="5"/>
  <c r="N361" i="5" s="1"/>
  <c r="F119" i="5"/>
  <c r="Q128" i="5"/>
  <c r="M149" i="5"/>
  <c r="M182" i="5"/>
  <c r="C209" i="5"/>
  <c r="D226" i="5"/>
  <c r="D254" i="5"/>
  <c r="S254" i="5"/>
  <c r="S284" i="5"/>
  <c r="N296" i="5"/>
  <c r="F324" i="5"/>
  <c r="F372" i="5"/>
  <c r="O376" i="5"/>
  <c r="F385" i="5"/>
  <c r="D395" i="5"/>
  <c r="N395" i="5" s="1"/>
  <c r="S395" i="5"/>
  <c r="O137" i="5"/>
  <c r="N153" i="5"/>
  <c r="S155" i="5"/>
  <c r="S226" i="5"/>
  <c r="N244" i="5"/>
  <c r="M246" i="5"/>
  <c r="O256" i="5"/>
  <c r="S275" i="5"/>
  <c r="P279" i="5"/>
  <c r="F91" i="5"/>
  <c r="R125" i="5"/>
  <c r="P125" i="5"/>
  <c r="F151" i="5"/>
  <c r="S153" i="5"/>
  <c r="D194" i="5"/>
  <c r="N194" i="5" s="1"/>
  <c r="S194" i="5"/>
  <c r="O210" i="5"/>
  <c r="F210" i="5"/>
  <c r="F226" i="5"/>
  <c r="M226" i="5"/>
  <c r="S15" i="5"/>
  <c r="M61" i="5"/>
  <c r="S152" i="5"/>
  <c r="O161" i="5"/>
  <c r="F161" i="5"/>
  <c r="O238" i="5"/>
  <c r="M238" i="5"/>
  <c r="S326" i="5"/>
  <c r="D326" i="5"/>
  <c r="N326" i="5" s="1"/>
  <c r="M386" i="5"/>
  <c r="F386" i="5"/>
  <c r="F61" i="5"/>
  <c r="P9" i="5"/>
  <c r="Q25" i="5"/>
  <c r="N28" i="5"/>
  <c r="M35" i="5"/>
  <c r="O52" i="5"/>
  <c r="O70" i="5"/>
  <c r="F70" i="5"/>
  <c r="N106" i="5"/>
  <c r="S154" i="5"/>
  <c r="C154" i="5"/>
  <c r="R180" i="5"/>
  <c r="P180" i="5"/>
  <c r="M91" i="5"/>
  <c r="O260" i="5"/>
  <c r="F14" i="5"/>
  <c r="O27" i="5"/>
  <c r="D34" i="5"/>
  <c r="N34" i="5" s="1"/>
  <c r="M79" i="5"/>
  <c r="F79" i="5"/>
  <c r="O35" i="5"/>
  <c r="O53" i="5"/>
  <c r="S89" i="5"/>
  <c r="F93" i="5"/>
  <c r="M93" i="5"/>
  <c r="O127" i="5"/>
  <c r="F127" i="5"/>
  <c r="N128" i="5"/>
  <c r="N140" i="5"/>
  <c r="S140" i="5"/>
  <c r="Q200" i="5"/>
  <c r="P269" i="5"/>
  <c r="M300" i="5"/>
  <c r="F300" i="5"/>
  <c r="Q44" i="5"/>
  <c r="F62" i="5"/>
  <c r="M62" i="5"/>
  <c r="C67" i="5"/>
  <c r="D67" i="5"/>
  <c r="R67" i="5"/>
  <c r="P67" i="5"/>
  <c r="Q142" i="5"/>
  <c r="R142" i="5" s="1"/>
  <c r="M171" i="5"/>
  <c r="M188" i="5"/>
  <c r="F188" i="5"/>
  <c r="M200" i="5"/>
  <c r="F200" i="5"/>
  <c r="O214" i="5"/>
  <c r="O255" i="5"/>
  <c r="F255" i="5"/>
  <c r="M25" i="5"/>
  <c r="C5" i="5"/>
  <c r="Q19" i="5"/>
  <c r="R19" i="5" s="1"/>
  <c r="F25" i="5"/>
  <c r="O31" i="5"/>
  <c r="O68" i="5"/>
  <c r="O74" i="5"/>
  <c r="F74" i="5"/>
  <c r="D75" i="5"/>
  <c r="S75" i="5"/>
  <c r="N86" i="5"/>
  <c r="O90" i="5"/>
  <c r="N117" i="5"/>
  <c r="N118" i="5"/>
  <c r="O252" i="5"/>
  <c r="F252" i="5"/>
  <c r="R278" i="5"/>
  <c r="P278" i="5"/>
  <c r="O107" i="5"/>
  <c r="N107" i="5"/>
  <c r="F107" i="5"/>
  <c r="M118" i="5"/>
  <c r="F118" i="5"/>
  <c r="M132" i="5"/>
  <c r="S176" i="5"/>
  <c r="D176" i="5"/>
  <c r="N176" i="5" s="1"/>
  <c r="C176" i="5"/>
  <c r="D14" i="5"/>
  <c r="N14" i="5" s="1"/>
  <c r="O19" i="5"/>
  <c r="F132" i="5"/>
  <c r="Q133" i="5"/>
  <c r="R133" i="5" s="1"/>
  <c r="N161" i="5"/>
  <c r="M161" i="5"/>
  <c r="Q162" i="5"/>
  <c r="O362" i="5"/>
  <c r="F362" i="5"/>
  <c r="O386" i="5"/>
  <c r="M195" i="5"/>
  <c r="N227" i="5"/>
  <c r="O270" i="5"/>
  <c r="M279" i="5"/>
  <c r="M292" i="5"/>
  <c r="M297" i="5"/>
  <c r="Q327" i="5"/>
  <c r="M332" i="5"/>
  <c r="F338" i="5"/>
  <c r="O338" i="5"/>
  <c r="S359" i="5"/>
  <c r="M381" i="5"/>
  <c r="M388" i="5"/>
  <c r="F195" i="5"/>
  <c r="F201" i="5"/>
  <c r="S219" i="5"/>
  <c r="O227" i="5"/>
  <c r="C234" i="5"/>
  <c r="F270" i="5"/>
  <c r="F279" i="5"/>
  <c r="F292" i="5"/>
  <c r="F297" i="5"/>
  <c r="F302" i="5"/>
  <c r="C327" i="5"/>
  <c r="F332" i="5"/>
  <c r="Q389" i="5"/>
  <c r="P389" i="5" s="1"/>
  <c r="M391" i="5"/>
  <c r="S45" i="5"/>
  <c r="N115" i="5"/>
  <c r="Q123" i="5"/>
  <c r="R123" i="5" s="1"/>
  <c r="M129" i="5"/>
  <c r="Q132" i="5"/>
  <c r="O134" i="5"/>
  <c r="O138" i="5"/>
  <c r="O149" i="5"/>
  <c r="Q152" i="5"/>
  <c r="N157" i="5"/>
  <c r="D162" i="5"/>
  <c r="N162" i="5" s="1"/>
  <c r="C170" i="5"/>
  <c r="O182" i="5"/>
  <c r="C185" i="5"/>
  <c r="S185" i="5"/>
  <c r="D197" i="5"/>
  <c r="N197" i="5" s="1"/>
  <c r="S205" i="5"/>
  <c r="S211" i="5"/>
  <c r="S222" i="5"/>
  <c r="Q226" i="5"/>
  <c r="C236" i="5"/>
  <c r="S264" i="5"/>
  <c r="N287" i="5"/>
  <c r="O287" i="5"/>
  <c r="M298" i="5"/>
  <c r="M317" i="5"/>
  <c r="D327" i="5"/>
  <c r="Q335" i="5"/>
  <c r="R338" i="5"/>
  <c r="D354" i="5"/>
  <c r="N354" i="5" s="1"/>
  <c r="Q361" i="5"/>
  <c r="R361" i="5" s="1"/>
  <c r="F391" i="5"/>
  <c r="S96" i="5"/>
  <c r="Q150" i="5"/>
  <c r="N158" i="5"/>
  <c r="M163" i="5"/>
  <c r="M167" i="5"/>
  <c r="D170" i="5"/>
  <c r="N170" i="5" s="1"/>
  <c r="N193" i="5"/>
  <c r="M193" i="5"/>
  <c r="S198" i="5"/>
  <c r="N207" i="5"/>
  <c r="N212" i="5"/>
  <c r="Q223" i="5"/>
  <c r="D236" i="5"/>
  <c r="N249" i="5"/>
  <c r="N265" i="5"/>
  <c r="Q290" i="5"/>
  <c r="R290" i="5" s="1"/>
  <c r="S333" i="5"/>
  <c r="N356" i="5"/>
  <c r="N378" i="5"/>
  <c r="S391" i="5"/>
  <c r="O163" i="5"/>
  <c r="O167" i="5"/>
  <c r="S199" i="5"/>
  <c r="N214" i="5"/>
  <c r="S259" i="5"/>
  <c r="S268" i="5"/>
  <c r="M325" i="5"/>
  <c r="O328" i="5"/>
  <c r="M335" i="5"/>
  <c r="O356" i="5"/>
  <c r="O361" i="5"/>
  <c r="N370" i="5"/>
  <c r="M378" i="5"/>
  <c r="O393" i="5"/>
  <c r="N289" i="5"/>
  <c r="N311" i="5"/>
  <c r="S329" i="5"/>
  <c r="N362" i="5"/>
  <c r="O54" i="5"/>
  <c r="Q107" i="5"/>
  <c r="O111" i="5"/>
  <c r="Q114" i="5"/>
  <c r="S143" i="5"/>
  <c r="Q149" i="5"/>
  <c r="N164" i="5"/>
  <c r="S164" i="5"/>
  <c r="O184" i="5"/>
  <c r="M227" i="5"/>
  <c r="O232" i="5"/>
  <c r="M241" i="5"/>
  <c r="N279" i="5"/>
  <c r="D291" i="5"/>
  <c r="M312" i="5"/>
  <c r="O343" i="5"/>
  <c r="D357" i="5"/>
  <c r="N357" i="5" s="1"/>
  <c r="S397" i="5"/>
  <c r="P277" i="5"/>
  <c r="R99" i="5"/>
  <c r="R141" i="5"/>
  <c r="R388" i="5"/>
  <c r="R192" i="5"/>
  <c r="R43" i="5"/>
  <c r="R243" i="5"/>
  <c r="R88" i="5"/>
  <c r="R352" i="5"/>
  <c r="R348" i="5"/>
  <c r="R272" i="5"/>
  <c r="P61" i="5"/>
  <c r="P380" i="5"/>
  <c r="Q59" i="5"/>
  <c r="Q151" i="5"/>
  <c r="Q238" i="5"/>
  <c r="Q37" i="5"/>
  <c r="R330" i="5"/>
  <c r="P165" i="5"/>
  <c r="P211" i="5"/>
  <c r="S330" i="5"/>
  <c r="Q398" i="5"/>
  <c r="C266" i="5"/>
  <c r="R281" i="5"/>
  <c r="R284" i="5"/>
  <c r="S294" i="5"/>
  <c r="P298" i="5"/>
  <c r="C326" i="5"/>
  <c r="C345" i="5"/>
  <c r="C11" i="5"/>
  <c r="C57" i="5"/>
  <c r="D398" i="5"/>
  <c r="N398" i="5" s="1"/>
  <c r="C90" i="5"/>
  <c r="D232" i="5"/>
  <c r="N232" i="5" s="1"/>
  <c r="D268" i="5"/>
  <c r="N268" i="5" s="1"/>
  <c r="D154" i="5"/>
  <c r="N154" i="5" s="1"/>
  <c r="D141" i="5"/>
  <c r="N141" i="5" s="1"/>
  <c r="C153" i="5"/>
  <c r="Q148" i="5"/>
  <c r="R258" i="5"/>
  <c r="D295" i="5"/>
  <c r="C341" i="5"/>
  <c r="C206" i="5"/>
  <c r="C213" i="5"/>
  <c r="Q105" i="5"/>
  <c r="R105" i="5" s="1"/>
  <c r="D275" i="5"/>
  <c r="N275" i="5" s="1"/>
  <c r="C140" i="5"/>
  <c r="Q193" i="5"/>
  <c r="C205" i="5"/>
  <c r="D219" i="5"/>
  <c r="Q236" i="5"/>
  <c r="C329" i="5"/>
  <c r="C333" i="5"/>
  <c r="C351" i="5"/>
  <c r="C359" i="5"/>
  <c r="C78" i="5"/>
  <c r="C144" i="5"/>
  <c r="C167" i="5"/>
  <c r="P197" i="5"/>
  <c r="D216" i="5"/>
  <c r="N216" i="5" s="1"/>
  <c r="S223" i="5"/>
  <c r="D258" i="5"/>
  <c r="N258" i="5" s="1"/>
  <c r="D336" i="5"/>
  <c r="C343" i="5"/>
  <c r="Q345" i="5"/>
  <c r="P345" i="5" s="1"/>
  <c r="C386" i="5"/>
  <c r="C391" i="5"/>
  <c r="D97" i="5"/>
  <c r="D272" i="5"/>
  <c r="N272" i="5" s="1"/>
  <c r="D330" i="5"/>
  <c r="C175" i="5"/>
  <c r="D294" i="5"/>
  <c r="N294" i="5" s="1"/>
  <c r="C132" i="5"/>
  <c r="Q70" i="5"/>
  <c r="D114" i="5"/>
  <c r="N114" i="5" s="1"/>
  <c r="D132" i="5"/>
  <c r="N132" i="5" s="1"/>
  <c r="D168" i="5"/>
  <c r="N168" i="5" s="1"/>
  <c r="R183" i="5"/>
  <c r="R184" i="5"/>
  <c r="S11" i="5"/>
  <c r="S14" i="5"/>
  <c r="Q33" i="5"/>
  <c r="R33" i="5" s="1"/>
  <c r="D78" i="5"/>
  <c r="N78" i="5" s="1"/>
  <c r="S124" i="5"/>
  <c r="D144" i="5"/>
  <c r="N144" i="5" s="1"/>
  <c r="S158" i="5"/>
  <c r="Q181" i="5"/>
  <c r="S187" i="5"/>
  <c r="Q288" i="5"/>
  <c r="R288" i="5" s="1"/>
  <c r="D343" i="5"/>
  <c r="D386" i="5"/>
  <c r="N386" i="5" s="1"/>
  <c r="D90" i="5"/>
  <c r="N90" i="5" s="1"/>
  <c r="Q256" i="5"/>
  <c r="R256" i="5" s="1"/>
  <c r="D319" i="5"/>
  <c r="N319" i="5" s="1"/>
  <c r="C319" i="5"/>
  <c r="C348" i="5"/>
  <c r="D137" i="5"/>
  <c r="C141" i="5"/>
  <c r="C305" i="5"/>
  <c r="D281" i="5"/>
  <c r="C93" i="5"/>
  <c r="C114" i="5"/>
  <c r="S121" i="5"/>
  <c r="Q302" i="5"/>
  <c r="C15" i="5"/>
  <c r="D31" i="5"/>
  <c r="N31" i="5" s="1"/>
  <c r="Q53" i="5"/>
  <c r="S57" i="5"/>
  <c r="Q175" i="5"/>
  <c r="R175" i="5" s="1"/>
  <c r="C198" i="5"/>
  <c r="D221" i="5"/>
  <c r="N221" i="5" s="1"/>
  <c r="Q222" i="5"/>
  <c r="C227" i="5"/>
  <c r="D234" i="5"/>
  <c r="N234" i="5" s="1"/>
  <c r="Q235" i="5"/>
  <c r="S256" i="5"/>
  <c r="D264" i="5"/>
  <c r="N264" i="5" s="1"/>
  <c r="P276" i="5"/>
  <c r="S341" i="5"/>
  <c r="S357" i="5"/>
  <c r="C385" i="5"/>
  <c r="D73" i="5"/>
  <c r="C89" i="5"/>
  <c r="D209" i="5"/>
  <c r="N209" i="5" s="1"/>
  <c r="D50" i="5"/>
  <c r="N50" i="5" s="1"/>
  <c r="R78" i="5"/>
  <c r="D96" i="5"/>
  <c r="C168" i="5"/>
  <c r="F14" i="4"/>
  <c r="G14" i="4" s="1"/>
  <c r="P26" i="5"/>
  <c r="C34" i="5"/>
  <c r="P47" i="5"/>
  <c r="S50" i="5"/>
  <c r="P69" i="5"/>
  <c r="D155" i="5"/>
  <c r="N155" i="5" s="1"/>
  <c r="C183" i="5"/>
  <c r="D204" i="5"/>
  <c r="N204" i="5" s="1"/>
  <c r="S213" i="5"/>
  <c r="P229" i="5"/>
  <c r="S295" i="5"/>
  <c r="S299" i="5"/>
  <c r="S302" i="5"/>
  <c r="S305" i="5"/>
  <c r="S377" i="5"/>
  <c r="C389" i="5"/>
  <c r="C390" i="5"/>
  <c r="P157" i="5"/>
  <c r="P294" i="5"/>
  <c r="P310" i="5"/>
  <c r="D19" i="5"/>
  <c r="N19" i="5" s="1"/>
  <c r="M100" i="5"/>
  <c r="O100" i="5"/>
  <c r="F100" i="5"/>
  <c r="D163" i="5"/>
  <c r="N163" i="5" s="1"/>
  <c r="C163" i="5"/>
  <c r="F185" i="5"/>
  <c r="C27" i="5"/>
  <c r="D211" i="5"/>
  <c r="N211" i="5" s="1"/>
  <c r="O224" i="5"/>
  <c r="M224" i="5"/>
  <c r="M6" i="5"/>
  <c r="F19" i="5"/>
  <c r="C23" i="5"/>
  <c r="F157" i="5"/>
  <c r="F224" i="5"/>
  <c r="D228" i="5"/>
  <c r="N228" i="5" s="1"/>
  <c r="D239" i="5"/>
  <c r="N239" i="5" s="1"/>
  <c r="S239" i="5"/>
  <c r="Q239" i="5"/>
  <c r="M280" i="5"/>
  <c r="O280" i="5"/>
  <c r="D284" i="5"/>
  <c r="Q297" i="5"/>
  <c r="C323" i="5"/>
  <c r="S323" i="5"/>
  <c r="P326" i="5"/>
  <c r="R326" i="5"/>
  <c r="D365" i="5"/>
  <c r="N365" i="5" s="1"/>
  <c r="C365" i="5"/>
  <c r="M395" i="5"/>
  <c r="F395" i="5"/>
  <c r="O395" i="5"/>
  <c r="C230" i="5"/>
  <c r="S230" i="5"/>
  <c r="S80" i="5"/>
  <c r="D80" i="5"/>
  <c r="N80" i="5" s="1"/>
  <c r="F186" i="5"/>
  <c r="C13" i="5"/>
  <c r="D47" i="5"/>
  <c r="N47" i="5" s="1"/>
  <c r="C59" i="5"/>
  <c r="C159" i="5"/>
  <c r="M289" i="5"/>
  <c r="O289" i="5"/>
  <c r="O318" i="5"/>
  <c r="M318" i="5"/>
  <c r="F21" i="5"/>
  <c r="Q134" i="5"/>
  <c r="C134" i="5"/>
  <c r="D139" i="5"/>
  <c r="N139" i="5" s="1"/>
  <c r="R168" i="5"/>
  <c r="M267" i="5"/>
  <c r="F267" i="5"/>
  <c r="O267" i="5"/>
  <c r="F369" i="5"/>
  <c r="R124" i="5"/>
  <c r="P124" i="5"/>
  <c r="D130" i="5"/>
  <c r="N130" i="5" s="1"/>
  <c r="D173" i="5"/>
  <c r="N173" i="5" s="1"/>
  <c r="F257" i="5"/>
  <c r="O257" i="5"/>
  <c r="M257" i="5"/>
  <c r="S332" i="5"/>
  <c r="D332" i="5"/>
  <c r="N332" i="5" s="1"/>
  <c r="C332" i="5"/>
  <c r="C28" i="5"/>
  <c r="F34" i="5"/>
  <c r="C98" i="5"/>
  <c r="O12" i="5"/>
  <c r="M12" i="5"/>
  <c r="F20" i="5"/>
  <c r="C70" i="5"/>
  <c r="D71" i="5"/>
  <c r="N71" i="5" s="1"/>
  <c r="C74" i="5"/>
  <c r="D74" i="5"/>
  <c r="N74" i="5" s="1"/>
  <c r="C79" i="5"/>
  <c r="R136" i="5"/>
  <c r="P136" i="5"/>
  <c r="C158" i="5"/>
  <c r="Q208" i="5"/>
  <c r="R208" i="5" s="1"/>
  <c r="C218" i="5"/>
  <c r="D218" i="5"/>
  <c r="S218" i="5"/>
  <c r="Q5" i="5"/>
  <c r="R5" i="5" s="1"/>
  <c r="O6" i="5"/>
  <c r="F12" i="5"/>
  <c r="M14" i="5"/>
  <c r="O15" i="5"/>
  <c r="C32" i="5"/>
  <c r="S67" i="5"/>
  <c r="D70" i="5"/>
  <c r="N70" i="5" s="1"/>
  <c r="M71" i="5"/>
  <c r="D85" i="5"/>
  <c r="C85" i="5"/>
  <c r="O87" i="5"/>
  <c r="O93" i="5"/>
  <c r="S106" i="5"/>
  <c r="D108" i="5"/>
  <c r="N108" i="5" s="1"/>
  <c r="S108" i="5"/>
  <c r="S120" i="5"/>
  <c r="O143" i="5"/>
  <c r="M143" i="5"/>
  <c r="O151" i="5"/>
  <c r="N167" i="5"/>
  <c r="O207" i="5"/>
  <c r="M207" i="5"/>
  <c r="C239" i="5"/>
  <c r="Q240" i="5"/>
  <c r="R240" i="5" s="1"/>
  <c r="D242" i="5"/>
  <c r="N242" i="5" s="1"/>
  <c r="R262" i="5"/>
  <c r="P262" i="5"/>
  <c r="F280" i="5"/>
  <c r="O291" i="5"/>
  <c r="M291" i="5"/>
  <c r="F291" i="5"/>
  <c r="N295" i="5"/>
  <c r="F311" i="5"/>
  <c r="M311" i="5"/>
  <c r="O311" i="5"/>
  <c r="D323" i="5"/>
  <c r="N323" i="5" s="1"/>
  <c r="Q359" i="5"/>
  <c r="N359" i="5"/>
  <c r="M174" i="5"/>
  <c r="O174" i="5"/>
  <c r="O304" i="5"/>
  <c r="M304" i="5"/>
  <c r="F304" i="5"/>
  <c r="M334" i="5"/>
  <c r="O334" i="5"/>
  <c r="M341" i="5"/>
  <c r="F341" i="5"/>
  <c r="N341" i="5"/>
  <c r="M48" i="5"/>
  <c r="F48" i="5"/>
  <c r="Q217" i="5"/>
  <c r="D230" i="5"/>
  <c r="N230" i="5" s="1"/>
  <c r="C100" i="5"/>
  <c r="F123" i="5"/>
  <c r="F135" i="5"/>
  <c r="F204" i="5"/>
  <c r="C243" i="5"/>
  <c r="C29" i="5"/>
  <c r="F76" i="5"/>
  <c r="C92" i="5"/>
  <c r="D92" i="5"/>
  <c r="N92" i="5" s="1"/>
  <c r="D100" i="5"/>
  <c r="N100" i="5" s="1"/>
  <c r="D159" i="5"/>
  <c r="N159" i="5" s="1"/>
  <c r="D253" i="5"/>
  <c r="N253" i="5" s="1"/>
  <c r="C253" i="5"/>
  <c r="S253" i="5"/>
  <c r="M271" i="5"/>
  <c r="O271" i="5"/>
  <c r="C8" i="5"/>
  <c r="S8" i="5"/>
  <c r="Q113" i="5"/>
  <c r="F244" i="5"/>
  <c r="F243" i="5"/>
  <c r="D270" i="5"/>
  <c r="N270" i="5" s="1"/>
  <c r="S270" i="5"/>
  <c r="Q270" i="5"/>
  <c r="R270" i="5" s="1"/>
  <c r="S279" i="5"/>
  <c r="C279" i="5"/>
  <c r="C280" i="5"/>
  <c r="D18" i="5"/>
  <c r="N18" i="5" s="1"/>
  <c r="D26" i="5"/>
  <c r="N26" i="5" s="1"/>
  <c r="D27" i="5"/>
  <c r="N27" i="5" s="1"/>
  <c r="S32" i="5"/>
  <c r="O37" i="5"/>
  <c r="M37" i="5"/>
  <c r="M98" i="5"/>
  <c r="F98" i="5"/>
  <c r="C138" i="5"/>
  <c r="D138" i="5"/>
  <c r="N138" i="5" s="1"/>
  <c r="S138" i="5"/>
  <c r="Q21" i="5"/>
  <c r="R21" i="5" s="1"/>
  <c r="M30" i="5"/>
  <c r="R42" i="5"/>
  <c r="P42" i="5"/>
  <c r="O48" i="5"/>
  <c r="S52" i="5"/>
  <c r="N69" i="5"/>
  <c r="Q80" i="5"/>
  <c r="R87" i="5"/>
  <c r="P87" i="5"/>
  <c r="D94" i="5"/>
  <c r="S94" i="5"/>
  <c r="M101" i="5"/>
  <c r="N137" i="5"/>
  <c r="D142" i="5"/>
  <c r="N142" i="5" s="1"/>
  <c r="S142" i="5"/>
  <c r="O168" i="5"/>
  <c r="M168" i="5"/>
  <c r="M242" i="5"/>
  <c r="O242" i="5"/>
  <c r="F242" i="5"/>
  <c r="N263" i="5"/>
  <c r="O266" i="5"/>
  <c r="M266" i="5"/>
  <c r="D273" i="5"/>
  <c r="N273" i="5" s="1"/>
  <c r="C273" i="5"/>
  <c r="S273" i="5"/>
  <c r="O346" i="5"/>
  <c r="M346" i="5"/>
  <c r="R98" i="5"/>
  <c r="Q31" i="5"/>
  <c r="F63" i="5"/>
  <c r="M63" i="5"/>
  <c r="C99" i="5"/>
  <c r="S157" i="5"/>
  <c r="O196" i="5"/>
  <c r="M196" i="5"/>
  <c r="Q63" i="5"/>
  <c r="R63" i="5" s="1"/>
  <c r="C115" i="5"/>
  <c r="S115" i="5"/>
  <c r="F285" i="5"/>
  <c r="O82" i="5"/>
  <c r="M82" i="5"/>
  <c r="F82" i="5"/>
  <c r="C88" i="5"/>
  <c r="D88" i="5"/>
  <c r="N88" i="5" s="1"/>
  <c r="M135" i="5"/>
  <c r="Q154" i="5"/>
  <c r="P154" i="5" s="1"/>
  <c r="O162" i="5"/>
  <c r="F162" i="5"/>
  <c r="Q170" i="5"/>
  <c r="Q203" i="5"/>
  <c r="M204" i="5"/>
  <c r="O263" i="5"/>
  <c r="M263" i="5"/>
  <c r="C244" i="5"/>
  <c r="S244" i="5"/>
  <c r="R45" i="5"/>
  <c r="C315" i="5"/>
  <c r="Q64" i="5"/>
  <c r="Q52" i="5"/>
  <c r="R52" i="5" s="1"/>
  <c r="R57" i="5"/>
  <c r="P90" i="5"/>
  <c r="R90" i="5"/>
  <c r="Q143" i="5"/>
  <c r="R143" i="5" s="1"/>
  <c r="D143" i="5"/>
  <c r="N143" i="5" s="1"/>
  <c r="Q13" i="5"/>
  <c r="O38" i="5"/>
  <c r="Q55" i="5"/>
  <c r="Q92" i="5"/>
  <c r="Q116" i="5"/>
  <c r="R132" i="5" s="1"/>
  <c r="O123" i="5"/>
  <c r="F12" i="4"/>
  <c r="G12" i="4" s="1"/>
  <c r="O9" i="5"/>
  <c r="C31" i="5"/>
  <c r="O63" i="5"/>
  <c r="F68" i="5"/>
  <c r="Q72" i="5"/>
  <c r="M76" i="5"/>
  <c r="O88" i="5"/>
  <c r="M88" i="5"/>
  <c r="S101" i="5"/>
  <c r="M104" i="5"/>
  <c r="F137" i="5"/>
  <c r="Q139" i="5"/>
  <c r="R139" i="5" s="1"/>
  <c r="O142" i="5"/>
  <c r="M142" i="5"/>
  <c r="M150" i="5"/>
  <c r="M175" i="5"/>
  <c r="F175" i="5"/>
  <c r="O175" i="5"/>
  <c r="S204" i="5"/>
  <c r="O235" i="5"/>
  <c r="M235" i="5"/>
  <c r="C238" i="5"/>
  <c r="O379" i="5"/>
  <c r="M379" i="5"/>
  <c r="D394" i="5"/>
  <c r="N394" i="5" s="1"/>
  <c r="S394" i="5"/>
  <c r="Q213" i="5"/>
  <c r="R213" i="5" s="1"/>
  <c r="S261" i="5"/>
  <c r="D261" i="5"/>
  <c r="N261" i="5" s="1"/>
  <c r="C233" i="5"/>
  <c r="D243" i="5"/>
  <c r="N243" i="5" s="1"/>
  <c r="C75" i="5"/>
  <c r="R167" i="5"/>
  <c r="P167" i="5"/>
  <c r="D8" i="5"/>
  <c r="F95" i="5"/>
  <c r="F196" i="5"/>
  <c r="Q65" i="5"/>
  <c r="R65" i="5" s="1"/>
  <c r="M97" i="5"/>
  <c r="F97" i="5"/>
  <c r="Q100" i="5"/>
  <c r="R100" i="5" s="1"/>
  <c r="Q102" i="5"/>
  <c r="R102" i="5" s="1"/>
  <c r="O104" i="5"/>
  <c r="C113" i="5"/>
  <c r="S113" i="5"/>
  <c r="F124" i="5"/>
  <c r="O124" i="5"/>
  <c r="M124" i="5"/>
  <c r="C145" i="5"/>
  <c r="S145" i="5"/>
  <c r="O185" i="5"/>
  <c r="O190" i="5"/>
  <c r="M190" i="5"/>
  <c r="Q191" i="5"/>
  <c r="O206" i="5"/>
  <c r="M206" i="5"/>
  <c r="Q233" i="5"/>
  <c r="M244" i="5"/>
  <c r="S247" i="5"/>
  <c r="Q257" i="5"/>
  <c r="P257" i="5" s="1"/>
  <c r="C276" i="5"/>
  <c r="S276" i="5"/>
  <c r="D276" i="5"/>
  <c r="N276" i="5" s="1"/>
  <c r="O310" i="5"/>
  <c r="M310" i="5"/>
  <c r="F310" i="5"/>
  <c r="C165" i="5"/>
  <c r="D165" i="5"/>
  <c r="F174" i="5"/>
  <c r="M286" i="5"/>
  <c r="O286" i="5"/>
  <c r="Q318" i="5"/>
  <c r="C318" i="5"/>
  <c r="F334" i="5"/>
  <c r="S372" i="5"/>
  <c r="C372" i="5"/>
  <c r="F38" i="5"/>
  <c r="D13" i="5"/>
  <c r="N13" i="5" s="1"/>
  <c r="C126" i="5"/>
  <c r="D126" i="5"/>
  <c r="N126" i="5" s="1"/>
  <c r="F150" i="5"/>
  <c r="D203" i="5"/>
  <c r="Q300" i="5"/>
  <c r="C300" i="5"/>
  <c r="S300" i="5"/>
  <c r="D300" i="5"/>
  <c r="N300" i="5" s="1"/>
  <c r="D315" i="5"/>
  <c r="F318" i="5"/>
  <c r="F55" i="5"/>
  <c r="D122" i="5"/>
  <c r="S122" i="5"/>
  <c r="Q268" i="5"/>
  <c r="R268" i="5" s="1"/>
  <c r="F271" i="5"/>
  <c r="Q127" i="5"/>
  <c r="R127" i="5" s="1"/>
  <c r="C64" i="5"/>
  <c r="D64" i="5"/>
  <c r="N64" i="5" s="1"/>
  <c r="S29" i="5"/>
  <c r="M34" i="5"/>
  <c r="O39" i="5"/>
  <c r="F39" i="5"/>
  <c r="C52" i="5"/>
  <c r="P86" i="5"/>
  <c r="R86" i="5"/>
  <c r="O95" i="5"/>
  <c r="Q104" i="5"/>
  <c r="R104" i="5" s="1"/>
  <c r="D113" i="5"/>
  <c r="N113" i="5" s="1"/>
  <c r="D127" i="5"/>
  <c r="N127" i="5" s="1"/>
  <c r="C127" i="5"/>
  <c r="M128" i="5"/>
  <c r="F128" i="5"/>
  <c r="S139" i="5"/>
  <c r="D145" i="5"/>
  <c r="Q153" i="5"/>
  <c r="P153" i="5" s="1"/>
  <c r="S173" i="5"/>
  <c r="Q188" i="5"/>
  <c r="R188" i="5" s="1"/>
  <c r="F190" i="5"/>
  <c r="O194" i="5"/>
  <c r="M194" i="5"/>
  <c r="F194" i="5"/>
  <c r="S203" i="5"/>
  <c r="F206" i="5"/>
  <c r="Q218" i="5"/>
  <c r="Q232" i="5"/>
  <c r="S233" i="5"/>
  <c r="F238" i="5"/>
  <c r="M243" i="5"/>
  <c r="C248" i="5"/>
  <c r="S248" i="5"/>
  <c r="O276" i="5"/>
  <c r="M276" i="5"/>
  <c r="F276" i="5"/>
  <c r="O285" i="5"/>
  <c r="D307" i="5"/>
  <c r="S307" i="5"/>
  <c r="S322" i="5"/>
  <c r="D322" i="5"/>
  <c r="N322" i="5" s="1"/>
  <c r="C322" i="5"/>
  <c r="D337" i="5"/>
  <c r="S337" i="5"/>
  <c r="R347" i="5"/>
  <c r="R387" i="5"/>
  <c r="P387" i="5"/>
  <c r="D66" i="5"/>
  <c r="N66" i="5" s="1"/>
  <c r="C66" i="5"/>
  <c r="D208" i="5"/>
  <c r="N208" i="5" s="1"/>
  <c r="C208" i="5"/>
  <c r="S208" i="5"/>
  <c r="F30" i="5"/>
  <c r="D177" i="5"/>
  <c r="C177" i="5"/>
  <c r="C112" i="5"/>
  <c r="S112" i="5"/>
  <c r="C247" i="5"/>
  <c r="C261" i="5"/>
  <c r="D20" i="5"/>
  <c r="N20" i="5" s="1"/>
  <c r="C18" i="5"/>
  <c r="D65" i="5"/>
  <c r="C65" i="5"/>
  <c r="C71" i="5"/>
  <c r="M55" i="5"/>
  <c r="P8" i="5"/>
  <c r="S47" i="5"/>
  <c r="S65" i="5"/>
  <c r="O98" i="5"/>
  <c r="D120" i="5"/>
  <c r="N120" i="5" s="1"/>
  <c r="O131" i="5"/>
  <c r="F131" i="5"/>
  <c r="M131" i="5"/>
  <c r="N135" i="5"/>
  <c r="M157" i="5"/>
  <c r="C174" i="5"/>
  <c r="D174" i="5"/>
  <c r="N174" i="5" s="1"/>
  <c r="S174" i="5"/>
  <c r="O217" i="5"/>
  <c r="M217" i="5"/>
  <c r="M245" i="5"/>
  <c r="O245" i="5"/>
  <c r="D248" i="5"/>
  <c r="O262" i="5"/>
  <c r="M262" i="5"/>
  <c r="S297" i="5"/>
  <c r="C297" i="5"/>
  <c r="S334" i="5"/>
  <c r="D334" i="5"/>
  <c r="N334" i="5" s="1"/>
  <c r="F382" i="5"/>
  <c r="M382" i="5"/>
  <c r="O382" i="5"/>
  <c r="M320" i="5"/>
  <c r="Q324" i="5"/>
  <c r="R324" i="5" s="1"/>
  <c r="O325" i="5"/>
  <c r="P343" i="5"/>
  <c r="R343" i="5"/>
  <c r="C388" i="5"/>
  <c r="D388" i="5"/>
  <c r="N388" i="5" s="1"/>
  <c r="N390" i="5"/>
  <c r="M390" i="5"/>
  <c r="O396" i="5"/>
  <c r="Q54" i="5"/>
  <c r="R54" i="5" s="1"/>
  <c r="M140" i="5"/>
  <c r="M144" i="5"/>
  <c r="Q172" i="5"/>
  <c r="R172" i="5" s="1"/>
  <c r="D172" i="5"/>
  <c r="Q174" i="5"/>
  <c r="R174" i="5" s="1"/>
  <c r="C188" i="5"/>
  <c r="S188" i="5"/>
  <c r="Q190" i="5"/>
  <c r="R190" i="5" s="1"/>
  <c r="Q221" i="5"/>
  <c r="R221" i="5" s="1"/>
  <c r="M249" i="5"/>
  <c r="M272" i="5"/>
  <c r="M288" i="5"/>
  <c r="F288" i="5"/>
  <c r="M290" i="5"/>
  <c r="M296" i="5"/>
  <c r="C303" i="5"/>
  <c r="N317" i="5"/>
  <c r="O320" i="5"/>
  <c r="F333" i="5"/>
  <c r="O333" i="5"/>
  <c r="O351" i="5"/>
  <c r="F368" i="5"/>
  <c r="D371" i="5"/>
  <c r="N371" i="5" s="1"/>
  <c r="S371" i="5"/>
  <c r="C371" i="5"/>
  <c r="C377" i="5"/>
  <c r="C381" i="5"/>
  <c r="S381" i="5"/>
  <c r="F390" i="5"/>
  <c r="Q286" i="5"/>
  <c r="R286" i="5" s="1"/>
  <c r="Q51" i="5"/>
  <c r="R51" i="5" s="1"/>
  <c r="P7" i="5"/>
  <c r="M42" i="5"/>
  <c r="N45" i="5"/>
  <c r="F47" i="5"/>
  <c r="F52" i="5"/>
  <c r="N93" i="5"/>
  <c r="M103" i="5"/>
  <c r="M119" i="5"/>
  <c r="C128" i="5"/>
  <c r="D133" i="5"/>
  <c r="N133" i="5" s="1"/>
  <c r="M139" i="5"/>
  <c r="O153" i="5"/>
  <c r="C164" i="5"/>
  <c r="M170" i="5"/>
  <c r="C172" i="5"/>
  <c r="C180" i="5"/>
  <c r="S180" i="5"/>
  <c r="Q185" i="5"/>
  <c r="P185" i="5" s="1"/>
  <c r="D188" i="5"/>
  <c r="N188" i="5" s="1"/>
  <c r="S197" i="5"/>
  <c r="M201" i="5"/>
  <c r="N226" i="5"/>
  <c r="P226" i="5" s="1"/>
  <c r="Q271" i="5"/>
  <c r="R271" i="5" s="1"/>
  <c r="O272" i="5"/>
  <c r="Q289" i="5"/>
  <c r="R289" i="5" s="1"/>
  <c r="O290" i="5"/>
  <c r="O296" i="5"/>
  <c r="Q301" i="5"/>
  <c r="N11" i="3" s="1"/>
  <c r="D303" i="5"/>
  <c r="N303" i="5" s="1"/>
  <c r="O348" i="5"/>
  <c r="F348" i="5"/>
  <c r="R360" i="5"/>
  <c r="P360" i="5"/>
  <c r="D367" i="5"/>
  <c r="N367" i="5" s="1"/>
  <c r="S367" i="5"/>
  <c r="S375" i="5"/>
  <c r="D381" i="5"/>
  <c r="N381" i="5" s="1"/>
  <c r="M384" i="5"/>
  <c r="F384" i="5"/>
  <c r="O79" i="5"/>
  <c r="N97" i="5"/>
  <c r="Q130" i="5"/>
  <c r="P130" i="5" s="1"/>
  <c r="F156" i="5"/>
  <c r="P169" i="5"/>
  <c r="S214" i="5"/>
  <c r="S221" i="5"/>
  <c r="P296" i="5"/>
  <c r="C299" i="5"/>
  <c r="Q333" i="5"/>
  <c r="P333" i="5" s="1"/>
  <c r="C347" i="5"/>
  <c r="S347" i="5"/>
  <c r="S376" i="5"/>
  <c r="C376" i="5"/>
  <c r="Q195" i="5"/>
  <c r="Q244" i="5"/>
  <c r="R244" i="5" s="1"/>
  <c r="Q251" i="5"/>
  <c r="F299" i="5"/>
  <c r="O299" i="5"/>
  <c r="D313" i="5"/>
  <c r="N313" i="5" s="1"/>
  <c r="S313" i="5"/>
  <c r="C325" i="5"/>
  <c r="S325" i="5"/>
  <c r="Q385" i="5"/>
  <c r="R385" i="5" s="1"/>
  <c r="Q93" i="5"/>
  <c r="R93" i="5" s="1"/>
  <c r="N116" i="5"/>
  <c r="Q135" i="5"/>
  <c r="R149" i="5" s="1"/>
  <c r="F180" i="5"/>
  <c r="F181" i="5"/>
  <c r="C187" i="5"/>
  <c r="F192" i="5"/>
  <c r="N198" i="5"/>
  <c r="F202" i="5"/>
  <c r="S207" i="5"/>
  <c r="D222" i="5"/>
  <c r="S272" i="5"/>
  <c r="N291" i="5"/>
  <c r="C306" i="5"/>
  <c r="S306" i="5"/>
  <c r="Q307" i="5"/>
  <c r="C313" i="5"/>
  <c r="D325" i="5"/>
  <c r="N325" i="5" s="1"/>
  <c r="C331" i="5"/>
  <c r="D331" i="5"/>
  <c r="N331" i="5" s="1"/>
  <c r="S331" i="5"/>
  <c r="N343" i="5"/>
  <c r="O352" i="5"/>
  <c r="M352" i="5"/>
  <c r="D364" i="5"/>
  <c r="N364" i="5" s="1"/>
  <c r="S364" i="5"/>
  <c r="Q394" i="5"/>
  <c r="N396" i="5"/>
  <c r="Q368" i="5"/>
  <c r="Q228" i="5"/>
  <c r="R228" i="5" s="1"/>
  <c r="Q261" i="5"/>
  <c r="R261" i="5" s="1"/>
  <c r="O265" i="5"/>
  <c r="R285" i="5"/>
  <c r="P285" i="5"/>
  <c r="R311" i="5"/>
  <c r="Q322" i="5"/>
  <c r="M365" i="5"/>
  <c r="F396" i="5"/>
  <c r="Q156" i="5"/>
  <c r="R156" i="5" s="1"/>
  <c r="N160" i="5"/>
  <c r="Q161" i="5"/>
  <c r="R161" i="5" s="1"/>
  <c r="R166" i="5"/>
  <c r="P166" i="5"/>
  <c r="C169" i="5"/>
  <c r="S169" i="5"/>
  <c r="Q206" i="5"/>
  <c r="D206" i="5"/>
  <c r="N206" i="5" s="1"/>
  <c r="C207" i="5"/>
  <c r="Q227" i="5"/>
  <c r="P227" i="5" s="1"/>
  <c r="C252" i="5"/>
  <c r="S257" i="5"/>
  <c r="C257" i="5"/>
  <c r="Q275" i="5"/>
  <c r="Q332" i="5"/>
  <c r="D342" i="5"/>
  <c r="N342" i="5" s="1"/>
  <c r="S342" i="5"/>
  <c r="S346" i="5"/>
  <c r="D346" i="5"/>
  <c r="N346" i="5" s="1"/>
  <c r="S350" i="5"/>
  <c r="D350" i="5"/>
  <c r="N350" i="5" s="1"/>
  <c r="F351" i="5"/>
  <c r="D355" i="5"/>
  <c r="N355" i="5" s="1"/>
  <c r="C355" i="5"/>
  <c r="M360" i="5"/>
  <c r="F360" i="5"/>
  <c r="O368" i="5"/>
  <c r="O370" i="5"/>
  <c r="M370" i="5"/>
  <c r="F370" i="5"/>
  <c r="O390" i="5"/>
  <c r="P353" i="5"/>
  <c r="Q395" i="5"/>
  <c r="R395" i="5" s="1"/>
  <c r="N379" i="5"/>
  <c r="Q349" i="5"/>
  <c r="R349" i="5" s="1"/>
  <c r="N351" i="5"/>
  <c r="N369" i="5"/>
  <c r="Q381" i="5"/>
  <c r="Q391" i="5"/>
  <c r="Q259" i="5"/>
  <c r="R259" i="5" s="1"/>
  <c r="Q265" i="5"/>
  <c r="R265" i="5" s="1"/>
  <c r="Q266" i="5"/>
  <c r="R266" i="5" s="1"/>
  <c r="S335" i="5"/>
  <c r="M355" i="5"/>
  <c r="M362" i="5"/>
  <c r="M371" i="5"/>
  <c r="O372" i="5"/>
  <c r="N213" i="5"/>
  <c r="D348" i="5"/>
  <c r="N348" i="5" s="1"/>
  <c r="S354" i="5"/>
  <c r="Q369" i="5"/>
  <c r="S379" i="5"/>
  <c r="N385" i="5"/>
  <c r="Q390" i="5"/>
  <c r="P390" i="5" s="1"/>
  <c r="O11" i="5"/>
  <c r="T11" i="5"/>
  <c r="M11" i="5"/>
  <c r="F11" i="5"/>
  <c r="Q11" i="5"/>
  <c r="T386" i="5"/>
  <c r="T385" i="5"/>
  <c r="T376" i="5"/>
  <c r="T391" i="5"/>
  <c r="T356" i="5"/>
  <c r="T355" i="5"/>
  <c r="T348" i="5"/>
  <c r="T294" i="5"/>
  <c r="T276" i="5"/>
  <c r="T257" i="5"/>
  <c r="T252" i="5"/>
  <c r="T247" i="5"/>
  <c r="T341" i="5"/>
  <c r="T291" i="5"/>
  <c r="T346" i="5"/>
  <c r="T266" i="5"/>
  <c r="T280" i="5"/>
  <c r="T362" i="5"/>
  <c r="T351" i="5"/>
  <c r="T319" i="5"/>
  <c r="T210" i="5"/>
  <c r="T204" i="5"/>
  <c r="T371" i="5"/>
  <c r="T370" i="5"/>
  <c r="T284" i="5"/>
  <c r="T255" i="5"/>
  <c r="T253" i="5"/>
  <c r="T191" i="5"/>
  <c r="T322" i="5"/>
  <c r="T286" i="5"/>
  <c r="T275" i="5"/>
  <c r="T216" i="5"/>
  <c r="T273" i="5"/>
  <c r="T334" i="5"/>
  <c r="T333" i="5"/>
  <c r="T227" i="5"/>
  <c r="T163" i="5"/>
  <c r="T332" i="5"/>
  <c r="T157" i="5"/>
  <c r="T202" i="5"/>
  <c r="T238" i="5"/>
  <c r="T279" i="5"/>
  <c r="T292" i="5"/>
  <c r="T269" i="5"/>
  <c r="T271" i="5"/>
  <c r="T243" i="5"/>
  <c r="T222" i="5"/>
  <c r="T137" i="5"/>
  <c r="T213" i="5"/>
  <c r="T244" i="5"/>
  <c r="T182" i="5"/>
  <c r="T224" i="5"/>
  <c r="T225" i="5"/>
  <c r="T306" i="5"/>
  <c r="T132" i="5"/>
  <c r="T172" i="5"/>
  <c r="T90" i="5"/>
  <c r="T174" i="5"/>
  <c r="T142" i="5"/>
  <c r="R239" i="5"/>
  <c r="T97" i="5"/>
  <c r="T34" i="5"/>
  <c r="M5" i="5"/>
  <c r="T140" i="5"/>
  <c r="T139" i="5"/>
  <c r="T79" i="5"/>
  <c r="T78" i="5"/>
  <c r="T71" i="5"/>
  <c r="T68" i="5"/>
  <c r="T127" i="5"/>
  <c r="T27" i="5"/>
  <c r="O5" i="5"/>
  <c r="N13" i="3"/>
  <c r="T57" i="5"/>
  <c r="T188" i="5"/>
  <c r="T187" i="5"/>
  <c r="T164" i="5"/>
  <c r="T170" i="5"/>
  <c r="T168" i="5"/>
  <c r="T47" i="5"/>
  <c r="T43" i="5"/>
  <c r="T350" i="5"/>
  <c r="T99" i="5"/>
  <c r="T113" i="5"/>
  <c r="T100" i="5"/>
  <c r="T124" i="5"/>
  <c r="T117" i="5"/>
  <c r="T50" i="5"/>
  <c r="T118" i="5"/>
  <c r="T52" i="5"/>
  <c r="T162" i="5"/>
  <c r="T108" i="5"/>
  <c r="T83" i="5"/>
  <c r="N15" i="3"/>
  <c r="M15" i="3"/>
  <c r="T35" i="5"/>
  <c r="T15" i="5"/>
  <c r="M14" i="3"/>
  <c r="T70" i="5"/>
  <c r="R15" i="5"/>
  <c r="T14" i="5"/>
  <c r="T37" i="5"/>
  <c r="T20" i="5"/>
  <c r="T33" i="5"/>
  <c r="F5" i="5"/>
  <c r="T5" i="5"/>
  <c r="M13" i="3"/>
  <c r="T396" i="5"/>
  <c r="T29" i="5"/>
  <c r="S62" i="5"/>
  <c r="D62" i="5"/>
  <c r="N62" i="5" s="1"/>
  <c r="T62" i="5"/>
  <c r="C62" i="5"/>
  <c r="N14" i="3"/>
  <c r="D10" i="5"/>
  <c r="N10" i="5" s="1"/>
  <c r="C10" i="5"/>
  <c r="Q10" i="5"/>
  <c r="S10" i="5"/>
  <c r="R6" i="5"/>
  <c r="P6" i="5"/>
  <c r="M8" i="5"/>
  <c r="F8" i="5"/>
  <c r="T8" i="5"/>
  <c r="O8" i="5"/>
  <c r="C12" i="5"/>
  <c r="D12" i="5"/>
  <c r="N12" i="5" s="1"/>
  <c r="D21" i="5"/>
  <c r="N21" i="5" s="1"/>
  <c r="S21" i="5"/>
  <c r="C21" i="5"/>
  <c r="S24" i="5"/>
  <c r="D24" i="5"/>
  <c r="N24" i="5" s="1"/>
  <c r="Q24" i="5"/>
  <c r="T24" i="5"/>
  <c r="C24" i="5"/>
  <c r="S6" i="5"/>
  <c r="T6" i="5"/>
  <c r="D6" i="5"/>
  <c r="N6" i="5" s="1"/>
  <c r="T7" i="5"/>
  <c r="F7" i="5"/>
  <c r="M7" i="5"/>
  <c r="M23" i="5"/>
  <c r="F23" i="5"/>
  <c r="T23" i="5"/>
  <c r="O23" i="5"/>
  <c r="P38" i="5"/>
  <c r="R38" i="5"/>
  <c r="N5" i="5"/>
  <c r="R37" i="5"/>
  <c r="D38" i="5"/>
  <c r="N38" i="5" s="1"/>
  <c r="C38" i="5"/>
  <c r="R25" i="5"/>
  <c r="T49" i="5"/>
  <c r="C49" i="5"/>
  <c r="Q49" i="5"/>
  <c r="D49" i="5"/>
  <c r="N49" i="5" s="1"/>
  <c r="S49" i="5"/>
  <c r="P52" i="5"/>
  <c r="T55" i="5"/>
  <c r="T84" i="5"/>
  <c r="M29" i="5"/>
  <c r="O29" i="5"/>
  <c r="Q29" i="5"/>
  <c r="F29" i="5"/>
  <c r="R70" i="5"/>
  <c r="T36" i="5"/>
  <c r="O22" i="5"/>
  <c r="M22" i="5"/>
  <c r="F22" i="5"/>
  <c r="T22" i="5"/>
  <c r="Q23" i="5"/>
  <c r="C40" i="5"/>
  <c r="D40" i="5"/>
  <c r="N40" i="5" s="1"/>
  <c r="S40" i="5"/>
  <c r="S48" i="5"/>
  <c r="D48" i="5"/>
  <c r="N48" i="5" s="1"/>
  <c r="C48" i="5"/>
  <c r="T48" i="5"/>
  <c r="S84" i="5"/>
  <c r="D84" i="5"/>
  <c r="N84" i="5" s="1"/>
  <c r="Q84" i="5"/>
  <c r="O85" i="5"/>
  <c r="T85" i="5"/>
  <c r="M85" i="5"/>
  <c r="C12" i="4"/>
  <c r="C17" i="4"/>
  <c r="F17" i="4"/>
  <c r="G17" i="4" s="1"/>
  <c r="H14" i="4"/>
  <c r="F16" i="4"/>
  <c r="G16" i="4" s="1"/>
  <c r="C14" i="4"/>
  <c r="H16" i="4"/>
  <c r="C16" i="4"/>
  <c r="D7" i="4"/>
  <c r="D9" i="5"/>
  <c r="N9" i="5" s="1"/>
  <c r="S9" i="5"/>
  <c r="C9" i="5"/>
  <c r="P15" i="5"/>
  <c r="H7" i="4" s="1"/>
  <c r="R46" i="5"/>
  <c r="P46" i="5"/>
  <c r="P71" i="5"/>
  <c r="R71" i="5"/>
  <c r="T73" i="5"/>
  <c r="F73" i="5"/>
  <c r="O73" i="5"/>
  <c r="N73" i="5"/>
  <c r="M73" i="5"/>
  <c r="T80" i="5"/>
  <c r="S129" i="5"/>
  <c r="D129" i="5"/>
  <c r="N129" i="5" s="1"/>
  <c r="C129" i="5"/>
  <c r="Q129" i="5"/>
  <c r="D12" i="4"/>
  <c r="N8" i="5"/>
  <c r="M9" i="5"/>
  <c r="T9" i="5"/>
  <c r="N11" i="5"/>
  <c r="T12" i="5"/>
  <c r="R16" i="5"/>
  <c r="Q22" i="5"/>
  <c r="D37" i="5"/>
  <c r="N37" i="5" s="1"/>
  <c r="S37" i="5"/>
  <c r="C37" i="5"/>
  <c r="H12" i="4"/>
  <c r="D16" i="4"/>
  <c r="T13" i="5"/>
  <c r="F13" i="5"/>
  <c r="O13" i="5"/>
  <c r="N67" i="5"/>
  <c r="M69" i="5"/>
  <c r="T69" i="5"/>
  <c r="O69" i="5"/>
  <c r="C36" i="5"/>
  <c r="D36" i="5"/>
  <c r="N36" i="5" s="1"/>
  <c r="R44" i="5"/>
  <c r="O67" i="5"/>
  <c r="F67" i="5"/>
  <c r="M67" i="5"/>
  <c r="T67" i="5"/>
  <c r="D109" i="5"/>
  <c r="N109" i="5" s="1"/>
  <c r="S109" i="5"/>
  <c r="C109" i="5"/>
  <c r="D17" i="4"/>
  <c r="S30" i="5"/>
  <c r="T30" i="5"/>
  <c r="Q30" i="5"/>
  <c r="P41" i="5"/>
  <c r="R41" i="5"/>
  <c r="S42" i="5"/>
  <c r="T61" i="5"/>
  <c r="S61" i="5"/>
  <c r="D61" i="5"/>
  <c r="N61" i="5" s="1"/>
  <c r="C61" i="5"/>
  <c r="R106" i="5"/>
  <c r="Q18" i="5"/>
  <c r="C30" i="5"/>
  <c r="T42" i="5"/>
  <c r="M66" i="5"/>
  <c r="T66" i="5"/>
  <c r="O66" i="5"/>
  <c r="F66" i="5"/>
  <c r="C7" i="4"/>
  <c r="D14" i="4"/>
  <c r="H17" i="4"/>
  <c r="Q17" i="5"/>
  <c r="D30" i="5"/>
  <c r="N30" i="5" s="1"/>
  <c r="D42" i="5"/>
  <c r="N42" i="5" s="1"/>
  <c r="S44" i="5"/>
  <c r="D44" i="5"/>
  <c r="N44" i="5" s="1"/>
  <c r="C44" i="5"/>
  <c r="F7" i="4"/>
  <c r="N22" i="5"/>
  <c r="S25" i="5"/>
  <c r="T25" i="5"/>
  <c r="D25" i="5"/>
  <c r="N25" i="5" s="1"/>
  <c r="P25" i="5" s="1"/>
  <c r="C25" i="5"/>
  <c r="N29" i="5"/>
  <c r="M56" i="5"/>
  <c r="T56" i="5"/>
  <c r="O56" i="5"/>
  <c r="C60" i="5"/>
  <c r="Q60" i="5"/>
  <c r="D60" i="5"/>
  <c r="N60" i="5" s="1"/>
  <c r="T60" i="5"/>
  <c r="N85" i="5"/>
  <c r="P107" i="5"/>
  <c r="P163" i="5"/>
  <c r="R163" i="5"/>
  <c r="T313" i="5"/>
  <c r="O313" i="5"/>
  <c r="M313" i="5"/>
  <c r="F313" i="5"/>
  <c r="P34" i="5"/>
  <c r="R34" i="5"/>
  <c r="S39" i="5"/>
  <c r="D39" i="5"/>
  <c r="N39" i="5" s="1"/>
  <c r="C39" i="5"/>
  <c r="T40" i="5"/>
  <c r="F40" i="5"/>
  <c r="M40" i="5"/>
  <c r="S104" i="5"/>
  <c r="T104" i="5"/>
  <c r="D104" i="5"/>
  <c r="N104" i="5" s="1"/>
  <c r="S105" i="5"/>
  <c r="D105" i="5"/>
  <c r="N105" i="5" s="1"/>
  <c r="T105" i="5"/>
  <c r="S33" i="5"/>
  <c r="D33" i="5"/>
  <c r="N33" i="5" s="1"/>
  <c r="C35" i="5"/>
  <c r="S35" i="5"/>
  <c r="F37" i="5"/>
  <c r="D77" i="5"/>
  <c r="N77" i="5" s="1"/>
  <c r="S77" i="5"/>
  <c r="Q77" i="5"/>
  <c r="C104" i="5"/>
  <c r="C105" i="5"/>
  <c r="O32" i="5"/>
  <c r="M32" i="5"/>
  <c r="T32" i="5"/>
  <c r="C33" i="5"/>
  <c r="D35" i="5"/>
  <c r="N35" i="5" s="1"/>
  <c r="F36" i="5"/>
  <c r="S53" i="5"/>
  <c r="D53" i="5"/>
  <c r="N53" i="5" s="1"/>
  <c r="T112" i="5"/>
  <c r="S119" i="5"/>
  <c r="T119" i="5"/>
  <c r="D119" i="5"/>
  <c r="N119" i="5" s="1"/>
  <c r="C119" i="5"/>
  <c r="Q119" i="5"/>
  <c r="O120" i="5"/>
  <c r="T120" i="5"/>
  <c r="M120" i="5"/>
  <c r="M33" i="5"/>
  <c r="O33" i="5"/>
  <c r="D51" i="5"/>
  <c r="N51" i="5" s="1"/>
  <c r="S51" i="5"/>
  <c r="C51" i="5"/>
  <c r="Q62" i="5"/>
  <c r="S76" i="5"/>
  <c r="T76" i="5"/>
  <c r="D76" i="5"/>
  <c r="N76" i="5" s="1"/>
  <c r="Q76" i="5"/>
  <c r="C76" i="5"/>
  <c r="O83" i="5"/>
  <c r="M83" i="5"/>
  <c r="F83" i="5"/>
  <c r="O92" i="5"/>
  <c r="M92" i="5"/>
  <c r="F92" i="5"/>
  <c r="T92" i="5"/>
  <c r="S95" i="5"/>
  <c r="D95" i="5"/>
  <c r="N95" i="5" s="1"/>
  <c r="C95" i="5"/>
  <c r="S118" i="5"/>
  <c r="C118" i="5"/>
  <c r="F120" i="5"/>
  <c r="O126" i="5"/>
  <c r="M126" i="5"/>
  <c r="T126" i="5"/>
  <c r="S16" i="5"/>
  <c r="D16" i="5"/>
  <c r="N16" i="5" s="1"/>
  <c r="P16" i="5" s="1"/>
  <c r="S22" i="5"/>
  <c r="F33" i="5"/>
  <c r="T51" i="5"/>
  <c r="T91" i="5"/>
  <c r="C125" i="5"/>
  <c r="D125" i="5"/>
  <c r="N125" i="5" s="1"/>
  <c r="S125" i="5"/>
  <c r="M173" i="5"/>
  <c r="O173" i="5"/>
  <c r="F173" i="5"/>
  <c r="T173" i="5"/>
  <c r="S7" i="5"/>
  <c r="D7" i="5"/>
  <c r="N7" i="5" s="1"/>
  <c r="C7" i="5"/>
  <c r="F15" i="5"/>
  <c r="C16" i="5"/>
  <c r="S17" i="5"/>
  <c r="D17" i="5"/>
  <c r="N17" i="5" s="1"/>
  <c r="C17" i="5"/>
  <c r="T19" i="5"/>
  <c r="C20" i="5"/>
  <c r="Q20" i="5"/>
  <c r="S23" i="5"/>
  <c r="T16" i="5"/>
  <c r="T17" i="5"/>
  <c r="F17" i="5"/>
  <c r="O18" i="5"/>
  <c r="F18" i="5"/>
  <c r="T18" i="5"/>
  <c r="N23" i="5"/>
  <c r="R31" i="5"/>
  <c r="Q36" i="5"/>
  <c r="O40" i="5"/>
  <c r="M50" i="5"/>
  <c r="O50" i="5"/>
  <c r="F50" i="5"/>
  <c r="O75" i="5"/>
  <c r="T75" i="5"/>
  <c r="M75" i="5"/>
  <c r="O86" i="5"/>
  <c r="M86" i="5"/>
  <c r="T86" i="5"/>
  <c r="O110" i="5"/>
  <c r="M110" i="5"/>
  <c r="T110" i="5"/>
  <c r="R92" i="5"/>
  <c r="T21" i="5"/>
  <c r="M21" i="5"/>
  <c r="M24" i="5"/>
  <c r="F24" i="5"/>
  <c r="S28" i="5"/>
  <c r="Q28" i="5"/>
  <c r="T28" i="5"/>
  <c r="O36" i="5"/>
  <c r="S69" i="5"/>
  <c r="C69" i="5"/>
  <c r="P114" i="5"/>
  <c r="R114" i="5"/>
  <c r="T106" i="5"/>
  <c r="M109" i="5"/>
  <c r="F109" i="5"/>
  <c r="T109" i="5"/>
  <c r="O109" i="5"/>
  <c r="M125" i="5"/>
  <c r="T125" i="5"/>
  <c r="O125" i="5"/>
  <c r="F125" i="5"/>
  <c r="S41" i="5"/>
  <c r="C41" i="5"/>
  <c r="F65" i="5"/>
  <c r="O65" i="5"/>
  <c r="T65" i="5"/>
  <c r="N65" i="5"/>
  <c r="T72" i="5"/>
  <c r="D83" i="5"/>
  <c r="N83" i="5" s="1"/>
  <c r="S83" i="5"/>
  <c r="C83" i="5"/>
  <c r="Q83" i="5"/>
  <c r="S103" i="5"/>
  <c r="D103" i="5"/>
  <c r="N103" i="5" s="1"/>
  <c r="C103" i="5"/>
  <c r="C106" i="5"/>
  <c r="S117" i="5"/>
  <c r="C117" i="5"/>
  <c r="Q117" i="5"/>
  <c r="T254" i="5"/>
  <c r="F254" i="5"/>
  <c r="O254" i="5"/>
  <c r="M254" i="5"/>
  <c r="D283" i="5"/>
  <c r="N283" i="5" s="1"/>
  <c r="C283" i="5"/>
  <c r="S283" i="5"/>
  <c r="Q14" i="5"/>
  <c r="T41" i="5"/>
  <c r="F41" i="5"/>
  <c r="M41" i="5"/>
  <c r="N43" i="5"/>
  <c r="T44" i="5"/>
  <c r="F44" i="5"/>
  <c r="Q74" i="5"/>
  <c r="M94" i="5"/>
  <c r="F94" i="5"/>
  <c r="T94" i="5"/>
  <c r="Q94" i="5"/>
  <c r="O94" i="5"/>
  <c r="N94" i="5"/>
  <c r="N99" i="5"/>
  <c r="O99" i="5"/>
  <c r="M99" i="5"/>
  <c r="D102" i="5"/>
  <c r="N102" i="5" s="1"/>
  <c r="C102" i="5"/>
  <c r="O117" i="5"/>
  <c r="M117" i="5"/>
  <c r="F117" i="5"/>
  <c r="N122" i="5"/>
  <c r="M158" i="5"/>
  <c r="O158" i="5"/>
  <c r="T158" i="5"/>
  <c r="D166" i="5"/>
  <c r="N166" i="5" s="1"/>
  <c r="C166" i="5"/>
  <c r="S166" i="5"/>
  <c r="N169" i="5"/>
  <c r="T177" i="5"/>
  <c r="Q35" i="5"/>
  <c r="M43" i="5"/>
  <c r="F43" i="5"/>
  <c r="O46" i="5"/>
  <c r="M46" i="5"/>
  <c r="T46" i="5"/>
  <c r="Q56" i="5"/>
  <c r="O60" i="5"/>
  <c r="M60" i="5"/>
  <c r="S63" i="5"/>
  <c r="D63" i="5"/>
  <c r="N63" i="5" s="1"/>
  <c r="C63" i="5"/>
  <c r="T64" i="5"/>
  <c r="F64" i="5"/>
  <c r="O64" i="5"/>
  <c r="Q66" i="5"/>
  <c r="Q73" i="5"/>
  <c r="F99" i="5"/>
  <c r="O145" i="5"/>
  <c r="T145" i="5"/>
  <c r="Q145" i="5"/>
  <c r="N145" i="5"/>
  <c r="M145" i="5"/>
  <c r="R152" i="5"/>
  <c r="F158" i="5"/>
  <c r="T166" i="5"/>
  <c r="M169" i="5"/>
  <c r="O169" i="5"/>
  <c r="T169" i="5"/>
  <c r="F169" i="5"/>
  <c r="S26" i="5"/>
  <c r="D59" i="5"/>
  <c r="N59" i="5" s="1"/>
  <c r="S59" i="5"/>
  <c r="Q79" i="5"/>
  <c r="C82" i="5"/>
  <c r="D82" i="5"/>
  <c r="N82" i="5" s="1"/>
  <c r="T82" i="5"/>
  <c r="S82" i="5"/>
  <c r="C111" i="5"/>
  <c r="S111" i="5"/>
  <c r="D111" i="5"/>
  <c r="N111" i="5" s="1"/>
  <c r="N112" i="5"/>
  <c r="M113" i="5"/>
  <c r="F113" i="5"/>
  <c r="M122" i="5"/>
  <c r="F122" i="5"/>
  <c r="O122" i="5"/>
  <c r="T122" i="5"/>
  <c r="T111" i="5"/>
  <c r="O112" i="5"/>
  <c r="M112" i="5"/>
  <c r="T155" i="5"/>
  <c r="T59" i="5"/>
  <c r="F59" i="5"/>
  <c r="M59" i="5"/>
  <c r="O59" i="5"/>
  <c r="S86" i="5"/>
  <c r="F112" i="5"/>
  <c r="P132" i="5"/>
  <c r="T136" i="5"/>
  <c r="Q39" i="5"/>
  <c r="M65" i="5"/>
  <c r="C86" i="5"/>
  <c r="R109" i="5"/>
  <c r="M121" i="5"/>
  <c r="O121" i="5"/>
  <c r="T121" i="5"/>
  <c r="R128" i="5"/>
  <c r="Q48" i="5"/>
  <c r="T58" i="5"/>
  <c r="O58" i="5"/>
  <c r="M58" i="5"/>
  <c r="R64" i="5"/>
  <c r="P64" i="5"/>
  <c r="N75" i="5"/>
  <c r="S87" i="5"/>
  <c r="D87" i="5"/>
  <c r="N87" i="5" s="1"/>
  <c r="C87" i="5"/>
  <c r="O96" i="5"/>
  <c r="T96" i="5"/>
  <c r="M96" i="5"/>
  <c r="R107" i="5"/>
  <c r="C110" i="5"/>
  <c r="S110" i="5"/>
  <c r="D110" i="5"/>
  <c r="N110" i="5" s="1"/>
  <c r="O147" i="5"/>
  <c r="M147" i="5"/>
  <c r="T147" i="5"/>
  <c r="F147" i="5"/>
  <c r="R148" i="5"/>
  <c r="R181" i="5"/>
  <c r="F77" i="5"/>
  <c r="T77" i="5"/>
  <c r="Q82" i="5"/>
  <c r="Q96" i="5"/>
  <c r="O283" i="5"/>
  <c r="T283" i="5"/>
  <c r="M283" i="5"/>
  <c r="F283" i="5"/>
  <c r="T53" i="5"/>
  <c r="M57" i="5"/>
  <c r="S72" i="5"/>
  <c r="Q95" i="5"/>
  <c r="T101" i="5"/>
  <c r="F101" i="5"/>
  <c r="F106" i="5"/>
  <c r="M106" i="5"/>
  <c r="Q115" i="5"/>
  <c r="Q126" i="5"/>
  <c r="R137" i="5"/>
  <c r="P137" i="5"/>
  <c r="S149" i="5"/>
  <c r="T149" i="5"/>
  <c r="D149" i="5"/>
  <c r="N149" i="5" s="1"/>
  <c r="P149" i="5" s="1"/>
  <c r="O152" i="5"/>
  <c r="F152" i="5"/>
  <c r="T152" i="5"/>
  <c r="P176" i="5"/>
  <c r="R176" i="5"/>
  <c r="S178" i="5"/>
  <c r="D178" i="5"/>
  <c r="N178" i="5" s="1"/>
  <c r="Q178" i="5"/>
  <c r="C212" i="5"/>
  <c r="T212" i="5"/>
  <c r="S212" i="5"/>
  <c r="T10" i="5"/>
  <c r="Q12" i="5"/>
  <c r="T26" i="5"/>
  <c r="N46" i="5"/>
  <c r="Q50" i="5"/>
  <c r="F53" i="5"/>
  <c r="C54" i="5"/>
  <c r="S54" i="5"/>
  <c r="D54" i="5"/>
  <c r="N54" i="5" s="1"/>
  <c r="T54" i="5"/>
  <c r="T63" i="5"/>
  <c r="C72" i="5"/>
  <c r="F78" i="5"/>
  <c r="O78" i="5"/>
  <c r="T88" i="5"/>
  <c r="O97" i="5"/>
  <c r="M108" i="5"/>
  <c r="O108" i="5"/>
  <c r="F108" i="5"/>
  <c r="Q111" i="5"/>
  <c r="F114" i="5"/>
  <c r="T114" i="5"/>
  <c r="C149" i="5"/>
  <c r="D241" i="5"/>
  <c r="N241" i="5" s="1"/>
  <c r="C241" i="5"/>
  <c r="S241" i="5"/>
  <c r="F10" i="5"/>
  <c r="F26" i="5"/>
  <c r="T39" i="5"/>
  <c r="T45" i="5"/>
  <c r="F45" i="5"/>
  <c r="C46" i="5"/>
  <c r="D55" i="5"/>
  <c r="N55" i="5" s="1"/>
  <c r="C55" i="5"/>
  <c r="S56" i="5"/>
  <c r="D56" i="5"/>
  <c r="N56" i="5" s="1"/>
  <c r="S64" i="5"/>
  <c r="F71" i="5"/>
  <c r="S73" i="5"/>
  <c r="C80" i="5"/>
  <c r="F88" i="5"/>
  <c r="N89" i="5"/>
  <c r="Q110" i="5"/>
  <c r="Q118" i="5"/>
  <c r="P122" i="5"/>
  <c r="C133" i="5"/>
  <c r="T133" i="5"/>
  <c r="Q146" i="5"/>
  <c r="S146" i="5"/>
  <c r="C146" i="5"/>
  <c r="T178" i="5"/>
  <c r="M178" i="5"/>
  <c r="F178" i="5"/>
  <c r="O178" i="5"/>
  <c r="M72" i="5"/>
  <c r="F72" i="5"/>
  <c r="P91" i="5"/>
  <c r="Q112" i="5"/>
  <c r="T115" i="5"/>
  <c r="F115" i="5"/>
  <c r="O115" i="5"/>
  <c r="T134" i="5"/>
  <c r="D134" i="5"/>
  <c r="N134" i="5" s="1"/>
  <c r="S134" i="5"/>
  <c r="N146" i="5"/>
  <c r="N177" i="5"/>
  <c r="P75" i="5"/>
  <c r="R75" i="5"/>
  <c r="M80" i="5"/>
  <c r="O80" i="5"/>
  <c r="T81" i="5"/>
  <c r="S81" i="5"/>
  <c r="D81" i="5"/>
  <c r="N81" i="5" s="1"/>
  <c r="Q81" i="5"/>
  <c r="M89" i="5"/>
  <c r="T89" i="5"/>
  <c r="O89" i="5"/>
  <c r="S92" i="5"/>
  <c r="D136" i="5"/>
  <c r="N136" i="5" s="1"/>
  <c r="C136" i="5"/>
  <c r="S136" i="5"/>
  <c r="T138" i="5"/>
  <c r="T146" i="5"/>
  <c r="F146" i="5"/>
  <c r="O146" i="5"/>
  <c r="M146" i="5"/>
  <c r="O177" i="5"/>
  <c r="M177" i="5"/>
  <c r="F177" i="5"/>
  <c r="R200" i="5"/>
  <c r="T230" i="5"/>
  <c r="Q103" i="5"/>
  <c r="S131" i="5"/>
  <c r="D131" i="5"/>
  <c r="N131" i="5" s="1"/>
  <c r="C131" i="5"/>
  <c r="Q131" i="5"/>
  <c r="T141" i="5"/>
  <c r="F141" i="5"/>
  <c r="M141" i="5"/>
  <c r="D148" i="5"/>
  <c r="N148" i="5" s="1"/>
  <c r="C148" i="5"/>
  <c r="S148" i="5"/>
  <c r="D201" i="5"/>
  <c r="N201" i="5" s="1"/>
  <c r="T201" i="5"/>
  <c r="C201" i="5"/>
  <c r="S201" i="5"/>
  <c r="R226" i="5"/>
  <c r="T229" i="5"/>
  <c r="D58" i="5"/>
  <c r="N58" i="5" s="1"/>
  <c r="Q58" i="5"/>
  <c r="C58" i="5"/>
  <c r="C68" i="5"/>
  <c r="S68" i="5"/>
  <c r="D68" i="5"/>
  <c r="N68" i="5" s="1"/>
  <c r="M77" i="5"/>
  <c r="S91" i="5"/>
  <c r="D91" i="5"/>
  <c r="N91" i="5" s="1"/>
  <c r="C91" i="5"/>
  <c r="S93" i="5"/>
  <c r="N96" i="5"/>
  <c r="D98" i="5"/>
  <c r="N98" i="5" s="1"/>
  <c r="T98" i="5"/>
  <c r="Q108" i="5"/>
  <c r="D121" i="5"/>
  <c r="N121" i="5" s="1"/>
  <c r="Q121" i="5"/>
  <c r="S123" i="5"/>
  <c r="D123" i="5"/>
  <c r="N123" i="5" s="1"/>
  <c r="C123" i="5"/>
  <c r="S126" i="5"/>
  <c r="M159" i="5"/>
  <c r="O159" i="5"/>
  <c r="T159" i="5"/>
  <c r="R191" i="5"/>
  <c r="S215" i="5"/>
  <c r="T215" i="5"/>
  <c r="D215" i="5"/>
  <c r="N215" i="5" s="1"/>
  <c r="C215" i="5"/>
  <c r="Q215" i="5"/>
  <c r="F160" i="5"/>
  <c r="T160" i="5"/>
  <c r="M160" i="5"/>
  <c r="O160" i="5"/>
  <c r="D179" i="5"/>
  <c r="N179" i="5" s="1"/>
  <c r="S179" i="5"/>
  <c r="C179" i="5"/>
  <c r="S181" i="5"/>
  <c r="D181" i="5"/>
  <c r="N181" i="5" s="1"/>
  <c r="C181" i="5"/>
  <c r="Q147" i="5"/>
  <c r="S151" i="5"/>
  <c r="D151" i="5"/>
  <c r="N151" i="5" s="1"/>
  <c r="P151" i="5" s="1"/>
  <c r="T151" i="5"/>
  <c r="D171" i="5"/>
  <c r="N171" i="5" s="1"/>
  <c r="T171" i="5"/>
  <c r="C171" i="5"/>
  <c r="T176" i="5"/>
  <c r="P186" i="5"/>
  <c r="R186" i="5"/>
  <c r="C189" i="5"/>
  <c r="D189" i="5"/>
  <c r="N189" i="5" s="1"/>
  <c r="O337" i="5"/>
  <c r="T337" i="5"/>
  <c r="Q337" i="5"/>
  <c r="M337" i="5"/>
  <c r="F337" i="5"/>
  <c r="T93" i="5"/>
  <c r="Q101" i="5"/>
  <c r="Q138" i="5"/>
  <c r="R150" i="5" s="1"/>
  <c r="Q140" i="5"/>
  <c r="Q144" i="5"/>
  <c r="S150" i="5"/>
  <c r="D150" i="5"/>
  <c r="N150" i="5" s="1"/>
  <c r="C150" i="5"/>
  <c r="C151" i="5"/>
  <c r="N152" i="5"/>
  <c r="P152" i="5" s="1"/>
  <c r="N172" i="5"/>
  <c r="S183" i="5"/>
  <c r="M189" i="5"/>
  <c r="F189" i="5"/>
  <c r="T189" i="5"/>
  <c r="O189" i="5"/>
  <c r="S200" i="5"/>
  <c r="D200" i="5"/>
  <c r="N200" i="5" s="1"/>
  <c r="P200" i="5" s="1"/>
  <c r="P273" i="5"/>
  <c r="R273" i="5"/>
  <c r="R318" i="5"/>
  <c r="O49" i="5"/>
  <c r="M49" i="5"/>
  <c r="Q85" i="5"/>
  <c r="S97" i="5"/>
  <c r="T107" i="5"/>
  <c r="C108" i="5"/>
  <c r="T128" i="5"/>
  <c r="F140" i="5"/>
  <c r="T150" i="5"/>
  <c r="C152" i="5"/>
  <c r="M172" i="5"/>
  <c r="F172" i="5"/>
  <c r="O172" i="5"/>
  <c r="C200" i="5"/>
  <c r="R223" i="5"/>
  <c r="R236" i="5"/>
  <c r="T263" i="5"/>
  <c r="Q158" i="5"/>
  <c r="O187" i="5"/>
  <c r="N187" i="5"/>
  <c r="M187" i="5"/>
  <c r="R222" i="5"/>
  <c r="M342" i="5"/>
  <c r="O342" i="5"/>
  <c r="F342" i="5"/>
  <c r="T342" i="5"/>
  <c r="Q342" i="5"/>
  <c r="Q120" i="5"/>
  <c r="T135" i="5"/>
  <c r="P139" i="5"/>
  <c r="M148" i="5"/>
  <c r="T148" i="5"/>
  <c r="O148" i="5"/>
  <c r="C156" i="5"/>
  <c r="P162" i="5"/>
  <c r="N183" i="5"/>
  <c r="F187" i="5"/>
  <c r="D199" i="5"/>
  <c r="N199" i="5" s="1"/>
  <c r="Q199" i="5"/>
  <c r="M136" i="5"/>
  <c r="O136" i="5"/>
  <c r="D156" i="5"/>
  <c r="N156" i="5" s="1"/>
  <c r="P156" i="5" s="1"/>
  <c r="S182" i="5"/>
  <c r="C182" i="5"/>
  <c r="T184" i="5"/>
  <c r="D186" i="5"/>
  <c r="N186" i="5" s="1"/>
  <c r="S186" i="5"/>
  <c r="C186" i="5"/>
  <c r="P217" i="5"/>
  <c r="R218" i="5"/>
  <c r="D220" i="5"/>
  <c r="N220" i="5" s="1"/>
  <c r="Q220" i="5"/>
  <c r="C220" i="5"/>
  <c r="S220" i="5"/>
  <c r="T237" i="5"/>
  <c r="S245" i="5"/>
  <c r="Q245" i="5"/>
  <c r="C245" i="5"/>
  <c r="D245" i="5"/>
  <c r="N245" i="5" s="1"/>
  <c r="T129" i="5"/>
  <c r="F129" i="5"/>
  <c r="F136" i="5"/>
  <c r="M155" i="5"/>
  <c r="F155" i="5"/>
  <c r="D182" i="5"/>
  <c r="N182" i="5" s="1"/>
  <c r="M183" i="5"/>
  <c r="F183" i="5"/>
  <c r="O183" i="5"/>
  <c r="T183" i="5"/>
  <c r="O199" i="5"/>
  <c r="M199" i="5"/>
  <c r="T199" i="5"/>
  <c r="Q201" i="5"/>
  <c r="T206" i="5"/>
  <c r="T208" i="5"/>
  <c r="T220" i="5"/>
  <c r="F220" i="5"/>
  <c r="O220" i="5"/>
  <c r="M220" i="5"/>
  <c r="T245" i="5"/>
  <c r="R301" i="5"/>
  <c r="Q308" i="5"/>
  <c r="C308" i="5"/>
  <c r="T308" i="5"/>
  <c r="S308" i="5"/>
  <c r="T31" i="5"/>
  <c r="F31" i="5"/>
  <c r="T38" i="5"/>
  <c r="S79" i="5"/>
  <c r="T116" i="5"/>
  <c r="F116" i="5"/>
  <c r="O116" i="5"/>
  <c r="C130" i="5"/>
  <c r="S147" i="5"/>
  <c r="D147" i="5"/>
  <c r="N147" i="5" s="1"/>
  <c r="C147" i="5"/>
  <c r="Q159" i="5"/>
  <c r="T161" i="5"/>
  <c r="C162" i="5"/>
  <c r="T185" i="5"/>
  <c r="F199" i="5"/>
  <c r="D223" i="5"/>
  <c r="N223" i="5" s="1"/>
  <c r="C223" i="5"/>
  <c r="D308" i="5"/>
  <c r="N308" i="5" s="1"/>
  <c r="O222" i="5"/>
  <c r="M222" i="5"/>
  <c r="F222" i="5"/>
  <c r="Q247" i="5"/>
  <c r="T251" i="5"/>
  <c r="F251" i="5"/>
  <c r="O251" i="5"/>
  <c r="M251" i="5"/>
  <c r="O264" i="5"/>
  <c r="M264" i="5"/>
  <c r="T264" i="5"/>
  <c r="S309" i="5"/>
  <c r="C309" i="5"/>
  <c r="D309" i="5"/>
  <c r="N309" i="5" s="1"/>
  <c r="S190" i="5"/>
  <c r="T190" i="5"/>
  <c r="D190" i="5"/>
  <c r="N190" i="5" s="1"/>
  <c r="C190" i="5"/>
  <c r="N205" i="5"/>
  <c r="M205" i="5"/>
  <c r="Q205" i="5"/>
  <c r="O205" i="5"/>
  <c r="D246" i="5"/>
  <c r="N246" i="5" s="1"/>
  <c r="C246" i="5"/>
  <c r="S246" i="5"/>
  <c r="T262" i="5"/>
  <c r="S262" i="5"/>
  <c r="D262" i="5"/>
  <c r="N262" i="5" s="1"/>
  <c r="C262" i="5"/>
  <c r="S263" i="5"/>
  <c r="C263" i="5"/>
  <c r="F264" i="5"/>
  <c r="T298" i="5"/>
  <c r="R203" i="5"/>
  <c r="Q204" i="5"/>
  <c r="O250" i="5"/>
  <c r="F250" i="5"/>
  <c r="T250" i="5"/>
  <c r="Q250" i="5"/>
  <c r="M250" i="5"/>
  <c r="T261" i="5"/>
  <c r="M295" i="5"/>
  <c r="O295" i="5"/>
  <c r="T295" i="5"/>
  <c r="S317" i="5"/>
  <c r="C317" i="5"/>
  <c r="R359" i="5"/>
  <c r="S249" i="5"/>
  <c r="C249" i="5"/>
  <c r="D260" i="5"/>
  <c r="N260" i="5" s="1"/>
  <c r="C260" i="5"/>
  <c r="S260" i="5"/>
  <c r="T277" i="5"/>
  <c r="N278" i="5"/>
  <c r="R345" i="5"/>
  <c r="O278" i="5"/>
  <c r="M278" i="5"/>
  <c r="T278" i="5"/>
  <c r="R280" i="5"/>
  <c r="P280" i="5"/>
  <c r="T317" i="5"/>
  <c r="P361" i="5"/>
  <c r="T364" i="5"/>
  <c r="F364" i="5"/>
  <c r="O364" i="5"/>
  <c r="M364" i="5"/>
  <c r="T74" i="5"/>
  <c r="T87" i="5"/>
  <c r="F87" i="5"/>
  <c r="Q97" i="5"/>
  <c r="T102" i="5"/>
  <c r="F102" i="5"/>
  <c r="O102" i="5"/>
  <c r="T123" i="5"/>
  <c r="T130" i="5"/>
  <c r="F130" i="5"/>
  <c r="O130" i="5"/>
  <c r="T143" i="5"/>
  <c r="F143" i="5"/>
  <c r="T154" i="5"/>
  <c r="F154" i="5"/>
  <c r="O154" i="5"/>
  <c r="T156" i="5"/>
  <c r="S193" i="5"/>
  <c r="T198" i="5"/>
  <c r="F198" i="5"/>
  <c r="M198" i="5"/>
  <c r="Q198" i="5"/>
  <c r="O198" i="5"/>
  <c r="T205" i="5"/>
  <c r="M212" i="5"/>
  <c r="O212" i="5"/>
  <c r="O219" i="5"/>
  <c r="T219" i="5"/>
  <c r="Q219" i="5"/>
  <c r="N219" i="5"/>
  <c r="M219" i="5"/>
  <c r="D269" i="5"/>
  <c r="N269" i="5" s="1"/>
  <c r="C269" i="5"/>
  <c r="T282" i="5"/>
  <c r="F282" i="5"/>
  <c r="M282" i="5"/>
  <c r="O282" i="5"/>
  <c r="O336" i="5"/>
  <c r="M336" i="5"/>
  <c r="T336" i="5"/>
  <c r="Q336" i="5"/>
  <c r="F336" i="5"/>
  <c r="F84" i="5"/>
  <c r="Q160" i="5"/>
  <c r="N165" i="5"/>
  <c r="S167" i="5"/>
  <c r="Q179" i="5"/>
  <c r="C193" i="5"/>
  <c r="F197" i="5"/>
  <c r="T197" i="5"/>
  <c r="O197" i="5"/>
  <c r="M197" i="5"/>
  <c r="O211" i="5"/>
  <c r="T211" i="5"/>
  <c r="M211" i="5"/>
  <c r="F212" i="5"/>
  <c r="F219" i="5"/>
  <c r="M223" i="5"/>
  <c r="T223" i="5"/>
  <c r="F223" i="5"/>
  <c r="O223" i="5"/>
  <c r="N248" i="5"/>
  <c r="C259" i="5"/>
  <c r="T329" i="5"/>
  <c r="F329" i="5"/>
  <c r="O329" i="5"/>
  <c r="N329" i="5"/>
  <c r="M329" i="5"/>
  <c r="T95" i="5"/>
  <c r="T103" i="5"/>
  <c r="D124" i="5"/>
  <c r="N124" i="5" s="1"/>
  <c r="T131" i="5"/>
  <c r="T165" i="5"/>
  <c r="F165" i="5"/>
  <c r="M165" i="5"/>
  <c r="O166" i="5"/>
  <c r="M166" i="5"/>
  <c r="Q173" i="5"/>
  <c r="N218" i="5"/>
  <c r="T240" i="5"/>
  <c r="F240" i="5"/>
  <c r="M240" i="5"/>
  <c r="Q248" i="5"/>
  <c r="O248" i="5"/>
  <c r="T248" i="5"/>
  <c r="M248" i="5"/>
  <c r="M258" i="5"/>
  <c r="T258" i="5"/>
  <c r="O258" i="5"/>
  <c r="N259" i="5"/>
  <c r="S310" i="5"/>
  <c r="C310" i="5"/>
  <c r="T310" i="5"/>
  <c r="D310" i="5"/>
  <c r="N310" i="5" s="1"/>
  <c r="C316" i="5"/>
  <c r="S316" i="5"/>
  <c r="D316" i="5"/>
  <c r="N316" i="5" s="1"/>
  <c r="F164" i="5"/>
  <c r="Q164" i="5"/>
  <c r="O164" i="5"/>
  <c r="Q171" i="5"/>
  <c r="S195" i="5"/>
  <c r="T195" i="5"/>
  <c r="D195" i="5"/>
  <c r="N195" i="5" s="1"/>
  <c r="C195" i="5"/>
  <c r="T218" i="5"/>
  <c r="F218" i="5"/>
  <c r="O218" i="5"/>
  <c r="M218" i="5"/>
  <c r="N222" i="5"/>
  <c r="D237" i="5"/>
  <c r="N237" i="5" s="1"/>
  <c r="C237" i="5"/>
  <c r="Q254" i="5"/>
  <c r="M259" i="5"/>
  <c r="T259" i="5"/>
  <c r="F259" i="5"/>
  <c r="O259" i="5"/>
  <c r="R275" i="5"/>
  <c r="O316" i="5"/>
  <c r="F316" i="5"/>
  <c r="M316" i="5"/>
  <c r="T316" i="5"/>
  <c r="S320" i="5"/>
  <c r="T320" i="5"/>
  <c r="D320" i="5"/>
  <c r="N320" i="5" s="1"/>
  <c r="Q320" i="5"/>
  <c r="C320" i="5"/>
  <c r="O203" i="5"/>
  <c r="M209" i="5"/>
  <c r="M213" i="5"/>
  <c r="P213" i="5" s="1"/>
  <c r="F213" i="5"/>
  <c r="M216" i="5"/>
  <c r="T221" i="5"/>
  <c r="F221" i="5"/>
  <c r="S224" i="5"/>
  <c r="D224" i="5"/>
  <c r="N224" i="5" s="1"/>
  <c r="C224" i="5"/>
  <c r="S225" i="5"/>
  <c r="D225" i="5"/>
  <c r="N225" i="5" s="1"/>
  <c r="Q225" i="5"/>
  <c r="O230" i="5"/>
  <c r="M233" i="5"/>
  <c r="S238" i="5"/>
  <c r="D238" i="5"/>
  <c r="N238" i="5" s="1"/>
  <c r="P238" i="5" s="1"/>
  <c r="S240" i="5"/>
  <c r="D240" i="5"/>
  <c r="N240" i="5" s="1"/>
  <c r="C240" i="5"/>
  <c r="T293" i="5"/>
  <c r="F293" i="5"/>
  <c r="O293" i="5"/>
  <c r="N293" i="5"/>
  <c r="M293" i="5"/>
  <c r="N336" i="5"/>
  <c r="T153" i="5"/>
  <c r="Q155" i="5"/>
  <c r="R162" i="5" s="1"/>
  <c r="T167" i="5"/>
  <c r="D175" i="5"/>
  <c r="N175" i="5" s="1"/>
  <c r="P175" i="5" s="1"/>
  <c r="M191" i="5"/>
  <c r="O209" i="5"/>
  <c r="O225" i="5"/>
  <c r="M225" i="5"/>
  <c r="T226" i="5"/>
  <c r="S229" i="5"/>
  <c r="S232" i="5"/>
  <c r="Q234" i="5"/>
  <c r="O237" i="5"/>
  <c r="M237" i="5"/>
  <c r="M239" i="5"/>
  <c r="P239" i="5" s="1"/>
  <c r="F239" i="5"/>
  <c r="T239" i="5"/>
  <c r="Q264" i="5"/>
  <c r="O269" i="5"/>
  <c r="M269" i="5"/>
  <c r="S271" i="5"/>
  <c r="D271" i="5"/>
  <c r="N271" i="5" s="1"/>
  <c r="C271" i="5"/>
  <c r="Q274" i="5"/>
  <c r="N307" i="5"/>
  <c r="Q315" i="5"/>
  <c r="T358" i="5"/>
  <c r="F358" i="5"/>
  <c r="O358" i="5"/>
  <c r="M358" i="5"/>
  <c r="C383" i="5"/>
  <c r="S383" i="5"/>
  <c r="O144" i="5"/>
  <c r="F153" i="5"/>
  <c r="C157" i="5"/>
  <c r="C160" i="5"/>
  <c r="S160" i="5"/>
  <c r="T175" i="5"/>
  <c r="O176" i="5"/>
  <c r="M181" i="5"/>
  <c r="P181" i="5" s="1"/>
  <c r="C202" i="5"/>
  <c r="S202" i="5"/>
  <c r="D202" i="5"/>
  <c r="N202" i="5" s="1"/>
  <c r="Q209" i="5"/>
  <c r="F225" i="5"/>
  <c r="D229" i="5"/>
  <c r="N229" i="5" s="1"/>
  <c r="T233" i="5"/>
  <c r="F237" i="5"/>
  <c r="O253" i="5"/>
  <c r="Q260" i="5"/>
  <c r="F269" i="5"/>
  <c r="Q295" i="5"/>
  <c r="C307" i="5"/>
  <c r="D383" i="5"/>
  <c r="N383" i="5" s="1"/>
  <c r="T179" i="5"/>
  <c r="F179" i="5"/>
  <c r="Q182" i="5"/>
  <c r="O186" i="5"/>
  <c r="O192" i="5"/>
  <c r="N203" i="5"/>
  <c r="P203" i="5" s="1"/>
  <c r="Q212" i="5"/>
  <c r="S216" i="5"/>
  <c r="O229" i="5"/>
  <c r="M229" i="5"/>
  <c r="S231" i="5"/>
  <c r="Q231" i="5"/>
  <c r="C231" i="5"/>
  <c r="T272" i="5"/>
  <c r="D306" i="5"/>
  <c r="N306" i="5" s="1"/>
  <c r="Q306" i="5"/>
  <c r="T307" i="5"/>
  <c r="F307" i="5"/>
  <c r="O307" i="5"/>
  <c r="M307" i="5"/>
  <c r="N315" i="5"/>
  <c r="F377" i="5"/>
  <c r="T377" i="5"/>
  <c r="O377" i="5"/>
  <c r="M377" i="5"/>
  <c r="Q196" i="5"/>
  <c r="T203" i="5"/>
  <c r="S235" i="5"/>
  <c r="D235" i="5"/>
  <c r="N235" i="5" s="1"/>
  <c r="C235" i="5"/>
  <c r="Q241" i="5"/>
  <c r="Q246" i="5"/>
  <c r="D274" i="5"/>
  <c r="N274" i="5" s="1"/>
  <c r="C274" i="5"/>
  <c r="C288" i="5"/>
  <c r="T288" i="5"/>
  <c r="D288" i="5"/>
  <c r="N288" i="5" s="1"/>
  <c r="T315" i="5"/>
  <c r="F315" i="5"/>
  <c r="O315" i="5"/>
  <c r="M315" i="5"/>
  <c r="T327" i="5"/>
  <c r="T340" i="5"/>
  <c r="C196" i="5"/>
  <c r="O208" i="5"/>
  <c r="F208" i="5"/>
  <c r="M208" i="5"/>
  <c r="T209" i="5"/>
  <c r="S217" i="5"/>
  <c r="M230" i="5"/>
  <c r="F230" i="5"/>
  <c r="T231" i="5"/>
  <c r="T235" i="5"/>
  <c r="O236" i="5"/>
  <c r="F236" i="5"/>
  <c r="T236" i="5"/>
  <c r="M236" i="5"/>
  <c r="T267" i="5"/>
  <c r="D267" i="5"/>
  <c r="N267" i="5" s="1"/>
  <c r="S267" i="5"/>
  <c r="C267" i="5"/>
  <c r="Q267" i="5"/>
  <c r="T268" i="5"/>
  <c r="F268" i="5"/>
  <c r="O268" i="5"/>
  <c r="M268" i="5"/>
  <c r="T274" i="5"/>
  <c r="F274" i="5"/>
  <c r="M274" i="5"/>
  <c r="R300" i="5"/>
  <c r="O306" i="5"/>
  <c r="M306" i="5"/>
  <c r="Q314" i="5"/>
  <c r="R368" i="5"/>
  <c r="T373" i="5"/>
  <c r="F373" i="5"/>
  <c r="O373" i="5"/>
  <c r="M373" i="5"/>
  <c r="Q373" i="5"/>
  <c r="T144" i="5"/>
  <c r="Q189" i="5"/>
  <c r="D196" i="5"/>
  <c r="N196" i="5" s="1"/>
  <c r="T196" i="5"/>
  <c r="S210" i="5"/>
  <c r="D210" i="5"/>
  <c r="N210" i="5" s="1"/>
  <c r="Q210" i="5"/>
  <c r="F216" i="5"/>
  <c r="C217" i="5"/>
  <c r="M221" i="5"/>
  <c r="Q224" i="5"/>
  <c r="R232" i="5" s="1"/>
  <c r="P232" i="5" s="1"/>
  <c r="F233" i="5"/>
  <c r="M234" i="5"/>
  <c r="T234" i="5"/>
  <c r="F234" i="5"/>
  <c r="Q242" i="5"/>
  <c r="D255" i="5"/>
  <c r="N255" i="5" s="1"/>
  <c r="C255" i="5"/>
  <c r="S265" i="5"/>
  <c r="O273" i="5"/>
  <c r="M273" i="5"/>
  <c r="S285" i="5"/>
  <c r="D285" i="5"/>
  <c r="N285" i="5" s="1"/>
  <c r="F306" i="5"/>
  <c r="F176" i="5"/>
  <c r="T186" i="5"/>
  <c r="P187" i="5"/>
  <c r="D192" i="5"/>
  <c r="N192" i="5" s="1"/>
  <c r="S192" i="5"/>
  <c r="Q194" i="5"/>
  <c r="Q214" i="5"/>
  <c r="T217" i="5"/>
  <c r="F217" i="5"/>
  <c r="O221" i="5"/>
  <c r="Q237" i="5"/>
  <c r="S242" i="5"/>
  <c r="S250" i="5"/>
  <c r="D256" i="5"/>
  <c r="N256" i="5" s="1"/>
  <c r="C265" i="5"/>
  <c r="F273" i="5"/>
  <c r="N284" i="5"/>
  <c r="C285" i="5"/>
  <c r="S286" i="5"/>
  <c r="D286" i="5"/>
  <c r="N286" i="5" s="1"/>
  <c r="C286" i="5"/>
  <c r="S296" i="5"/>
  <c r="C296" i="5"/>
  <c r="T296" i="5"/>
  <c r="M314" i="5"/>
  <c r="O314" i="5"/>
  <c r="T314" i="5"/>
  <c r="N330" i="5"/>
  <c r="T331" i="5"/>
  <c r="F331" i="5"/>
  <c r="M331" i="5"/>
  <c r="O331" i="5"/>
  <c r="S339" i="5"/>
  <c r="D339" i="5"/>
  <c r="N339" i="5" s="1"/>
  <c r="C339" i="5"/>
  <c r="P177" i="5"/>
  <c r="R177" i="5"/>
  <c r="T181" i="5"/>
  <c r="T192" i="5"/>
  <c r="Q207" i="5"/>
  <c r="N250" i="5"/>
  <c r="D251" i="5"/>
  <c r="N251" i="5" s="1"/>
  <c r="C251" i="5"/>
  <c r="N254" i="5"/>
  <c r="T265" i="5"/>
  <c r="F265" i="5"/>
  <c r="M284" i="5"/>
  <c r="O284" i="5"/>
  <c r="T285" i="5"/>
  <c r="D298" i="5"/>
  <c r="N298" i="5" s="1"/>
  <c r="C298" i="5"/>
  <c r="S298" i="5"/>
  <c r="T305" i="5"/>
  <c r="O305" i="5"/>
  <c r="M305" i="5"/>
  <c r="S318" i="5"/>
  <c r="D318" i="5"/>
  <c r="N318" i="5" s="1"/>
  <c r="T318" i="5"/>
  <c r="O330" i="5"/>
  <c r="F330" i="5"/>
  <c r="T330" i="5"/>
  <c r="M330" i="5"/>
  <c r="R335" i="5"/>
  <c r="T339" i="5"/>
  <c r="O339" i="5"/>
  <c r="M339" i="5"/>
  <c r="P350" i="5"/>
  <c r="R350" i="5"/>
  <c r="O375" i="5"/>
  <c r="M375" i="5"/>
  <c r="T375" i="5"/>
  <c r="F375" i="5"/>
  <c r="T180" i="5"/>
  <c r="T193" i="5"/>
  <c r="F193" i="5"/>
  <c r="T200" i="5"/>
  <c r="Q202" i="5"/>
  <c r="S227" i="5"/>
  <c r="O228" i="5"/>
  <c r="T249" i="5"/>
  <c r="T270" i="5"/>
  <c r="O281" i="5"/>
  <c r="Q287" i="5"/>
  <c r="C287" i="5"/>
  <c r="T287" i="5"/>
  <c r="Q299" i="5"/>
  <c r="R307" i="5" s="1"/>
  <c r="M301" i="5"/>
  <c r="O308" i="5"/>
  <c r="M308" i="5"/>
  <c r="F308" i="5"/>
  <c r="R321" i="5"/>
  <c r="P321" i="5"/>
  <c r="T323" i="5"/>
  <c r="P325" i="5"/>
  <c r="M327" i="5"/>
  <c r="P367" i="5"/>
  <c r="R367" i="5"/>
  <c r="M383" i="5"/>
  <c r="O383" i="5"/>
  <c r="F383" i="5"/>
  <c r="T383" i="5"/>
  <c r="M392" i="5"/>
  <c r="F392" i="5"/>
  <c r="T392" i="5"/>
  <c r="O392" i="5"/>
  <c r="T309" i="5"/>
  <c r="Q319" i="5"/>
  <c r="O319" i="5"/>
  <c r="S324" i="5"/>
  <c r="C324" i="5"/>
  <c r="R327" i="5"/>
  <c r="Q329" i="5"/>
  <c r="Q340" i="5"/>
  <c r="T352" i="5"/>
  <c r="S352" i="5"/>
  <c r="C352" i="5"/>
  <c r="D352" i="5"/>
  <c r="N352" i="5" s="1"/>
  <c r="D353" i="5"/>
  <c r="N353" i="5" s="1"/>
  <c r="C353" i="5"/>
  <c r="S382" i="5"/>
  <c r="C382" i="5"/>
  <c r="T382" i="5"/>
  <c r="D382" i="5"/>
  <c r="N382" i="5" s="1"/>
  <c r="N247" i="5"/>
  <c r="T256" i="5"/>
  <c r="Q263" i="5"/>
  <c r="Q283" i="5"/>
  <c r="Q291" i="5"/>
  <c r="N299" i="5"/>
  <c r="T299" i="5"/>
  <c r="T302" i="5"/>
  <c r="C311" i="5"/>
  <c r="S311" i="5"/>
  <c r="F319" i="5"/>
  <c r="D324" i="5"/>
  <c r="N324" i="5" s="1"/>
  <c r="T324" i="5"/>
  <c r="D363" i="5"/>
  <c r="N363" i="5" s="1"/>
  <c r="C363" i="5"/>
  <c r="S363" i="5"/>
  <c r="T369" i="5"/>
  <c r="R379" i="5"/>
  <c r="P379" i="5"/>
  <c r="T194" i="5"/>
  <c r="T207" i="5"/>
  <c r="F207" i="5"/>
  <c r="T214" i="5"/>
  <c r="Q216" i="5"/>
  <c r="F231" i="5"/>
  <c r="T241" i="5"/>
  <c r="F245" i="5"/>
  <c r="F256" i="5"/>
  <c r="T260" i="5"/>
  <c r="F260" i="5"/>
  <c r="O275" i="5"/>
  <c r="M275" i="5"/>
  <c r="F286" i="5"/>
  <c r="F287" i="5"/>
  <c r="S289" i="5"/>
  <c r="C289" i="5"/>
  <c r="S290" i="5"/>
  <c r="D290" i="5"/>
  <c r="N290" i="5" s="1"/>
  <c r="T290" i="5"/>
  <c r="T297" i="5"/>
  <c r="R303" i="5"/>
  <c r="T311" i="5"/>
  <c r="Q316" i="5"/>
  <c r="F323" i="5"/>
  <c r="Q362" i="5"/>
  <c r="C362" i="5"/>
  <c r="S362" i="5"/>
  <c r="Q305" i="5"/>
  <c r="Q317" i="5"/>
  <c r="T321" i="5"/>
  <c r="F321" i="5"/>
  <c r="Q328" i="5"/>
  <c r="T360" i="5"/>
  <c r="S360" i="5"/>
  <c r="D360" i="5"/>
  <c r="N360" i="5" s="1"/>
  <c r="C360" i="5"/>
  <c r="R376" i="5"/>
  <c r="T228" i="5"/>
  <c r="Q230" i="5"/>
  <c r="N236" i="5"/>
  <c r="Q249" i="5"/>
  <c r="R252" i="5"/>
  <c r="P252" i="5"/>
  <c r="P253" i="5"/>
  <c r="O261" i="5"/>
  <c r="M261" i="5"/>
  <c r="N281" i="5"/>
  <c r="T281" i="5"/>
  <c r="P282" i="5"/>
  <c r="T289" i="5"/>
  <c r="D302" i="5"/>
  <c r="N302" i="5" s="1"/>
  <c r="T303" i="5"/>
  <c r="C312" i="5"/>
  <c r="Q312" i="5"/>
  <c r="C328" i="5"/>
  <c r="D349" i="5"/>
  <c r="N349" i="5" s="1"/>
  <c r="S349" i="5"/>
  <c r="Q355" i="5"/>
  <c r="Q383" i="5"/>
  <c r="T246" i="5"/>
  <c r="F246" i="5"/>
  <c r="Q255" i="5"/>
  <c r="S301" i="5"/>
  <c r="D301" i="5"/>
  <c r="N301" i="5" s="1"/>
  <c r="C301" i="5"/>
  <c r="S304" i="5"/>
  <c r="T304" i="5"/>
  <c r="Q309" i="5"/>
  <c r="D312" i="5"/>
  <c r="N312" i="5" s="1"/>
  <c r="R313" i="5"/>
  <c r="P313" i="5"/>
  <c r="T326" i="5"/>
  <c r="O327" i="5"/>
  <c r="N327" i="5"/>
  <c r="D328" i="5"/>
  <c r="N328" i="5" s="1"/>
  <c r="R339" i="5"/>
  <c r="P339" i="5"/>
  <c r="D344" i="5"/>
  <c r="N344" i="5" s="1"/>
  <c r="C344" i="5"/>
  <c r="T344" i="5"/>
  <c r="P357" i="5"/>
  <c r="R357" i="5"/>
  <c r="S366" i="5"/>
  <c r="C366" i="5"/>
  <c r="Q366" i="5"/>
  <c r="T366" i="5"/>
  <c r="T232" i="5"/>
  <c r="F232" i="5"/>
  <c r="T242" i="5"/>
  <c r="S277" i="5"/>
  <c r="C277" i="5"/>
  <c r="F281" i="5"/>
  <c r="C282" i="5"/>
  <c r="C292" i="5"/>
  <c r="Q292" i="5"/>
  <c r="R293" i="5"/>
  <c r="P293" i="5"/>
  <c r="T301" i="5"/>
  <c r="F301" i="5"/>
  <c r="F303" i="5"/>
  <c r="C304" i="5"/>
  <c r="Q304" i="5"/>
  <c r="T312" i="5"/>
  <c r="F327" i="5"/>
  <c r="N337" i="5"/>
  <c r="S338" i="5"/>
  <c r="C338" i="5"/>
  <c r="T338" i="5"/>
  <c r="M345" i="5"/>
  <c r="T345" i="5"/>
  <c r="F345" i="5"/>
  <c r="T347" i="5"/>
  <c r="F347" i="5"/>
  <c r="O347" i="5"/>
  <c r="M347" i="5"/>
  <c r="T349" i="5"/>
  <c r="F349" i="5"/>
  <c r="O349" i="5"/>
  <c r="M349" i="5"/>
  <c r="D366" i="5"/>
  <c r="N366" i="5" s="1"/>
  <c r="D393" i="5"/>
  <c r="N393" i="5" s="1"/>
  <c r="C393" i="5"/>
  <c r="S393" i="5"/>
  <c r="Q393" i="5"/>
  <c r="O247" i="5"/>
  <c r="M247" i="5"/>
  <c r="D282" i="5"/>
  <c r="N282" i="5" s="1"/>
  <c r="D292" i="5"/>
  <c r="N292" i="5" s="1"/>
  <c r="D304" i="5"/>
  <c r="N304" i="5" s="1"/>
  <c r="S314" i="5"/>
  <c r="D314" i="5"/>
  <c r="N314" i="5" s="1"/>
  <c r="Q323" i="5"/>
  <c r="C340" i="5"/>
  <c r="S340" i="5"/>
  <c r="D340" i="5"/>
  <c r="N340" i="5" s="1"/>
  <c r="Q341" i="5"/>
  <c r="O341" i="5"/>
  <c r="D358" i="5"/>
  <c r="N358" i="5" s="1"/>
  <c r="C358" i="5"/>
  <c r="O359" i="5"/>
  <c r="M359" i="5"/>
  <c r="P359" i="5" s="1"/>
  <c r="T359" i="5"/>
  <c r="F359" i="5"/>
  <c r="R371" i="5"/>
  <c r="P371" i="5"/>
  <c r="S373" i="5"/>
  <c r="D373" i="5"/>
  <c r="N373" i="5" s="1"/>
  <c r="C373" i="5"/>
  <c r="T384" i="5"/>
  <c r="S384" i="5"/>
  <c r="D384" i="5"/>
  <c r="N384" i="5" s="1"/>
  <c r="C384" i="5"/>
  <c r="P351" i="5"/>
  <c r="R351" i="5"/>
  <c r="Q358" i="5"/>
  <c r="Q370" i="5"/>
  <c r="C370" i="5"/>
  <c r="S370" i="5"/>
  <c r="Q375" i="5"/>
  <c r="Q377" i="5"/>
  <c r="R381" i="5" s="1"/>
  <c r="T300" i="5"/>
  <c r="M302" i="5"/>
  <c r="M326" i="5"/>
  <c r="T328" i="5"/>
  <c r="T354" i="5"/>
  <c r="T367" i="5"/>
  <c r="F367" i="5"/>
  <c r="Q378" i="5"/>
  <c r="C378" i="5"/>
  <c r="S378" i="5"/>
  <c r="T378" i="5"/>
  <c r="T380" i="5"/>
  <c r="D380" i="5"/>
  <c r="N380" i="5" s="1"/>
  <c r="S380" i="5"/>
  <c r="C380" i="5"/>
  <c r="T397" i="5"/>
  <c r="F397" i="5"/>
  <c r="O397" i="5"/>
  <c r="M397" i="5"/>
  <c r="T381" i="5"/>
  <c r="D252" i="5"/>
  <c r="N252" i="5" s="1"/>
  <c r="D266" i="5"/>
  <c r="N266" i="5" s="1"/>
  <c r="D280" i="5"/>
  <c r="N280" i="5" s="1"/>
  <c r="S293" i="5"/>
  <c r="D297" i="5"/>
  <c r="N297" i="5" s="1"/>
  <c r="S321" i="5"/>
  <c r="T325" i="5"/>
  <c r="O326" i="5"/>
  <c r="T343" i="5"/>
  <c r="F343" i="5"/>
  <c r="O354" i="5"/>
  <c r="M354" i="5"/>
  <c r="R363" i="5"/>
  <c r="C379" i="5"/>
  <c r="F235" i="5"/>
  <c r="F249" i="5"/>
  <c r="F263" i="5"/>
  <c r="F277" i="5"/>
  <c r="F289" i="5"/>
  <c r="C293" i="5"/>
  <c r="N305" i="5"/>
  <c r="F309" i="5"/>
  <c r="F317" i="5"/>
  <c r="C321" i="5"/>
  <c r="C334" i="5"/>
  <c r="Q334" i="5"/>
  <c r="O340" i="5"/>
  <c r="F344" i="5"/>
  <c r="C346" i="5"/>
  <c r="Q346" i="5"/>
  <c r="T353" i="5"/>
  <c r="F353" i="5"/>
  <c r="O353" i="5"/>
  <c r="F354" i="5"/>
  <c r="S356" i="5"/>
  <c r="Q356" i="5"/>
  <c r="C356" i="5"/>
  <c r="D375" i="5"/>
  <c r="N375" i="5" s="1"/>
  <c r="S388" i="5"/>
  <c r="Q384" i="5"/>
  <c r="O294" i="5"/>
  <c r="M294" i="5"/>
  <c r="O322" i="5"/>
  <c r="M322" i="5"/>
  <c r="P322" i="5" s="1"/>
  <c r="Q331" i="5"/>
  <c r="N335" i="5"/>
  <c r="P335" i="5" s="1"/>
  <c r="T357" i="5"/>
  <c r="F357" i="5"/>
  <c r="C374" i="5"/>
  <c r="D374" i="5"/>
  <c r="N374" i="5" s="1"/>
  <c r="P381" i="5"/>
  <c r="S387" i="5"/>
  <c r="C387" i="5"/>
  <c r="T389" i="5"/>
  <c r="F322" i="5"/>
  <c r="F326" i="5"/>
  <c r="C335" i="5"/>
  <c r="C336" i="5"/>
  <c r="T361" i="5"/>
  <c r="M367" i="5"/>
  <c r="O374" i="5"/>
  <c r="T374" i="5"/>
  <c r="M374" i="5"/>
  <c r="F374" i="5"/>
  <c r="D387" i="5"/>
  <c r="N387" i="5" s="1"/>
  <c r="B5" i="7"/>
  <c r="T335" i="5"/>
  <c r="F335" i="5"/>
  <c r="Q344" i="5"/>
  <c r="N347" i="5"/>
  <c r="Q354" i="5"/>
  <c r="Q365" i="5"/>
  <c r="T387" i="5"/>
  <c r="F387" i="5"/>
  <c r="O387" i="5"/>
  <c r="M387" i="5"/>
  <c r="N392" i="5"/>
  <c r="Q396" i="5"/>
  <c r="O363" i="5"/>
  <c r="O366" i="5"/>
  <c r="M366" i="5"/>
  <c r="Q392" i="5"/>
  <c r="C392" i="5"/>
  <c r="S392" i="5"/>
  <c r="Q397" i="5"/>
  <c r="T388" i="5"/>
  <c r="T394" i="5"/>
  <c r="M350" i="5"/>
  <c r="T363" i="5"/>
  <c r="M369" i="5"/>
  <c r="Q372" i="5"/>
  <c r="T379" i="5"/>
  <c r="F379" i="5"/>
  <c r="M385" i="5"/>
  <c r="F388" i="5"/>
  <c r="T393" i="5"/>
  <c r="F393" i="5"/>
  <c r="C394" i="5"/>
  <c r="S368" i="5"/>
  <c r="C368" i="5"/>
  <c r="Q374" i="5"/>
  <c r="Q382" i="5"/>
  <c r="O394" i="5"/>
  <c r="M394" i="5"/>
  <c r="C364" i="5"/>
  <c r="Q364" i="5"/>
  <c r="D368" i="5"/>
  <c r="N368" i="5" s="1"/>
  <c r="P368" i="5" s="1"/>
  <c r="T368" i="5"/>
  <c r="D372" i="5"/>
  <c r="N372" i="5" s="1"/>
  <c r="D376" i="5"/>
  <c r="N376" i="5" s="1"/>
  <c r="P376" i="5" s="1"/>
  <c r="O380" i="5"/>
  <c r="M380" i="5"/>
  <c r="F394" i="5"/>
  <c r="T395" i="5"/>
  <c r="T372" i="5"/>
  <c r="S396" i="5"/>
  <c r="C396" i="5"/>
  <c r="F361" i="5"/>
  <c r="S365" i="5"/>
  <c r="N377" i="5"/>
  <c r="F381" i="5"/>
  <c r="Q386" i="5"/>
  <c r="T390" i="5"/>
  <c r="D397" i="5"/>
  <c r="N397" i="5" s="1"/>
  <c r="C398" i="5"/>
  <c r="T365" i="5"/>
  <c r="F365" i="5"/>
  <c r="T398" i="5"/>
  <c r="F398" i="5"/>
  <c r="O398" i="5"/>
  <c r="B4" i="7"/>
  <c r="P123" i="5" l="1"/>
  <c r="R55" i="5"/>
  <c r="P261" i="5"/>
  <c r="P288" i="5"/>
  <c r="P19" i="5"/>
  <c r="P133" i="5"/>
  <c r="P70" i="5"/>
  <c r="P228" i="5"/>
  <c r="P332" i="5"/>
  <c r="P300" i="5"/>
  <c r="P105" i="5"/>
  <c r="R333" i="5"/>
  <c r="R72" i="5"/>
  <c r="P31" i="5"/>
  <c r="P63" i="5"/>
  <c r="P221" i="5"/>
  <c r="R235" i="5"/>
  <c r="P161" i="5"/>
  <c r="R116" i="5"/>
  <c r="R80" i="5"/>
  <c r="P116" i="5"/>
  <c r="P391" i="5"/>
  <c r="P150" i="5"/>
  <c r="P259" i="5"/>
  <c r="P275" i="5"/>
  <c r="P256" i="5"/>
  <c r="P208" i="5"/>
  <c r="P271" i="5"/>
  <c r="R233" i="5"/>
  <c r="P170" i="5"/>
  <c r="P193" i="5"/>
  <c r="P398" i="5"/>
  <c r="R389" i="5"/>
  <c r="P290" i="5"/>
  <c r="P37" i="5"/>
  <c r="P369" i="5"/>
  <c r="P44" i="5"/>
  <c r="P92" i="5"/>
  <c r="P142" i="5"/>
  <c r="P206" i="5"/>
  <c r="P72" i="5"/>
  <c r="P349" i="5"/>
  <c r="R151" i="5"/>
  <c r="R369" i="5"/>
  <c r="P143" i="5"/>
  <c r="P33" i="5"/>
  <c r="P135" i="5"/>
  <c r="R135" i="5"/>
  <c r="P395" i="5"/>
  <c r="P54" i="5"/>
  <c r="P191" i="5"/>
  <c r="P55" i="5"/>
  <c r="P59" i="5"/>
  <c r="P102" i="5"/>
  <c r="R154" i="5"/>
  <c r="R398" i="5"/>
  <c r="R53" i="5"/>
  <c r="P233" i="5"/>
  <c r="R170" i="5"/>
  <c r="R193" i="5"/>
  <c r="P93" i="5"/>
  <c r="P289" i="5"/>
  <c r="R153" i="5"/>
  <c r="R257" i="5"/>
  <c r="P318" i="5"/>
  <c r="P53" i="5"/>
  <c r="E17" i="4"/>
  <c r="P113" i="5"/>
  <c r="P127" i="5"/>
  <c r="P100" i="5"/>
  <c r="P244" i="5"/>
  <c r="R394" i="5"/>
  <c r="P13" i="5"/>
  <c r="P236" i="5"/>
  <c r="P235" i="5"/>
  <c r="P266" i="5"/>
  <c r="P394" i="5"/>
  <c r="P195" i="5"/>
  <c r="P148" i="5"/>
  <c r="P51" i="5"/>
  <c r="P297" i="5"/>
  <c r="N20" i="3"/>
  <c r="P270" i="5"/>
  <c r="P21" i="5"/>
  <c r="R27" i="5"/>
  <c r="P27" i="5" s="1"/>
  <c r="P268" i="5"/>
  <c r="R185" i="5"/>
  <c r="P134" i="5"/>
  <c r="P65" i="5"/>
  <c r="R113" i="5"/>
  <c r="C8" i="4"/>
  <c r="P265" i="5"/>
  <c r="E8" i="3"/>
  <c r="R227" i="5"/>
  <c r="N22" i="3"/>
  <c r="N8" i="3"/>
  <c r="P188" i="5"/>
  <c r="N7" i="3"/>
  <c r="P385" i="5"/>
  <c r="R390" i="5"/>
  <c r="P302" i="5"/>
  <c r="P190" i="5"/>
  <c r="P172" i="5"/>
  <c r="R13" i="5"/>
  <c r="P251" i="5"/>
  <c r="P307" i="5"/>
  <c r="P218" i="5"/>
  <c r="N10" i="3"/>
  <c r="D13" i="4"/>
  <c r="C11" i="4"/>
  <c r="P327" i="5"/>
  <c r="R297" i="5"/>
  <c r="P240" i="5"/>
  <c r="P80" i="5"/>
  <c r="E16" i="4"/>
  <c r="P301" i="5"/>
  <c r="M11" i="3" s="1"/>
  <c r="B7" i="7"/>
  <c r="L387" i="2"/>
  <c r="D387" i="2" s="1"/>
  <c r="P5" i="5"/>
  <c r="P174" i="5"/>
  <c r="P324" i="5"/>
  <c r="P104" i="5"/>
  <c r="P286" i="5"/>
  <c r="P222" i="5"/>
  <c r="P128" i="5"/>
  <c r="R241" i="5"/>
  <c r="P241" i="5"/>
  <c r="L505" i="2"/>
  <c r="P392" i="5"/>
  <c r="R392" i="5"/>
  <c r="R287" i="5"/>
  <c r="P287" i="5"/>
  <c r="R214" i="5"/>
  <c r="P214" i="5"/>
  <c r="R210" i="5"/>
  <c r="P210" i="5"/>
  <c r="P314" i="5"/>
  <c r="R314" i="5"/>
  <c r="R260" i="5"/>
  <c r="P260" i="5"/>
  <c r="R171" i="5"/>
  <c r="P171" i="5"/>
  <c r="P219" i="5"/>
  <c r="R219" i="5"/>
  <c r="P158" i="5"/>
  <c r="R158" i="5"/>
  <c r="R138" i="5"/>
  <c r="P138" i="5"/>
  <c r="P28" i="5"/>
  <c r="R28" i="5"/>
  <c r="F11" i="4"/>
  <c r="G11" i="4" s="1"/>
  <c r="L223" i="2"/>
  <c r="L466" i="2"/>
  <c r="L413" i="2"/>
  <c r="L352" i="2"/>
  <c r="L492" i="2"/>
  <c r="L218" i="2"/>
  <c r="L316" i="2"/>
  <c r="L443" i="2"/>
  <c r="N12" i="3"/>
  <c r="L382" i="2"/>
  <c r="N23" i="3"/>
  <c r="L249" i="2"/>
  <c r="R103" i="5"/>
  <c r="P103" i="5"/>
  <c r="R205" i="5"/>
  <c r="P205" i="5" s="1"/>
  <c r="L502" i="2"/>
  <c r="P386" i="5"/>
  <c r="R386" i="5"/>
  <c r="R304" i="5"/>
  <c r="P304" i="5"/>
  <c r="R255" i="5"/>
  <c r="P255" i="5"/>
  <c r="R194" i="5"/>
  <c r="P194" i="5" s="1"/>
  <c r="R204" i="5"/>
  <c r="P204" i="5"/>
  <c r="P120" i="5"/>
  <c r="R120" i="5"/>
  <c r="R101" i="5"/>
  <c r="P101" i="5"/>
  <c r="R73" i="5"/>
  <c r="P73" i="5"/>
  <c r="F13" i="4"/>
  <c r="G13" i="4" s="1"/>
  <c r="R129" i="5"/>
  <c r="P129" i="5"/>
  <c r="E14" i="4"/>
  <c r="F15" i="4"/>
  <c r="G15" i="4" s="1"/>
  <c r="L469" i="2"/>
  <c r="D8" i="3"/>
  <c r="L412" i="2"/>
  <c r="L225" i="2"/>
  <c r="L323" i="2"/>
  <c r="L500" i="2"/>
  <c r="L462" i="2"/>
  <c r="L416" i="2"/>
  <c r="L219" i="2"/>
  <c r="R246" i="5"/>
  <c r="P246" i="5"/>
  <c r="R74" i="5"/>
  <c r="P74" i="5"/>
  <c r="P18" i="5"/>
  <c r="R18" i="5"/>
  <c r="L232" i="2"/>
  <c r="R216" i="5"/>
  <c r="P216" i="5"/>
  <c r="L265" i="2"/>
  <c r="L246" i="2"/>
  <c r="L431" i="2"/>
  <c r="R393" i="5"/>
  <c r="P393" i="5"/>
  <c r="R242" i="5"/>
  <c r="P242" i="5"/>
  <c r="R189" i="5"/>
  <c r="P189" i="5"/>
  <c r="R306" i="5"/>
  <c r="P306" i="5"/>
  <c r="R179" i="5"/>
  <c r="P179" i="5" s="1"/>
  <c r="N18" i="3"/>
  <c r="R195" i="5"/>
  <c r="P85" i="5"/>
  <c r="R85" i="5"/>
  <c r="R337" i="5"/>
  <c r="P337" i="5"/>
  <c r="P110" i="5"/>
  <c r="R110" i="5"/>
  <c r="R130" i="5"/>
  <c r="R115" i="5"/>
  <c r="P115" i="5"/>
  <c r="N17" i="3"/>
  <c r="R35" i="5"/>
  <c r="P35" i="5"/>
  <c r="P117" i="5"/>
  <c r="R117" i="5"/>
  <c r="P22" i="5"/>
  <c r="R22" i="5"/>
  <c r="F9" i="4"/>
  <c r="G9" i="4" s="1"/>
  <c r="P49" i="5"/>
  <c r="R49" i="5"/>
  <c r="L450" i="2"/>
  <c r="L280" i="2"/>
  <c r="L290" i="2"/>
  <c r="L253" i="2"/>
  <c r="L419" i="2"/>
  <c r="L465" i="2"/>
  <c r="L410" i="2"/>
  <c r="L486" i="2"/>
  <c r="C10" i="4"/>
  <c r="L245" i="2"/>
  <c r="L395" i="2"/>
  <c r="P319" i="5"/>
  <c r="R319" i="5"/>
  <c r="L255" i="2"/>
  <c r="N19" i="3"/>
  <c r="R355" i="5"/>
  <c r="P355" i="5"/>
  <c r="R341" i="5"/>
  <c r="P341" i="5"/>
  <c r="P366" i="5"/>
  <c r="R366" i="5"/>
  <c r="R202" i="5"/>
  <c r="P202" i="5"/>
  <c r="P209" i="5"/>
  <c r="R209" i="5"/>
  <c r="P264" i="5"/>
  <c r="R264" i="5"/>
  <c r="P96" i="5"/>
  <c r="R96" i="5"/>
  <c r="R17" i="5"/>
  <c r="P17" i="5"/>
  <c r="F8" i="4"/>
  <c r="G8" i="4" s="1"/>
  <c r="D10" i="4"/>
  <c r="C15" i="4"/>
  <c r="L423" i="2"/>
  <c r="L499" i="2"/>
  <c r="L326" i="2"/>
  <c r="L305" i="2"/>
  <c r="L473" i="2"/>
  <c r="L260" i="2"/>
  <c r="L438" i="2"/>
  <c r="L470" i="2"/>
  <c r="L444" i="2"/>
  <c r="L507" i="2"/>
  <c r="L236" i="2"/>
  <c r="P164" i="5"/>
  <c r="R164" i="5"/>
  <c r="L437" i="2"/>
  <c r="L250" i="2"/>
  <c r="L426" i="2"/>
  <c r="R328" i="5"/>
  <c r="P328" i="5"/>
  <c r="R126" i="5"/>
  <c r="P126" i="5"/>
  <c r="D9" i="3"/>
  <c r="E7" i="2"/>
  <c r="F7" i="2"/>
  <c r="A7" i="2"/>
  <c r="B7" i="2"/>
  <c r="L405" i="2"/>
  <c r="R373" i="5"/>
  <c r="P373" i="5"/>
  <c r="P182" i="5"/>
  <c r="R182" i="5"/>
  <c r="P223" i="5"/>
  <c r="P198" i="5"/>
  <c r="R198" i="5"/>
  <c r="P82" i="5"/>
  <c r="R82" i="5"/>
  <c r="R134" i="5"/>
  <c r="L495" i="2"/>
  <c r="L430" i="2"/>
  <c r="L320" i="2"/>
  <c r="L267" i="2"/>
  <c r="L460" i="2"/>
  <c r="L390" i="2"/>
  <c r="L334" i="2"/>
  <c r="L363" i="2"/>
  <c r="L475" i="2"/>
  <c r="L449" i="2"/>
  <c r="D9" i="4"/>
  <c r="L506" i="2"/>
  <c r="R396" i="5"/>
  <c r="P396" i="5"/>
  <c r="P178" i="5"/>
  <c r="R178" i="5"/>
  <c r="L365" i="2"/>
  <c r="R199" i="5"/>
  <c r="P199" i="5"/>
  <c r="C13" i="4"/>
  <c r="L508" i="2"/>
  <c r="L375" i="2"/>
  <c r="N9" i="3"/>
  <c r="P382" i="5"/>
  <c r="R382" i="5"/>
  <c r="R331" i="5"/>
  <c r="P331" i="5"/>
  <c r="R375" i="5"/>
  <c r="P375" i="5"/>
  <c r="R292" i="5"/>
  <c r="P292" i="5"/>
  <c r="R249" i="5"/>
  <c r="P249" i="5"/>
  <c r="P305" i="5"/>
  <c r="R305" i="5"/>
  <c r="R155" i="5"/>
  <c r="P155" i="5"/>
  <c r="P248" i="5"/>
  <c r="M16" i="3" s="1"/>
  <c r="R248" i="5"/>
  <c r="R160" i="5"/>
  <c r="P160" i="5"/>
  <c r="R332" i="5"/>
  <c r="R201" i="5"/>
  <c r="P201" i="5"/>
  <c r="R217" i="5"/>
  <c r="R215" i="5"/>
  <c r="P215" i="5"/>
  <c r="P111" i="5"/>
  <c r="R111" i="5"/>
  <c r="R79" i="5"/>
  <c r="P79" i="5"/>
  <c r="P145" i="5"/>
  <c r="R145" i="5"/>
  <c r="P29" i="5"/>
  <c r="R29" i="5"/>
  <c r="L476" i="2"/>
  <c r="L340" i="2"/>
  <c r="L324" i="2"/>
  <c r="L233" i="2"/>
  <c r="L274" i="2"/>
  <c r="L463" i="2"/>
  <c r="L434" i="2"/>
  <c r="L339" i="2"/>
  <c r="L402" i="2"/>
  <c r="L480" i="2"/>
  <c r="L454" i="2"/>
  <c r="E7" i="3"/>
  <c r="L455" i="2"/>
  <c r="R66" i="5"/>
  <c r="P66" i="5"/>
  <c r="L330" i="2"/>
  <c r="L421" i="2"/>
  <c r="R39" i="5"/>
  <c r="P39" i="5"/>
  <c r="P118" i="5"/>
  <c r="R118" i="5"/>
  <c r="P207" i="5"/>
  <c r="R207" i="5"/>
  <c r="R374" i="5"/>
  <c r="P374" i="5"/>
  <c r="R365" i="5"/>
  <c r="P365" i="5"/>
  <c r="R309" i="5"/>
  <c r="P309" i="5"/>
  <c r="R302" i="5"/>
  <c r="R196" i="5"/>
  <c r="P196" i="5"/>
  <c r="R250" i="5"/>
  <c r="P250" i="5"/>
  <c r="R159" i="5"/>
  <c r="P159" i="5"/>
  <c r="R251" i="5"/>
  <c r="R322" i="5"/>
  <c r="R81" i="5"/>
  <c r="P81" i="5"/>
  <c r="R50" i="5"/>
  <c r="P50" i="5" s="1"/>
  <c r="R48" i="5"/>
  <c r="P48" i="5"/>
  <c r="P14" i="5"/>
  <c r="R14" i="5"/>
  <c r="E7" i="4"/>
  <c r="D8" i="4"/>
  <c r="E12" i="4"/>
  <c r="R24" i="5"/>
  <c r="P24" i="5"/>
  <c r="L435" i="2"/>
  <c r="L379" i="2"/>
  <c r="L360" i="2"/>
  <c r="L272" i="2"/>
  <c r="L429" i="2"/>
  <c r="L281" i="2"/>
  <c r="L482" i="2"/>
  <c r="L453" i="2"/>
  <c r="L380" i="2"/>
  <c r="L424" i="2"/>
  <c r="L459" i="2"/>
  <c r="E9" i="3"/>
  <c r="P342" i="5"/>
  <c r="R342" i="5"/>
  <c r="L457" i="2"/>
  <c r="L386" i="2"/>
  <c r="L491" i="2"/>
  <c r="L461" i="2"/>
  <c r="L483" i="2"/>
  <c r="L477" i="2"/>
  <c r="L358" i="2"/>
  <c r="L351" i="2"/>
  <c r="L344" i="2"/>
  <c r="L328" i="2"/>
  <c r="L254" i="2"/>
  <c r="L226" i="2"/>
  <c r="L471" i="2"/>
  <c r="L451" i="2"/>
  <c r="L397" i="2"/>
  <c r="L337" i="2"/>
  <c r="L317" i="2"/>
  <c r="L315" i="2"/>
  <c r="L313" i="2"/>
  <c r="L311" i="2"/>
  <c r="L303" i="2"/>
  <c r="L425" i="2"/>
  <c r="L389" i="2"/>
  <c r="L332" i="2"/>
  <c r="L488" i="2"/>
  <c r="L442" i="2"/>
  <c r="L446" i="2"/>
  <c r="L433" i="2"/>
  <c r="L404" i="2"/>
  <c r="L376" i="2"/>
  <c r="L348" i="2"/>
  <c r="L464" i="2"/>
  <c r="L441" i="2"/>
  <c r="L420" i="2"/>
  <c r="L428" i="2"/>
  <c r="L415" i="2"/>
  <c r="L388" i="2"/>
  <c r="L364" i="2"/>
  <c r="L357" i="2"/>
  <c r="L350" i="2"/>
  <c r="L432" i="2"/>
  <c r="L407" i="2"/>
  <c r="L403" i="2"/>
  <c r="L343" i="2"/>
  <c r="L310" i="2"/>
  <c r="L458" i="2"/>
  <c r="L391" i="2"/>
  <c r="L384" i="2"/>
  <c r="L381" i="2"/>
  <c r="L338" i="2"/>
  <c r="L327" i="2"/>
  <c r="L314" i="2"/>
  <c r="L312" i="2"/>
  <c r="L436" i="2"/>
  <c r="L378" i="2"/>
  <c r="L359" i="2"/>
  <c r="L354" i="2"/>
  <c r="L345" i="2"/>
  <c r="L329" i="2"/>
  <c r="L306" i="2"/>
  <c r="L304" i="2"/>
  <c r="L472" i="2"/>
  <c r="L342" i="2"/>
  <c r="L270" i="2"/>
  <c r="L496" i="2"/>
  <c r="L456" i="2"/>
  <c r="L452" i="2"/>
  <c r="L439" i="2"/>
  <c r="L417" i="2"/>
  <c r="L291" i="2"/>
  <c r="L282" i="2"/>
  <c r="L251" i="2"/>
  <c r="L238" i="2"/>
  <c r="L231" i="2"/>
  <c r="L216" i="2"/>
  <c r="L361" i="2"/>
  <c r="L355" i="2"/>
  <c r="L298" i="2"/>
  <c r="L277" i="2"/>
  <c r="L262" i="2"/>
  <c r="L247" i="2"/>
  <c r="L205" i="2"/>
  <c r="L178" i="2"/>
  <c r="L385" i="2"/>
  <c r="L300" i="2"/>
  <c r="L293" i="2"/>
  <c r="L284" i="2"/>
  <c r="L279" i="2"/>
  <c r="L266" i="2"/>
  <c r="L394" i="2"/>
  <c r="L318" i="2"/>
  <c r="L308" i="2"/>
  <c r="L217" i="2"/>
  <c r="L206" i="2"/>
  <c r="L366" i="2"/>
  <c r="L353" i="2"/>
  <c r="L347" i="2"/>
  <c r="L333" i="2"/>
  <c r="L321" i="2"/>
  <c r="L241" i="2"/>
  <c r="L191" i="2"/>
  <c r="L173" i="2"/>
  <c r="L392" i="2"/>
  <c r="L374" i="2"/>
  <c r="L325" i="2"/>
  <c r="L224" i="2"/>
  <c r="L214" i="2"/>
  <c r="L210" i="2"/>
  <c r="L276" i="2"/>
  <c r="L227" i="2"/>
  <c r="L221" i="2"/>
  <c r="L184" i="2"/>
  <c r="L180" i="2"/>
  <c r="L373" i="2"/>
  <c r="L259" i="2"/>
  <c r="L248" i="2"/>
  <c r="L237" i="2"/>
  <c r="L230" i="2"/>
  <c r="L207" i="2"/>
  <c r="L427" i="2"/>
  <c r="L341" i="2"/>
  <c r="L299" i="2"/>
  <c r="L285" i="2"/>
  <c r="L263" i="2"/>
  <c r="L261" i="2"/>
  <c r="L235" i="2"/>
  <c r="L175" i="2"/>
  <c r="L336" i="2"/>
  <c r="L292" i="2"/>
  <c r="L257" i="2"/>
  <c r="L215" i="2"/>
  <c r="L211" i="2"/>
  <c r="L200" i="2"/>
  <c r="L196" i="2"/>
  <c r="L479" i="2"/>
  <c r="L398" i="2"/>
  <c r="L356" i="2"/>
  <c r="L289" i="2"/>
  <c r="L273" i="2"/>
  <c r="L271" i="2"/>
  <c r="L286" i="2"/>
  <c r="L275" i="2"/>
  <c r="L203" i="2"/>
  <c r="L183" i="2"/>
  <c r="L170" i="2"/>
  <c r="L163" i="2"/>
  <c r="L335" i="2"/>
  <c r="L296" i="2"/>
  <c r="L244" i="2"/>
  <c r="L234" i="2"/>
  <c r="L176" i="2"/>
  <c r="L164" i="2"/>
  <c r="L371" i="2"/>
  <c r="L331" i="2"/>
  <c r="L192" i="2"/>
  <c r="L179" i="2"/>
  <c r="L171" i="2"/>
  <c r="L294" i="2"/>
  <c r="L229" i="2"/>
  <c r="L220" i="2"/>
  <c r="L190" i="2"/>
  <c r="L362" i="2"/>
  <c r="L264" i="2"/>
  <c r="L243" i="2"/>
  <c r="L198" i="2"/>
  <c r="L186" i="2"/>
  <c r="L177" i="2"/>
  <c r="L166" i="2"/>
  <c r="L159" i="2"/>
  <c r="L152" i="2"/>
  <c r="L145" i="2"/>
  <c r="L242" i="2"/>
  <c r="L212" i="2"/>
  <c r="L209" i="2"/>
  <c r="L204" i="2"/>
  <c r="L202" i="2"/>
  <c r="L301" i="2"/>
  <c r="L269" i="2"/>
  <c r="L167" i="2"/>
  <c r="L160" i="2"/>
  <c r="L153" i="2"/>
  <c r="L408" i="2"/>
  <c r="L319" i="2"/>
  <c r="L193" i="2"/>
  <c r="L174" i="2"/>
  <c r="L126" i="2"/>
  <c r="L168" i="2"/>
  <c r="L161" i="2"/>
  <c r="L154" i="2"/>
  <c r="L147" i="2"/>
  <c r="L140" i="2"/>
  <c r="L133" i="2"/>
  <c r="L148" i="2"/>
  <c r="L116" i="2"/>
  <c r="L113" i="2"/>
  <c r="L110" i="2"/>
  <c r="L67" i="2"/>
  <c r="L287" i="2"/>
  <c r="L187" i="2"/>
  <c r="L141" i="2"/>
  <c r="L128" i="2"/>
  <c r="L107" i="2"/>
  <c r="L172" i="2"/>
  <c r="L146" i="2"/>
  <c r="L136" i="2"/>
  <c r="L95" i="2"/>
  <c r="L92" i="2"/>
  <c r="L89" i="2"/>
  <c r="L213" i="2"/>
  <c r="L197" i="2"/>
  <c r="L182" i="2"/>
  <c r="L169" i="2"/>
  <c r="L131" i="2"/>
  <c r="L155" i="2"/>
  <c r="L144" i="2"/>
  <c r="L157" i="2"/>
  <c r="L139" i="2"/>
  <c r="L134" i="2"/>
  <c r="L114" i="2"/>
  <c r="L111" i="2"/>
  <c r="L108" i="2"/>
  <c r="L268" i="2"/>
  <c r="L195" i="2"/>
  <c r="L149" i="2"/>
  <c r="L142" i="2"/>
  <c r="L93" i="2"/>
  <c r="L240" i="2"/>
  <c r="L208" i="2"/>
  <c r="L201" i="2"/>
  <c r="L189" i="2"/>
  <c r="L137" i="2"/>
  <c r="L132" i="2"/>
  <c r="L127" i="2"/>
  <c r="L121" i="2"/>
  <c r="L118" i="2"/>
  <c r="L115" i="2"/>
  <c r="L112" i="2"/>
  <c r="L194" i="2"/>
  <c r="L165" i="2"/>
  <c r="L109" i="2"/>
  <c r="L106" i="2"/>
  <c r="L103" i="2"/>
  <c r="L60" i="2"/>
  <c r="L199" i="2"/>
  <c r="L188" i="2"/>
  <c r="L162" i="2"/>
  <c r="L156" i="2"/>
  <c r="L143" i="2"/>
  <c r="L105" i="2"/>
  <c r="L98" i="2"/>
  <c r="L78" i="2"/>
  <c r="L37" i="2"/>
  <c r="L34" i="2"/>
  <c r="L31" i="2"/>
  <c r="L28" i="2"/>
  <c r="L11" i="2"/>
  <c r="L91" i="2"/>
  <c r="L76" i="2"/>
  <c r="L74" i="2"/>
  <c r="L63" i="2"/>
  <c r="L58" i="2"/>
  <c r="L25" i="2"/>
  <c r="L22" i="2"/>
  <c r="L15" i="2"/>
  <c r="L68" i="2"/>
  <c r="L61" i="2"/>
  <c r="L50" i="2"/>
  <c r="L12" i="2"/>
  <c r="L84" i="2"/>
  <c r="L43" i="2"/>
  <c r="L125" i="2"/>
  <c r="L122" i="2"/>
  <c r="L119" i="2"/>
  <c r="L100" i="2"/>
  <c r="L19" i="2"/>
  <c r="L72" i="2"/>
  <c r="L53" i="2"/>
  <c r="L35" i="2"/>
  <c r="L16" i="2"/>
  <c r="L14" i="2"/>
  <c r="L135" i="2"/>
  <c r="L87" i="2"/>
  <c r="L70" i="2"/>
  <c r="L56" i="2"/>
  <c r="L47" i="2"/>
  <c r="L29" i="2"/>
  <c r="L46" i="2"/>
  <c r="L85" i="2"/>
  <c r="L83" i="2"/>
  <c r="L44" i="2"/>
  <c r="L41" i="2"/>
  <c r="L38" i="2"/>
  <c r="L26" i="2"/>
  <c r="L55" i="2"/>
  <c r="L256" i="2"/>
  <c r="L102" i="2"/>
  <c r="L66" i="2"/>
  <c r="L59" i="2"/>
  <c r="L32" i="2"/>
  <c r="L69" i="2"/>
  <c r="L124" i="2"/>
  <c r="L104" i="2"/>
  <c r="L97" i="2"/>
  <c r="L81" i="2"/>
  <c r="L77" i="2"/>
  <c r="L23" i="2"/>
  <c r="L20" i="2"/>
  <c r="L120" i="2"/>
  <c r="L151" i="2"/>
  <c r="L79" i="2"/>
  <c r="L64" i="2"/>
  <c r="L54" i="2"/>
  <c r="L138" i="2"/>
  <c r="L130" i="2"/>
  <c r="L75" i="2"/>
  <c r="L51" i="2"/>
  <c r="L48" i="2"/>
  <c r="L45" i="2"/>
  <c r="L42" i="2"/>
  <c r="L17" i="2"/>
  <c r="L13" i="2"/>
  <c r="L117" i="2"/>
  <c r="L40" i="2"/>
  <c r="L222" i="2"/>
  <c r="L150" i="2"/>
  <c r="L99" i="2"/>
  <c r="L90" i="2"/>
  <c r="L73" i="2"/>
  <c r="L71" i="2"/>
  <c r="L62" i="2"/>
  <c r="L57" i="2"/>
  <c r="L39" i="2"/>
  <c r="L36" i="2"/>
  <c r="L33" i="2"/>
  <c r="L123" i="2"/>
  <c r="L65" i="2"/>
  <c r="L185" i="2"/>
  <c r="L101" i="2"/>
  <c r="L94" i="2"/>
  <c r="L88" i="2"/>
  <c r="L86" i="2"/>
  <c r="L30" i="2"/>
  <c r="L27" i="2"/>
  <c r="L24" i="2"/>
  <c r="L21" i="2"/>
  <c r="L10" i="2"/>
  <c r="L158" i="2"/>
  <c r="L96" i="2"/>
  <c r="L129" i="2"/>
  <c r="L82" i="2"/>
  <c r="L80" i="2"/>
  <c r="L52" i="2"/>
  <c r="L49" i="2"/>
  <c r="L18" i="2"/>
  <c r="L181" i="2"/>
  <c r="R364" i="5"/>
  <c r="P364" i="5"/>
  <c r="R212" i="5"/>
  <c r="P212" i="5"/>
  <c r="R112" i="5"/>
  <c r="P112" i="5" s="1"/>
  <c r="P62" i="5"/>
  <c r="R62" i="5"/>
  <c r="L239" i="2"/>
  <c r="L474" i="2"/>
  <c r="L490" i="2"/>
  <c r="P356" i="5"/>
  <c r="R356" i="5"/>
  <c r="P377" i="5"/>
  <c r="R377" i="5"/>
  <c r="R317" i="5"/>
  <c r="P317" i="5"/>
  <c r="R312" i="5"/>
  <c r="P312" i="5"/>
  <c r="P291" i="5"/>
  <c r="R291" i="5"/>
  <c r="R397" i="5"/>
  <c r="P397" i="5"/>
  <c r="P354" i="5"/>
  <c r="R354" i="5"/>
  <c r="P323" i="5"/>
  <c r="R323" i="5"/>
  <c r="P230" i="5"/>
  <c r="R230" i="5"/>
  <c r="R283" i="5"/>
  <c r="P283" i="5"/>
  <c r="R340" i="5"/>
  <c r="P340" i="5"/>
  <c r="R237" i="5"/>
  <c r="P237" i="5"/>
  <c r="R224" i="5"/>
  <c r="P224" i="5" s="1"/>
  <c r="R315" i="5"/>
  <c r="P315" i="5"/>
  <c r="R225" i="5"/>
  <c r="P225" i="5"/>
  <c r="R320" i="5"/>
  <c r="P320" i="5"/>
  <c r="R254" i="5"/>
  <c r="P254" i="5"/>
  <c r="P247" i="5"/>
  <c r="R247" i="5"/>
  <c r="R206" i="5"/>
  <c r="R147" i="5"/>
  <c r="P147" i="5"/>
  <c r="R121" i="5"/>
  <c r="P121" i="5"/>
  <c r="R95" i="5"/>
  <c r="P95" i="5"/>
  <c r="R20" i="5"/>
  <c r="P20" i="5"/>
  <c r="L367" i="2"/>
  <c r="L393" i="2"/>
  <c r="L411" i="2"/>
  <c r="L368" i="2"/>
  <c r="L307" i="2"/>
  <c r="L445" i="2"/>
  <c r="L288" i="2"/>
  <c r="L501" i="2"/>
  <c r="L478" i="2"/>
  <c r="L396" i="2"/>
  <c r="L468" i="2"/>
  <c r="L493" i="2"/>
  <c r="L369" i="2"/>
  <c r="B6" i="7"/>
  <c r="R384" i="5"/>
  <c r="P384" i="5"/>
  <c r="R372" i="5"/>
  <c r="P372" i="5"/>
  <c r="P329" i="5"/>
  <c r="R329" i="5"/>
  <c r="R336" i="5"/>
  <c r="P336" i="5"/>
  <c r="R97" i="5"/>
  <c r="P97" i="5"/>
  <c r="P144" i="5"/>
  <c r="R144" i="5"/>
  <c r="R58" i="5"/>
  <c r="P58" i="5"/>
  <c r="R56" i="5"/>
  <c r="P56" i="5"/>
  <c r="R36" i="5"/>
  <c r="P36" i="5"/>
  <c r="G7" i="4"/>
  <c r="R30" i="5"/>
  <c r="P30" i="5"/>
  <c r="L297" i="2"/>
  <c r="L401" i="2"/>
  <c r="L422" i="2"/>
  <c r="L370" i="2"/>
  <c r="L322" i="2"/>
  <c r="L448" i="2"/>
  <c r="L295" i="2"/>
  <c r="L504" i="2"/>
  <c r="L494" i="2"/>
  <c r="L399" i="2"/>
  <c r="L487" i="2"/>
  <c r="L498" i="2"/>
  <c r="L283" i="2"/>
  <c r="N21" i="3"/>
  <c r="P334" i="5"/>
  <c r="R334" i="5"/>
  <c r="R77" i="5"/>
  <c r="P77" i="5"/>
  <c r="L509" i="2"/>
  <c r="L400" i="2"/>
  <c r="P11" i="5"/>
  <c r="H11" i="4" s="1"/>
  <c r="R11" i="5"/>
  <c r="D11" i="4"/>
  <c r="E11" i="4" s="1"/>
  <c r="R362" i="5"/>
  <c r="P362" i="5"/>
  <c r="R299" i="5"/>
  <c r="P299" i="5"/>
  <c r="R358" i="5"/>
  <c r="P358" i="5"/>
  <c r="P267" i="5"/>
  <c r="R267" i="5"/>
  <c r="R231" i="5"/>
  <c r="P231" i="5"/>
  <c r="P295" i="5"/>
  <c r="R295" i="5"/>
  <c r="R274" i="5"/>
  <c r="P274" i="5"/>
  <c r="R234" i="5"/>
  <c r="P234" i="5"/>
  <c r="R308" i="5"/>
  <c r="P308" i="5" s="1"/>
  <c r="R245" i="5"/>
  <c r="P245" i="5" s="1"/>
  <c r="R238" i="5"/>
  <c r="R108" i="5"/>
  <c r="P108" i="5"/>
  <c r="R131" i="5"/>
  <c r="P131" i="5"/>
  <c r="P12" i="5"/>
  <c r="R12" i="5"/>
  <c r="R94" i="5"/>
  <c r="P94" i="5"/>
  <c r="R83" i="5"/>
  <c r="P83" i="5"/>
  <c r="R119" i="5"/>
  <c r="P119" i="5"/>
  <c r="R23" i="5"/>
  <c r="P23" i="5"/>
  <c r="L258" i="2"/>
  <c r="L406" i="2"/>
  <c r="L447" i="2"/>
  <c r="L383" i="2"/>
  <c r="L346" i="2"/>
  <c r="L467" i="2"/>
  <c r="L302" i="2"/>
  <c r="L497" i="2"/>
  <c r="L418" i="2"/>
  <c r="D7" i="3"/>
  <c r="L372" i="2"/>
  <c r="N16" i="3"/>
  <c r="L503" i="2"/>
  <c r="R391" i="5"/>
  <c r="L278" i="2"/>
  <c r="P10" i="5"/>
  <c r="R10" i="5"/>
  <c r="D15" i="4"/>
  <c r="L481" i="2"/>
  <c r="R220" i="5"/>
  <c r="P220" i="5"/>
  <c r="L484" i="2"/>
  <c r="P383" i="5"/>
  <c r="R383" i="5"/>
  <c r="R370" i="5"/>
  <c r="P370" i="5"/>
  <c r="R263" i="5"/>
  <c r="P263" i="5"/>
  <c r="R344" i="5"/>
  <c r="P344" i="5"/>
  <c r="P346" i="5"/>
  <c r="R346" i="5"/>
  <c r="R378" i="5"/>
  <c r="P378" i="5"/>
  <c r="R316" i="5"/>
  <c r="P316" i="5" s="1"/>
  <c r="P173" i="5"/>
  <c r="R173" i="5"/>
  <c r="R140" i="5"/>
  <c r="P140" i="5"/>
  <c r="P146" i="5"/>
  <c r="R146" i="5"/>
  <c r="R76" i="5"/>
  <c r="P76" i="5"/>
  <c r="R60" i="5"/>
  <c r="P60" i="5"/>
  <c r="R59" i="5"/>
  <c r="C9" i="4"/>
  <c r="P84" i="5"/>
  <c r="R84" i="5"/>
  <c r="L228" i="2"/>
  <c r="L414" i="2"/>
  <c r="L485" i="2"/>
  <c r="L409" i="2"/>
  <c r="L349" i="2"/>
  <c r="L489" i="2"/>
  <c r="L309" i="2"/>
  <c r="L440" i="2"/>
  <c r="D10" i="3"/>
  <c r="L377" i="2"/>
  <c r="E10" i="3"/>
  <c r="L252" i="2"/>
  <c r="F10" i="4"/>
  <c r="G10" i="4" s="1"/>
  <c r="E13" i="4" l="1"/>
  <c r="M23" i="3"/>
  <c r="F8" i="3"/>
  <c r="E10" i="4"/>
  <c r="K387" i="2"/>
  <c r="A387" i="2"/>
  <c r="J387" i="2"/>
  <c r="C387" i="2"/>
  <c r="F387" i="2"/>
  <c r="H8" i="4"/>
  <c r="G387" i="2"/>
  <c r="H387" i="2"/>
  <c r="H15" i="4"/>
  <c r="G8" i="3"/>
  <c r="F10" i="3"/>
  <c r="K10" i="3"/>
  <c r="M10" i="3" s="1"/>
  <c r="C7" i="2"/>
  <c r="K9" i="3"/>
  <c r="M9" i="3" s="1"/>
  <c r="G10" i="3"/>
  <c r="M20" i="3"/>
  <c r="M19" i="3"/>
  <c r="H13" i="4"/>
  <c r="G9" i="3"/>
  <c r="B387" i="2"/>
  <c r="M22" i="3"/>
  <c r="M17" i="3"/>
  <c r="H9" i="4"/>
  <c r="I387" i="2"/>
  <c r="F7" i="3"/>
  <c r="N5" i="3"/>
  <c r="E8" i="4"/>
  <c r="K8" i="3"/>
  <c r="M8" i="3" s="1"/>
  <c r="K7" i="3"/>
  <c r="M7" i="3" s="1"/>
  <c r="M12" i="3"/>
  <c r="E387" i="2"/>
  <c r="G7" i="3"/>
  <c r="D7" i="2"/>
  <c r="M18" i="3"/>
  <c r="H10" i="4"/>
  <c r="C33" i="2"/>
  <c r="I33" i="2"/>
  <c r="F33" i="2"/>
  <c r="E33" i="2"/>
  <c r="A33" i="2"/>
  <c r="D33" i="2"/>
  <c r="B33" i="2"/>
  <c r="J33" i="2"/>
  <c r="G33" i="2"/>
  <c r="K33" i="2"/>
  <c r="H33" i="2"/>
  <c r="I164" i="2"/>
  <c r="H164" i="2"/>
  <c r="F164" i="2"/>
  <c r="E164" i="2"/>
  <c r="D164" i="2"/>
  <c r="K164" i="2"/>
  <c r="J164" i="2"/>
  <c r="G164" i="2"/>
  <c r="C164" i="2"/>
  <c r="B164" i="2"/>
  <c r="A164" i="2"/>
  <c r="E368" i="2"/>
  <c r="A368" i="2"/>
  <c r="I368" i="2"/>
  <c r="C368" i="2"/>
  <c r="B368" i="2"/>
  <c r="K368" i="2"/>
  <c r="J368" i="2"/>
  <c r="H368" i="2"/>
  <c r="F368" i="2"/>
  <c r="G368" i="2"/>
  <c r="D368" i="2"/>
  <c r="G105" i="2"/>
  <c r="C105" i="2"/>
  <c r="A105" i="2"/>
  <c r="J105" i="2"/>
  <c r="H105" i="2"/>
  <c r="F105" i="2"/>
  <c r="K105" i="2"/>
  <c r="I105" i="2"/>
  <c r="E105" i="2"/>
  <c r="D105" i="2"/>
  <c r="B105" i="2"/>
  <c r="H258" i="2"/>
  <c r="F258" i="2"/>
  <c r="J258" i="2"/>
  <c r="D258" i="2"/>
  <c r="I258" i="2"/>
  <c r="G258" i="2"/>
  <c r="E258" i="2"/>
  <c r="C258" i="2"/>
  <c r="B258" i="2"/>
  <c r="A258" i="2"/>
  <c r="K258" i="2"/>
  <c r="K44" i="2"/>
  <c r="G44" i="2"/>
  <c r="C44" i="2"/>
  <c r="B44" i="2"/>
  <c r="J44" i="2"/>
  <c r="I44" i="2"/>
  <c r="H44" i="2"/>
  <c r="F44" i="2"/>
  <c r="E44" i="2"/>
  <c r="D44" i="2"/>
  <c r="A44" i="2"/>
  <c r="F243" i="2"/>
  <c r="E243" i="2"/>
  <c r="A243" i="2"/>
  <c r="K243" i="2"/>
  <c r="J243" i="2"/>
  <c r="I243" i="2"/>
  <c r="H243" i="2"/>
  <c r="G243" i="2"/>
  <c r="D243" i="2"/>
  <c r="C243" i="2"/>
  <c r="B243" i="2"/>
  <c r="H314" i="2"/>
  <c r="J314" i="2"/>
  <c r="B314" i="2"/>
  <c r="D314" i="2"/>
  <c r="K314" i="2"/>
  <c r="A314" i="2"/>
  <c r="I314" i="2"/>
  <c r="E314" i="2"/>
  <c r="G314" i="2"/>
  <c r="F314" i="2"/>
  <c r="C314" i="2"/>
  <c r="C75" i="2"/>
  <c r="I75" i="2"/>
  <c r="E75" i="2"/>
  <c r="B75" i="2"/>
  <c r="J75" i="2"/>
  <c r="A75" i="2"/>
  <c r="D75" i="2"/>
  <c r="G75" i="2"/>
  <c r="K75" i="2"/>
  <c r="H75" i="2"/>
  <c r="F75" i="2"/>
  <c r="E139" i="2"/>
  <c r="A139" i="2"/>
  <c r="K139" i="2"/>
  <c r="J139" i="2"/>
  <c r="H139" i="2"/>
  <c r="G139" i="2"/>
  <c r="F139" i="2"/>
  <c r="D139" i="2"/>
  <c r="I139" i="2"/>
  <c r="C139" i="2"/>
  <c r="B139" i="2"/>
  <c r="C200" i="2"/>
  <c r="A200" i="2"/>
  <c r="G200" i="2"/>
  <c r="B200" i="2"/>
  <c r="K200" i="2"/>
  <c r="J200" i="2"/>
  <c r="H200" i="2"/>
  <c r="F200" i="2"/>
  <c r="E200" i="2"/>
  <c r="I200" i="2"/>
  <c r="D200" i="2"/>
  <c r="K381" i="2"/>
  <c r="I381" i="2"/>
  <c r="A381" i="2"/>
  <c r="J381" i="2"/>
  <c r="C381" i="2"/>
  <c r="B381" i="2"/>
  <c r="H381" i="2"/>
  <c r="E381" i="2"/>
  <c r="G381" i="2"/>
  <c r="F381" i="2"/>
  <c r="D381" i="2"/>
  <c r="C309" i="2"/>
  <c r="E309" i="2"/>
  <c r="G309" i="2"/>
  <c r="K309" i="2"/>
  <c r="I309" i="2"/>
  <c r="D309" i="2"/>
  <c r="B309" i="2"/>
  <c r="A309" i="2"/>
  <c r="H309" i="2"/>
  <c r="J309" i="2"/>
  <c r="F309" i="2"/>
  <c r="A467" i="2"/>
  <c r="G467" i="2"/>
  <c r="C467" i="2"/>
  <c r="F467" i="2"/>
  <c r="E467" i="2"/>
  <c r="B467" i="2"/>
  <c r="I467" i="2"/>
  <c r="K467" i="2"/>
  <c r="H467" i="2"/>
  <c r="D467" i="2"/>
  <c r="J467" i="2"/>
  <c r="C489" i="2"/>
  <c r="J489" i="2"/>
  <c r="F489" i="2"/>
  <c r="E489" i="2"/>
  <c r="B489" i="2"/>
  <c r="K489" i="2"/>
  <c r="D489" i="2"/>
  <c r="H489" i="2"/>
  <c r="G489" i="2"/>
  <c r="A489" i="2"/>
  <c r="I489" i="2"/>
  <c r="D346" i="2"/>
  <c r="E346" i="2"/>
  <c r="K346" i="2"/>
  <c r="B346" i="2"/>
  <c r="J346" i="2"/>
  <c r="C346" i="2"/>
  <c r="A346" i="2"/>
  <c r="I346" i="2"/>
  <c r="H346" i="2"/>
  <c r="G346" i="2"/>
  <c r="F346" i="2"/>
  <c r="H487" i="2"/>
  <c r="D487" i="2"/>
  <c r="K487" i="2"/>
  <c r="I487" i="2"/>
  <c r="E487" i="2"/>
  <c r="B487" i="2"/>
  <c r="A487" i="2"/>
  <c r="F487" i="2"/>
  <c r="G487" i="2"/>
  <c r="J487" i="2"/>
  <c r="C487" i="2"/>
  <c r="C288" i="2"/>
  <c r="K288" i="2"/>
  <c r="D288" i="2"/>
  <c r="J288" i="2"/>
  <c r="B288" i="2"/>
  <c r="F288" i="2"/>
  <c r="I288" i="2"/>
  <c r="H288" i="2"/>
  <c r="G288" i="2"/>
  <c r="E288" i="2"/>
  <c r="A288" i="2"/>
  <c r="A239" i="2"/>
  <c r="H239" i="2"/>
  <c r="K239" i="2"/>
  <c r="I239" i="2"/>
  <c r="F239" i="2"/>
  <c r="J239" i="2"/>
  <c r="G239" i="2"/>
  <c r="E239" i="2"/>
  <c r="D239" i="2"/>
  <c r="C239" i="2"/>
  <c r="B239" i="2"/>
  <c r="C82" i="2"/>
  <c r="I82" i="2"/>
  <c r="J82" i="2"/>
  <c r="G82" i="2"/>
  <c r="H82" i="2"/>
  <c r="F82" i="2"/>
  <c r="E82" i="2"/>
  <c r="D82" i="2"/>
  <c r="B82" i="2"/>
  <c r="K82" i="2"/>
  <c r="A82" i="2"/>
  <c r="K65" i="2"/>
  <c r="G65" i="2"/>
  <c r="C65" i="2"/>
  <c r="E65" i="2"/>
  <c r="J65" i="2"/>
  <c r="I65" i="2"/>
  <c r="F65" i="2"/>
  <c r="H65" i="2"/>
  <c r="D65" i="2"/>
  <c r="B65" i="2"/>
  <c r="A65" i="2"/>
  <c r="C117" i="2"/>
  <c r="I117" i="2"/>
  <c r="K117" i="2"/>
  <c r="H117" i="2"/>
  <c r="F117" i="2"/>
  <c r="E117" i="2"/>
  <c r="D117" i="2"/>
  <c r="B117" i="2"/>
  <c r="A117" i="2"/>
  <c r="G117" i="2"/>
  <c r="J117" i="2"/>
  <c r="I120" i="2"/>
  <c r="E120" i="2"/>
  <c r="A120" i="2"/>
  <c r="K120" i="2"/>
  <c r="H120" i="2"/>
  <c r="F120" i="2"/>
  <c r="D120" i="2"/>
  <c r="C120" i="2"/>
  <c r="B120" i="2"/>
  <c r="G120" i="2"/>
  <c r="J120" i="2"/>
  <c r="E55" i="2"/>
  <c r="A55" i="2"/>
  <c r="K55" i="2"/>
  <c r="J55" i="2"/>
  <c r="I55" i="2"/>
  <c r="H55" i="2"/>
  <c r="G55" i="2"/>
  <c r="F55" i="2"/>
  <c r="D55" i="2"/>
  <c r="C55" i="2"/>
  <c r="B55" i="2"/>
  <c r="G14" i="2"/>
  <c r="I14" i="2"/>
  <c r="H14" i="2"/>
  <c r="D14" i="2"/>
  <c r="C14" i="2"/>
  <c r="F14" i="2"/>
  <c r="E14" i="2"/>
  <c r="J14" i="2"/>
  <c r="B14" i="2"/>
  <c r="A14" i="2"/>
  <c r="K14" i="2"/>
  <c r="C61" i="2"/>
  <c r="I61" i="2"/>
  <c r="J61" i="2"/>
  <c r="A61" i="2"/>
  <c r="K61" i="2"/>
  <c r="H61" i="2"/>
  <c r="G61" i="2"/>
  <c r="F61" i="2"/>
  <c r="E61" i="2"/>
  <c r="D61" i="2"/>
  <c r="B61" i="2"/>
  <c r="K37" i="2"/>
  <c r="G37" i="2"/>
  <c r="C37" i="2"/>
  <c r="J37" i="2"/>
  <c r="I37" i="2"/>
  <c r="H37" i="2"/>
  <c r="F37" i="2"/>
  <c r="E37" i="2"/>
  <c r="D37" i="2"/>
  <c r="B37" i="2"/>
  <c r="A37" i="2"/>
  <c r="E194" i="2"/>
  <c r="C194" i="2"/>
  <c r="I194" i="2"/>
  <c r="G194" i="2"/>
  <c r="D194" i="2"/>
  <c r="B194" i="2"/>
  <c r="K194" i="2"/>
  <c r="J194" i="2"/>
  <c r="H194" i="2"/>
  <c r="A194" i="2"/>
  <c r="F194" i="2"/>
  <c r="K149" i="2"/>
  <c r="G149" i="2"/>
  <c r="F149" i="2"/>
  <c r="C149" i="2"/>
  <c r="B149" i="2"/>
  <c r="J149" i="2"/>
  <c r="I149" i="2"/>
  <c r="H149" i="2"/>
  <c r="D149" i="2"/>
  <c r="E149" i="2"/>
  <c r="A149" i="2"/>
  <c r="K197" i="2"/>
  <c r="I197" i="2"/>
  <c r="J197" i="2"/>
  <c r="E197" i="2"/>
  <c r="C197" i="2"/>
  <c r="A197" i="2"/>
  <c r="G197" i="2"/>
  <c r="F197" i="2"/>
  <c r="D197" i="2"/>
  <c r="H197" i="2"/>
  <c r="B197" i="2"/>
  <c r="C110" i="2"/>
  <c r="I110" i="2"/>
  <c r="K110" i="2"/>
  <c r="J110" i="2"/>
  <c r="F110" i="2"/>
  <c r="D110" i="2"/>
  <c r="A110" i="2"/>
  <c r="H110" i="2"/>
  <c r="G110" i="2"/>
  <c r="E110" i="2"/>
  <c r="B110" i="2"/>
  <c r="I408" i="2"/>
  <c r="F408" i="2"/>
  <c r="B408" i="2"/>
  <c r="K408" i="2"/>
  <c r="J408" i="2"/>
  <c r="G408" i="2"/>
  <c r="C408" i="2"/>
  <c r="D408" i="2"/>
  <c r="H408" i="2"/>
  <c r="A408" i="2"/>
  <c r="E408" i="2"/>
  <c r="D166" i="2"/>
  <c r="C166" i="2"/>
  <c r="B166" i="2"/>
  <c r="J166" i="2"/>
  <c r="I166" i="2"/>
  <c r="H166" i="2"/>
  <c r="K166" i="2"/>
  <c r="F166" i="2"/>
  <c r="E166" i="2"/>
  <c r="A166" i="2"/>
  <c r="G166" i="2"/>
  <c r="E331" i="2"/>
  <c r="B331" i="2"/>
  <c r="J331" i="2"/>
  <c r="I331" i="2"/>
  <c r="H331" i="2"/>
  <c r="F331" i="2"/>
  <c r="C331" i="2"/>
  <c r="A331" i="2"/>
  <c r="G331" i="2"/>
  <c r="K331" i="2"/>
  <c r="D331" i="2"/>
  <c r="F271" i="2"/>
  <c r="I271" i="2"/>
  <c r="A271" i="2"/>
  <c r="K271" i="2"/>
  <c r="B271" i="2"/>
  <c r="H271" i="2"/>
  <c r="G271" i="2"/>
  <c r="E271" i="2"/>
  <c r="C271" i="2"/>
  <c r="J271" i="2"/>
  <c r="D271" i="2"/>
  <c r="D235" i="2"/>
  <c r="C235" i="2"/>
  <c r="K235" i="2"/>
  <c r="G235" i="2"/>
  <c r="E235" i="2"/>
  <c r="B235" i="2"/>
  <c r="A235" i="2"/>
  <c r="J235" i="2"/>
  <c r="F235" i="2"/>
  <c r="H235" i="2"/>
  <c r="I235" i="2"/>
  <c r="K184" i="2"/>
  <c r="C184" i="2"/>
  <c r="I184" i="2"/>
  <c r="J184" i="2"/>
  <c r="G184" i="2"/>
  <c r="F184" i="2"/>
  <c r="E184" i="2"/>
  <c r="A184" i="2"/>
  <c r="D184" i="2"/>
  <c r="H184" i="2"/>
  <c r="B184" i="2"/>
  <c r="I333" i="2"/>
  <c r="D333" i="2"/>
  <c r="K333" i="2"/>
  <c r="B333" i="2"/>
  <c r="E333" i="2"/>
  <c r="G333" i="2"/>
  <c r="C333" i="2"/>
  <c r="F333" i="2"/>
  <c r="A333" i="2"/>
  <c r="J333" i="2"/>
  <c r="H333" i="2"/>
  <c r="E385" i="2"/>
  <c r="K385" i="2"/>
  <c r="G385" i="2"/>
  <c r="D385" i="2"/>
  <c r="C385" i="2"/>
  <c r="J385" i="2"/>
  <c r="F385" i="2"/>
  <c r="I385" i="2"/>
  <c r="B385" i="2"/>
  <c r="H385" i="2"/>
  <c r="A385" i="2"/>
  <c r="I291" i="2"/>
  <c r="D291" i="2"/>
  <c r="H291" i="2"/>
  <c r="B291" i="2"/>
  <c r="K291" i="2"/>
  <c r="J291" i="2"/>
  <c r="F291" i="2"/>
  <c r="E291" i="2"/>
  <c r="C291" i="2"/>
  <c r="A291" i="2"/>
  <c r="G291" i="2"/>
  <c r="K359" i="2"/>
  <c r="H359" i="2"/>
  <c r="F359" i="2"/>
  <c r="A359" i="2"/>
  <c r="J359" i="2"/>
  <c r="E359" i="2"/>
  <c r="C359" i="2"/>
  <c r="D359" i="2"/>
  <c r="I359" i="2"/>
  <c r="G359" i="2"/>
  <c r="B359" i="2"/>
  <c r="G407" i="2"/>
  <c r="C407" i="2"/>
  <c r="E407" i="2"/>
  <c r="D407" i="2"/>
  <c r="A407" i="2"/>
  <c r="K407" i="2"/>
  <c r="J407" i="2"/>
  <c r="I407" i="2"/>
  <c r="H407" i="2"/>
  <c r="F407" i="2"/>
  <c r="B407" i="2"/>
  <c r="C433" i="2"/>
  <c r="H433" i="2"/>
  <c r="D433" i="2"/>
  <c r="J433" i="2"/>
  <c r="I433" i="2"/>
  <c r="F433" i="2"/>
  <c r="A433" i="2"/>
  <c r="E433" i="2"/>
  <c r="K433" i="2"/>
  <c r="G433" i="2"/>
  <c r="B433" i="2"/>
  <c r="K451" i="2"/>
  <c r="C451" i="2"/>
  <c r="E451" i="2"/>
  <c r="D451" i="2"/>
  <c r="A451" i="2"/>
  <c r="J451" i="2"/>
  <c r="H451" i="2"/>
  <c r="B451" i="2"/>
  <c r="I451" i="2"/>
  <c r="G451" i="2"/>
  <c r="F451" i="2"/>
  <c r="G435" i="2"/>
  <c r="J435" i="2"/>
  <c r="C435" i="2"/>
  <c r="B435" i="2"/>
  <c r="I435" i="2"/>
  <c r="H435" i="2"/>
  <c r="D435" i="2"/>
  <c r="F435" i="2"/>
  <c r="A435" i="2"/>
  <c r="K435" i="2"/>
  <c r="E435" i="2"/>
  <c r="F9" i="3"/>
  <c r="G290" i="2"/>
  <c r="B290" i="2"/>
  <c r="D290" i="2"/>
  <c r="F290" i="2"/>
  <c r="K290" i="2"/>
  <c r="A290" i="2"/>
  <c r="E290" i="2"/>
  <c r="J290" i="2"/>
  <c r="I290" i="2"/>
  <c r="H290" i="2"/>
  <c r="C290" i="2"/>
  <c r="E469" i="2"/>
  <c r="I469" i="2"/>
  <c r="J469" i="2"/>
  <c r="F469" i="2"/>
  <c r="K469" i="2"/>
  <c r="H469" i="2"/>
  <c r="D469" i="2"/>
  <c r="A469" i="2"/>
  <c r="G469" i="2"/>
  <c r="C469" i="2"/>
  <c r="B469" i="2"/>
  <c r="D466" i="2"/>
  <c r="A466" i="2"/>
  <c r="J466" i="2"/>
  <c r="G466" i="2"/>
  <c r="F466" i="2"/>
  <c r="E466" i="2"/>
  <c r="H466" i="2"/>
  <c r="B466" i="2"/>
  <c r="K466" i="2"/>
  <c r="I466" i="2"/>
  <c r="C466" i="2"/>
  <c r="H307" i="2"/>
  <c r="D307" i="2"/>
  <c r="K307" i="2"/>
  <c r="J307" i="2"/>
  <c r="I307" i="2"/>
  <c r="G307" i="2"/>
  <c r="F307" i="2"/>
  <c r="E307" i="2"/>
  <c r="B307" i="2"/>
  <c r="C307" i="2"/>
  <c r="A307" i="2"/>
  <c r="G98" i="2"/>
  <c r="C98" i="2"/>
  <c r="K98" i="2"/>
  <c r="E98" i="2"/>
  <c r="B98" i="2"/>
  <c r="A98" i="2"/>
  <c r="J98" i="2"/>
  <c r="I98" i="2"/>
  <c r="H98" i="2"/>
  <c r="F98" i="2"/>
  <c r="D98" i="2"/>
  <c r="I485" i="2"/>
  <c r="B485" i="2"/>
  <c r="A485" i="2"/>
  <c r="K485" i="2"/>
  <c r="H485" i="2"/>
  <c r="G485" i="2"/>
  <c r="J485" i="2"/>
  <c r="F485" i="2"/>
  <c r="C485" i="2"/>
  <c r="E485" i="2"/>
  <c r="D485" i="2"/>
  <c r="I92" i="2"/>
  <c r="E92" i="2"/>
  <c r="A92" i="2"/>
  <c r="C92" i="2"/>
  <c r="B92" i="2"/>
  <c r="D92" i="2"/>
  <c r="F92" i="2"/>
  <c r="H92" i="2"/>
  <c r="K92" i="2"/>
  <c r="J92" i="2"/>
  <c r="G92" i="2"/>
  <c r="I45" i="2"/>
  <c r="E45" i="2"/>
  <c r="D45" i="2"/>
  <c r="C45" i="2"/>
  <c r="B45" i="2"/>
  <c r="A45" i="2"/>
  <c r="H45" i="2"/>
  <c r="F45" i="2"/>
  <c r="K45" i="2"/>
  <c r="J45" i="2"/>
  <c r="G45" i="2"/>
  <c r="G133" i="2"/>
  <c r="C133" i="2"/>
  <c r="K133" i="2"/>
  <c r="J133" i="2"/>
  <c r="I133" i="2"/>
  <c r="H133" i="2"/>
  <c r="E133" i="2"/>
  <c r="B133" i="2"/>
  <c r="A133" i="2"/>
  <c r="D133" i="2"/>
  <c r="F133" i="2"/>
  <c r="G456" i="2"/>
  <c r="C456" i="2"/>
  <c r="K456" i="2"/>
  <c r="H456" i="2"/>
  <c r="D456" i="2"/>
  <c r="B456" i="2"/>
  <c r="J456" i="2"/>
  <c r="E456" i="2"/>
  <c r="I456" i="2"/>
  <c r="F456" i="2"/>
  <c r="A456" i="2"/>
  <c r="E349" i="2"/>
  <c r="H349" i="2"/>
  <c r="C349" i="2"/>
  <c r="G349" i="2"/>
  <c r="F349" i="2"/>
  <c r="B349" i="2"/>
  <c r="J349" i="2"/>
  <c r="I349" i="2"/>
  <c r="D349" i="2"/>
  <c r="K349" i="2"/>
  <c r="A349" i="2"/>
  <c r="K278" i="2"/>
  <c r="F278" i="2"/>
  <c r="A278" i="2"/>
  <c r="I278" i="2"/>
  <c r="C278" i="2"/>
  <c r="E278" i="2"/>
  <c r="B278" i="2"/>
  <c r="J278" i="2"/>
  <c r="G278" i="2"/>
  <c r="H278" i="2"/>
  <c r="D278" i="2"/>
  <c r="A383" i="2"/>
  <c r="E383" i="2"/>
  <c r="K383" i="2"/>
  <c r="J383" i="2"/>
  <c r="D383" i="2"/>
  <c r="C383" i="2"/>
  <c r="B383" i="2"/>
  <c r="I383" i="2"/>
  <c r="H383" i="2"/>
  <c r="G383" i="2"/>
  <c r="F383" i="2"/>
  <c r="E399" i="2"/>
  <c r="I399" i="2"/>
  <c r="D399" i="2"/>
  <c r="J399" i="2"/>
  <c r="F399" i="2"/>
  <c r="H399" i="2"/>
  <c r="G399" i="2"/>
  <c r="A399" i="2"/>
  <c r="K399" i="2"/>
  <c r="C399" i="2"/>
  <c r="B399" i="2"/>
  <c r="J445" i="2"/>
  <c r="F445" i="2"/>
  <c r="E445" i="2"/>
  <c r="C445" i="2"/>
  <c r="K445" i="2"/>
  <c r="I445" i="2"/>
  <c r="D445" i="2"/>
  <c r="H445" i="2"/>
  <c r="G445" i="2"/>
  <c r="B445" i="2"/>
  <c r="A445" i="2"/>
  <c r="I129" i="2"/>
  <c r="E129" i="2"/>
  <c r="D129" i="2"/>
  <c r="A129" i="2"/>
  <c r="K129" i="2"/>
  <c r="H129" i="2"/>
  <c r="G129" i="2"/>
  <c r="F129" i="2"/>
  <c r="C129" i="2"/>
  <c r="B129" i="2"/>
  <c r="J129" i="2"/>
  <c r="A123" i="2"/>
  <c r="K123" i="2"/>
  <c r="G123" i="2"/>
  <c r="J123" i="2"/>
  <c r="H123" i="2"/>
  <c r="E123" i="2"/>
  <c r="D123" i="2"/>
  <c r="C123" i="2"/>
  <c r="B123" i="2"/>
  <c r="F123" i="2"/>
  <c r="I123" i="2"/>
  <c r="E13" i="2"/>
  <c r="K13" i="2"/>
  <c r="D13" i="2"/>
  <c r="C13" i="2"/>
  <c r="B13" i="2"/>
  <c r="A13" i="2"/>
  <c r="H13" i="2"/>
  <c r="F13" i="2"/>
  <c r="J13" i="2"/>
  <c r="I13" i="2"/>
  <c r="G13" i="2"/>
  <c r="E20" i="2"/>
  <c r="K20" i="2"/>
  <c r="B20" i="2"/>
  <c r="A20" i="2"/>
  <c r="F20" i="2"/>
  <c r="C20" i="2"/>
  <c r="J20" i="2"/>
  <c r="I20" i="2"/>
  <c r="H20" i="2"/>
  <c r="G20" i="2"/>
  <c r="D20" i="2"/>
  <c r="C26" i="2"/>
  <c r="I26" i="2"/>
  <c r="A26" i="2"/>
  <c r="E26" i="2"/>
  <c r="B26" i="2"/>
  <c r="K26" i="2"/>
  <c r="J26" i="2"/>
  <c r="H26" i="2"/>
  <c r="G26" i="2"/>
  <c r="F26" i="2"/>
  <c r="D26" i="2"/>
  <c r="K16" i="2"/>
  <c r="C16" i="2"/>
  <c r="A16" i="2"/>
  <c r="E16" i="2"/>
  <c r="B16" i="2"/>
  <c r="J16" i="2"/>
  <c r="I16" i="2"/>
  <c r="H16" i="2"/>
  <c r="G16" i="2"/>
  <c r="F16" i="2"/>
  <c r="D16" i="2"/>
  <c r="C68" i="2"/>
  <c r="I68" i="2"/>
  <c r="E68" i="2"/>
  <c r="A68" i="2"/>
  <c r="K68" i="2"/>
  <c r="J68" i="2"/>
  <c r="H68" i="2"/>
  <c r="G68" i="2"/>
  <c r="F68" i="2"/>
  <c r="D68" i="2"/>
  <c r="B68" i="2"/>
  <c r="I78" i="2"/>
  <c r="E78" i="2"/>
  <c r="A78" i="2"/>
  <c r="D78" i="2"/>
  <c r="B78" i="2"/>
  <c r="J78" i="2"/>
  <c r="K78" i="2"/>
  <c r="H78" i="2"/>
  <c r="G78" i="2"/>
  <c r="F78" i="2"/>
  <c r="C78" i="2"/>
  <c r="G112" i="2"/>
  <c r="C112" i="2"/>
  <c r="F112" i="2"/>
  <c r="E112" i="2"/>
  <c r="D112" i="2"/>
  <c r="K112" i="2"/>
  <c r="A112" i="2"/>
  <c r="J112" i="2"/>
  <c r="I112" i="2"/>
  <c r="H112" i="2"/>
  <c r="B112" i="2"/>
  <c r="G195" i="2"/>
  <c r="E195" i="2"/>
  <c r="A195" i="2"/>
  <c r="K195" i="2"/>
  <c r="I195" i="2"/>
  <c r="H195" i="2"/>
  <c r="D195" i="2"/>
  <c r="C195" i="2"/>
  <c r="B195" i="2"/>
  <c r="J195" i="2"/>
  <c r="F195" i="2"/>
  <c r="A213" i="2"/>
  <c r="J213" i="2"/>
  <c r="I213" i="2"/>
  <c r="H213" i="2"/>
  <c r="G213" i="2"/>
  <c r="F213" i="2"/>
  <c r="E213" i="2"/>
  <c r="D213" i="2"/>
  <c r="K213" i="2"/>
  <c r="C213" i="2"/>
  <c r="B213" i="2"/>
  <c r="I113" i="2"/>
  <c r="E113" i="2"/>
  <c r="A113" i="2"/>
  <c r="K113" i="2"/>
  <c r="J113" i="2"/>
  <c r="F113" i="2"/>
  <c r="C113" i="2"/>
  <c r="H113" i="2"/>
  <c r="G113" i="2"/>
  <c r="D113" i="2"/>
  <c r="B113" i="2"/>
  <c r="E153" i="2"/>
  <c r="A153" i="2"/>
  <c r="K153" i="2"/>
  <c r="J153" i="2"/>
  <c r="I153" i="2"/>
  <c r="G153" i="2"/>
  <c r="F153" i="2"/>
  <c r="D153" i="2"/>
  <c r="C153" i="2"/>
  <c r="H153" i="2"/>
  <c r="B153" i="2"/>
  <c r="F177" i="2"/>
  <c r="B177" i="2"/>
  <c r="C177" i="2"/>
  <c r="A177" i="2"/>
  <c r="J177" i="2"/>
  <c r="I177" i="2"/>
  <c r="H177" i="2"/>
  <c r="K177" i="2"/>
  <c r="G177" i="2"/>
  <c r="E177" i="2"/>
  <c r="D177" i="2"/>
  <c r="E371" i="2"/>
  <c r="I371" i="2"/>
  <c r="G371" i="2"/>
  <c r="J371" i="2"/>
  <c r="C371" i="2"/>
  <c r="K371" i="2"/>
  <c r="H371" i="2"/>
  <c r="F371" i="2"/>
  <c r="B371" i="2"/>
  <c r="D371" i="2"/>
  <c r="A371" i="2"/>
  <c r="J273" i="2"/>
  <c r="G273" i="2"/>
  <c r="D273" i="2"/>
  <c r="I273" i="2"/>
  <c r="H273" i="2"/>
  <c r="F273" i="2"/>
  <c r="C273" i="2"/>
  <c r="B273" i="2"/>
  <c r="A273" i="2"/>
  <c r="K273" i="2"/>
  <c r="E273" i="2"/>
  <c r="H261" i="2"/>
  <c r="A261" i="2"/>
  <c r="K261" i="2"/>
  <c r="I261" i="2"/>
  <c r="J261" i="2"/>
  <c r="C261" i="2"/>
  <c r="B261" i="2"/>
  <c r="G261" i="2"/>
  <c r="D261" i="2"/>
  <c r="F261" i="2"/>
  <c r="E261" i="2"/>
  <c r="D221" i="2"/>
  <c r="F221" i="2"/>
  <c r="C221" i="2"/>
  <c r="B221" i="2"/>
  <c r="A221" i="2"/>
  <c r="K221" i="2"/>
  <c r="J221" i="2"/>
  <c r="I221" i="2"/>
  <c r="H221" i="2"/>
  <c r="G221" i="2"/>
  <c r="E221" i="2"/>
  <c r="A347" i="2"/>
  <c r="G347" i="2"/>
  <c r="B347" i="2"/>
  <c r="J347" i="2"/>
  <c r="K347" i="2"/>
  <c r="F347" i="2"/>
  <c r="D347" i="2"/>
  <c r="E347" i="2"/>
  <c r="C347" i="2"/>
  <c r="I347" i="2"/>
  <c r="H347" i="2"/>
  <c r="H178" i="2"/>
  <c r="D178" i="2"/>
  <c r="G178" i="2"/>
  <c r="F178" i="2"/>
  <c r="E178" i="2"/>
  <c r="A178" i="2"/>
  <c r="K178" i="2"/>
  <c r="J178" i="2"/>
  <c r="I178" i="2"/>
  <c r="C178" i="2"/>
  <c r="B178" i="2"/>
  <c r="D417" i="2"/>
  <c r="H417" i="2"/>
  <c r="G417" i="2"/>
  <c r="E417" i="2"/>
  <c r="A417" i="2"/>
  <c r="F417" i="2"/>
  <c r="J417" i="2"/>
  <c r="B417" i="2"/>
  <c r="K417" i="2"/>
  <c r="I417" i="2"/>
  <c r="C417" i="2"/>
  <c r="E378" i="2"/>
  <c r="D378" i="2"/>
  <c r="A378" i="2"/>
  <c r="K378" i="2"/>
  <c r="F378" i="2"/>
  <c r="J378" i="2"/>
  <c r="B378" i="2"/>
  <c r="G378" i="2"/>
  <c r="H378" i="2"/>
  <c r="C378" i="2"/>
  <c r="I378" i="2"/>
  <c r="A432" i="2"/>
  <c r="E432" i="2"/>
  <c r="D432" i="2"/>
  <c r="C432" i="2"/>
  <c r="J432" i="2"/>
  <c r="F432" i="2"/>
  <c r="B432" i="2"/>
  <c r="G432" i="2"/>
  <c r="I432" i="2"/>
  <c r="K432" i="2"/>
  <c r="H432" i="2"/>
  <c r="A446" i="2"/>
  <c r="C446" i="2"/>
  <c r="K446" i="2"/>
  <c r="J446" i="2"/>
  <c r="H446" i="2"/>
  <c r="E446" i="2"/>
  <c r="I446" i="2"/>
  <c r="D446" i="2"/>
  <c r="G446" i="2"/>
  <c r="F446" i="2"/>
  <c r="B446" i="2"/>
  <c r="I471" i="2"/>
  <c r="D471" i="2"/>
  <c r="K471" i="2"/>
  <c r="J471" i="2"/>
  <c r="G471" i="2"/>
  <c r="C471" i="2"/>
  <c r="A471" i="2"/>
  <c r="F471" i="2"/>
  <c r="H471" i="2"/>
  <c r="E471" i="2"/>
  <c r="B471" i="2"/>
  <c r="C454" i="2"/>
  <c r="H454" i="2"/>
  <c r="D454" i="2"/>
  <c r="B454" i="2"/>
  <c r="J454" i="2"/>
  <c r="K454" i="2"/>
  <c r="A454" i="2"/>
  <c r="F454" i="2"/>
  <c r="I454" i="2"/>
  <c r="G454" i="2"/>
  <c r="E454" i="2"/>
  <c r="K506" i="2"/>
  <c r="I506" i="2"/>
  <c r="F506" i="2"/>
  <c r="B506" i="2"/>
  <c r="J506" i="2"/>
  <c r="E506" i="2"/>
  <c r="C506" i="2"/>
  <c r="A506" i="2"/>
  <c r="H506" i="2"/>
  <c r="G506" i="2"/>
  <c r="D506" i="2"/>
  <c r="H438" i="2"/>
  <c r="D438" i="2"/>
  <c r="B438" i="2"/>
  <c r="A438" i="2"/>
  <c r="I438" i="2"/>
  <c r="K438" i="2"/>
  <c r="C438" i="2"/>
  <c r="J438" i="2"/>
  <c r="G438" i="2"/>
  <c r="E438" i="2"/>
  <c r="F438" i="2"/>
  <c r="B255" i="2"/>
  <c r="E255" i="2"/>
  <c r="J255" i="2"/>
  <c r="G255" i="2"/>
  <c r="F255" i="2"/>
  <c r="A255" i="2"/>
  <c r="I255" i="2"/>
  <c r="H255" i="2"/>
  <c r="D255" i="2"/>
  <c r="C255" i="2"/>
  <c r="K255" i="2"/>
  <c r="A280" i="2"/>
  <c r="J280" i="2"/>
  <c r="I280" i="2"/>
  <c r="B280" i="2"/>
  <c r="K280" i="2"/>
  <c r="G280" i="2"/>
  <c r="C280" i="2"/>
  <c r="E280" i="2"/>
  <c r="F280" i="2"/>
  <c r="D280" i="2"/>
  <c r="H280" i="2"/>
  <c r="H223" i="2"/>
  <c r="J223" i="2"/>
  <c r="I223" i="2"/>
  <c r="G223" i="2"/>
  <c r="F223" i="2"/>
  <c r="E223" i="2"/>
  <c r="D223" i="2"/>
  <c r="C223" i="2"/>
  <c r="B223" i="2"/>
  <c r="K223" i="2"/>
  <c r="A223" i="2"/>
  <c r="K409" i="2"/>
  <c r="I409" i="2"/>
  <c r="E409" i="2"/>
  <c r="H409" i="2"/>
  <c r="A409" i="2"/>
  <c r="J409" i="2"/>
  <c r="F409" i="2"/>
  <c r="D409" i="2"/>
  <c r="B409" i="2"/>
  <c r="G409" i="2"/>
  <c r="C409" i="2"/>
  <c r="I115" i="2"/>
  <c r="E115" i="2"/>
  <c r="F115" i="2"/>
  <c r="D115" i="2"/>
  <c r="C115" i="2"/>
  <c r="K115" i="2"/>
  <c r="A115" i="2"/>
  <c r="J115" i="2"/>
  <c r="H115" i="2"/>
  <c r="G115" i="2"/>
  <c r="B115" i="2"/>
  <c r="B227" i="2"/>
  <c r="I227" i="2"/>
  <c r="G227" i="2"/>
  <c r="C227" i="2"/>
  <c r="A227" i="2"/>
  <c r="K227" i="2"/>
  <c r="J227" i="2"/>
  <c r="H227" i="2"/>
  <c r="F227" i="2"/>
  <c r="E227" i="2"/>
  <c r="D227" i="2"/>
  <c r="J353" i="2"/>
  <c r="E353" i="2"/>
  <c r="H353" i="2"/>
  <c r="K353" i="2"/>
  <c r="A353" i="2"/>
  <c r="F353" i="2"/>
  <c r="C353" i="2"/>
  <c r="I353" i="2"/>
  <c r="D353" i="2"/>
  <c r="B353" i="2"/>
  <c r="G353" i="2"/>
  <c r="K205" i="2"/>
  <c r="G205" i="2"/>
  <c r="E205" i="2"/>
  <c r="C205" i="2"/>
  <c r="B205" i="2"/>
  <c r="J205" i="2"/>
  <c r="I205" i="2"/>
  <c r="F205" i="2"/>
  <c r="D205" i="2"/>
  <c r="A205" i="2"/>
  <c r="H205" i="2"/>
  <c r="A439" i="2"/>
  <c r="K439" i="2"/>
  <c r="G439" i="2"/>
  <c r="H439" i="2"/>
  <c r="F439" i="2"/>
  <c r="D439" i="2"/>
  <c r="B439" i="2"/>
  <c r="I439" i="2"/>
  <c r="E439" i="2"/>
  <c r="J439" i="2"/>
  <c r="C439" i="2"/>
  <c r="I436" i="2"/>
  <c r="B436" i="2"/>
  <c r="H436" i="2"/>
  <c r="G436" i="2"/>
  <c r="E436" i="2"/>
  <c r="A436" i="2"/>
  <c r="K436" i="2"/>
  <c r="J436" i="2"/>
  <c r="F436" i="2"/>
  <c r="D436" i="2"/>
  <c r="C436" i="2"/>
  <c r="G350" i="2"/>
  <c r="A350" i="2"/>
  <c r="K350" i="2"/>
  <c r="I350" i="2"/>
  <c r="E350" i="2"/>
  <c r="J350" i="2"/>
  <c r="H350" i="2"/>
  <c r="F350" i="2"/>
  <c r="B350" i="2"/>
  <c r="D350" i="2"/>
  <c r="C350" i="2"/>
  <c r="G442" i="2"/>
  <c r="E442" i="2"/>
  <c r="A442" i="2"/>
  <c r="H442" i="2"/>
  <c r="F442" i="2"/>
  <c r="C442" i="2"/>
  <c r="I442" i="2"/>
  <c r="D442" i="2"/>
  <c r="K442" i="2"/>
  <c r="B442" i="2"/>
  <c r="J442" i="2"/>
  <c r="F226" i="2"/>
  <c r="D226" i="2"/>
  <c r="I226" i="2"/>
  <c r="H226" i="2"/>
  <c r="G226" i="2"/>
  <c r="E226" i="2"/>
  <c r="C226" i="2"/>
  <c r="B226" i="2"/>
  <c r="A226" i="2"/>
  <c r="K226" i="2"/>
  <c r="J226" i="2"/>
  <c r="B480" i="2"/>
  <c r="H480" i="2"/>
  <c r="G480" i="2"/>
  <c r="E480" i="2"/>
  <c r="A480" i="2"/>
  <c r="K480" i="2"/>
  <c r="J480" i="2"/>
  <c r="I480" i="2"/>
  <c r="D480" i="2"/>
  <c r="F480" i="2"/>
  <c r="C480" i="2"/>
  <c r="E260" i="2"/>
  <c r="F260" i="2"/>
  <c r="C260" i="2"/>
  <c r="A260" i="2"/>
  <c r="D260" i="2"/>
  <c r="I260" i="2"/>
  <c r="H260" i="2"/>
  <c r="G260" i="2"/>
  <c r="B260" i="2"/>
  <c r="K260" i="2"/>
  <c r="J260" i="2"/>
  <c r="I450" i="2"/>
  <c r="K450" i="2"/>
  <c r="H450" i="2"/>
  <c r="E450" i="2"/>
  <c r="F450" i="2"/>
  <c r="D450" i="2"/>
  <c r="J450" i="2"/>
  <c r="G450" i="2"/>
  <c r="C450" i="2"/>
  <c r="B450" i="2"/>
  <c r="A450" i="2"/>
  <c r="D249" i="2"/>
  <c r="A249" i="2"/>
  <c r="I249" i="2"/>
  <c r="J249" i="2"/>
  <c r="K249" i="2"/>
  <c r="F249" i="2"/>
  <c r="E249" i="2"/>
  <c r="C249" i="2"/>
  <c r="B249" i="2"/>
  <c r="H249" i="2"/>
  <c r="G249" i="2"/>
  <c r="E17" i="2"/>
  <c r="F17" i="2"/>
  <c r="D17" i="2"/>
  <c r="A17" i="2"/>
  <c r="C17" i="2"/>
  <c r="B17" i="2"/>
  <c r="I17" i="2"/>
  <c r="G17" i="2"/>
  <c r="K17" i="2"/>
  <c r="J17" i="2"/>
  <c r="H17" i="2"/>
  <c r="C186" i="2"/>
  <c r="A186" i="2"/>
  <c r="K186" i="2"/>
  <c r="G186" i="2"/>
  <c r="E186" i="2"/>
  <c r="B186" i="2"/>
  <c r="J186" i="2"/>
  <c r="H186" i="2"/>
  <c r="F186" i="2"/>
  <c r="D186" i="2"/>
  <c r="I186" i="2"/>
  <c r="A53" i="2"/>
  <c r="K53" i="2"/>
  <c r="G53" i="2"/>
  <c r="B53" i="2"/>
  <c r="J53" i="2"/>
  <c r="I53" i="2"/>
  <c r="H53" i="2"/>
  <c r="F53" i="2"/>
  <c r="E53" i="2"/>
  <c r="D53" i="2"/>
  <c r="C53" i="2"/>
  <c r="D176" i="2"/>
  <c r="I176" i="2"/>
  <c r="H176" i="2"/>
  <c r="F176" i="2"/>
  <c r="E176" i="2"/>
  <c r="C176" i="2"/>
  <c r="B176" i="2"/>
  <c r="A176" i="2"/>
  <c r="J176" i="2"/>
  <c r="K176" i="2"/>
  <c r="G176" i="2"/>
  <c r="E356" i="2"/>
  <c r="D356" i="2"/>
  <c r="H356" i="2"/>
  <c r="F356" i="2"/>
  <c r="I356" i="2"/>
  <c r="G356" i="2"/>
  <c r="C356" i="2"/>
  <c r="A356" i="2"/>
  <c r="K356" i="2"/>
  <c r="B356" i="2"/>
  <c r="J356" i="2"/>
  <c r="K285" i="2"/>
  <c r="F285" i="2"/>
  <c r="G285" i="2"/>
  <c r="I285" i="2"/>
  <c r="J285" i="2"/>
  <c r="B285" i="2"/>
  <c r="A285" i="2"/>
  <c r="H285" i="2"/>
  <c r="D285" i="2"/>
  <c r="E285" i="2"/>
  <c r="C285" i="2"/>
  <c r="B276" i="2"/>
  <c r="I276" i="2"/>
  <c r="A276" i="2"/>
  <c r="D276" i="2"/>
  <c r="E276" i="2"/>
  <c r="G276" i="2"/>
  <c r="K276" i="2"/>
  <c r="J276" i="2"/>
  <c r="H276" i="2"/>
  <c r="C276" i="2"/>
  <c r="F276" i="2"/>
  <c r="A366" i="2"/>
  <c r="K366" i="2"/>
  <c r="G366" i="2"/>
  <c r="F366" i="2"/>
  <c r="E366" i="2"/>
  <c r="B366" i="2"/>
  <c r="D366" i="2"/>
  <c r="C366" i="2"/>
  <c r="I366" i="2"/>
  <c r="J366" i="2"/>
  <c r="H366" i="2"/>
  <c r="J247" i="2"/>
  <c r="C247" i="2"/>
  <c r="D247" i="2"/>
  <c r="A247" i="2"/>
  <c r="H247" i="2"/>
  <c r="G247" i="2"/>
  <c r="F247" i="2"/>
  <c r="E247" i="2"/>
  <c r="B247" i="2"/>
  <c r="K247" i="2"/>
  <c r="I247" i="2"/>
  <c r="F452" i="2"/>
  <c r="B452" i="2"/>
  <c r="J452" i="2"/>
  <c r="I452" i="2"/>
  <c r="G452" i="2"/>
  <c r="C452" i="2"/>
  <c r="K452" i="2"/>
  <c r="H452" i="2"/>
  <c r="E452" i="2"/>
  <c r="D452" i="2"/>
  <c r="A452" i="2"/>
  <c r="I312" i="2"/>
  <c r="D312" i="2"/>
  <c r="A312" i="2"/>
  <c r="J312" i="2"/>
  <c r="H312" i="2"/>
  <c r="B312" i="2"/>
  <c r="K312" i="2"/>
  <c r="E312" i="2"/>
  <c r="F312" i="2"/>
  <c r="C312" i="2"/>
  <c r="G312" i="2"/>
  <c r="G357" i="2"/>
  <c r="H357" i="2"/>
  <c r="B357" i="2"/>
  <c r="D357" i="2"/>
  <c r="C357" i="2"/>
  <c r="F357" i="2"/>
  <c r="A357" i="2"/>
  <c r="K357" i="2"/>
  <c r="J357" i="2"/>
  <c r="I357" i="2"/>
  <c r="E357" i="2"/>
  <c r="A488" i="2"/>
  <c r="K488" i="2"/>
  <c r="G488" i="2"/>
  <c r="J488" i="2"/>
  <c r="H488" i="2"/>
  <c r="F488" i="2"/>
  <c r="I488" i="2"/>
  <c r="E488" i="2"/>
  <c r="D488" i="2"/>
  <c r="B488" i="2"/>
  <c r="C488" i="2"/>
  <c r="B254" i="2"/>
  <c r="I254" i="2"/>
  <c r="G254" i="2"/>
  <c r="E254" i="2"/>
  <c r="K254" i="2"/>
  <c r="J254" i="2"/>
  <c r="H254" i="2"/>
  <c r="F254" i="2"/>
  <c r="D254" i="2"/>
  <c r="C254" i="2"/>
  <c r="A254" i="2"/>
  <c r="H459" i="2"/>
  <c r="J459" i="2"/>
  <c r="F459" i="2"/>
  <c r="C459" i="2"/>
  <c r="G459" i="2"/>
  <c r="E459" i="2"/>
  <c r="K459" i="2"/>
  <c r="I459" i="2"/>
  <c r="B459" i="2"/>
  <c r="D459" i="2"/>
  <c r="A459" i="2"/>
  <c r="K402" i="2"/>
  <c r="C402" i="2"/>
  <c r="J402" i="2"/>
  <c r="H402" i="2"/>
  <c r="E402" i="2"/>
  <c r="I402" i="2"/>
  <c r="B402" i="2"/>
  <c r="A402" i="2"/>
  <c r="F402" i="2"/>
  <c r="G402" i="2"/>
  <c r="D402" i="2"/>
  <c r="G449" i="2"/>
  <c r="H449" i="2"/>
  <c r="K449" i="2"/>
  <c r="J449" i="2"/>
  <c r="F449" i="2"/>
  <c r="C449" i="2"/>
  <c r="D449" i="2"/>
  <c r="I449" i="2"/>
  <c r="E449" i="2"/>
  <c r="A449" i="2"/>
  <c r="B449" i="2"/>
  <c r="J473" i="2"/>
  <c r="F473" i="2"/>
  <c r="D473" i="2"/>
  <c r="C473" i="2"/>
  <c r="A473" i="2"/>
  <c r="K473" i="2"/>
  <c r="E473" i="2"/>
  <c r="B473" i="2"/>
  <c r="G473" i="2"/>
  <c r="I473" i="2"/>
  <c r="H473" i="2"/>
  <c r="G35" i="2"/>
  <c r="C35" i="2"/>
  <c r="D35" i="2"/>
  <c r="K35" i="2"/>
  <c r="A35" i="2"/>
  <c r="J35" i="2"/>
  <c r="I35" i="2"/>
  <c r="H35" i="2"/>
  <c r="F35" i="2"/>
  <c r="E35" i="2"/>
  <c r="B35" i="2"/>
  <c r="E289" i="2"/>
  <c r="H289" i="2"/>
  <c r="F289" i="2"/>
  <c r="C289" i="2"/>
  <c r="J289" i="2"/>
  <c r="I289" i="2"/>
  <c r="G289" i="2"/>
  <c r="B289" i="2"/>
  <c r="A289" i="2"/>
  <c r="K289" i="2"/>
  <c r="D289" i="2"/>
  <c r="I22" i="2"/>
  <c r="E22" i="2"/>
  <c r="A22" i="2"/>
  <c r="H22" i="2"/>
  <c r="K22" i="2"/>
  <c r="J22" i="2"/>
  <c r="G22" i="2"/>
  <c r="F22" i="2"/>
  <c r="D22" i="2"/>
  <c r="C22" i="2"/>
  <c r="B22" i="2"/>
  <c r="G414" i="2"/>
  <c r="J414" i="2"/>
  <c r="E414" i="2"/>
  <c r="I414" i="2"/>
  <c r="H414" i="2"/>
  <c r="D414" i="2"/>
  <c r="A414" i="2"/>
  <c r="C414" i="2"/>
  <c r="K414" i="2"/>
  <c r="F414" i="2"/>
  <c r="B414" i="2"/>
  <c r="A39" i="2"/>
  <c r="K39" i="2"/>
  <c r="G39" i="2"/>
  <c r="E39" i="2"/>
  <c r="D39" i="2"/>
  <c r="C39" i="2"/>
  <c r="B39" i="2"/>
  <c r="I39" i="2"/>
  <c r="F39" i="2"/>
  <c r="J39" i="2"/>
  <c r="H39" i="2"/>
  <c r="A95" i="2"/>
  <c r="K95" i="2"/>
  <c r="G95" i="2"/>
  <c r="E95" i="2"/>
  <c r="C95" i="2"/>
  <c r="B95" i="2"/>
  <c r="J95" i="2"/>
  <c r="I95" i="2"/>
  <c r="H95" i="2"/>
  <c r="F95" i="2"/>
  <c r="D95" i="2"/>
  <c r="B262" i="2"/>
  <c r="K262" i="2"/>
  <c r="D262" i="2"/>
  <c r="A262" i="2"/>
  <c r="H262" i="2"/>
  <c r="G262" i="2"/>
  <c r="F262" i="2"/>
  <c r="E262" i="2"/>
  <c r="C262" i="2"/>
  <c r="J262" i="2"/>
  <c r="I262" i="2"/>
  <c r="G339" i="2"/>
  <c r="I339" i="2"/>
  <c r="A339" i="2"/>
  <c r="D339" i="2"/>
  <c r="F339" i="2"/>
  <c r="C339" i="2"/>
  <c r="B339" i="2"/>
  <c r="K339" i="2"/>
  <c r="J339" i="2"/>
  <c r="H339" i="2"/>
  <c r="E339" i="2"/>
  <c r="J252" i="2"/>
  <c r="K252" i="2"/>
  <c r="C252" i="2"/>
  <c r="I252" i="2"/>
  <c r="H252" i="2"/>
  <c r="G252" i="2"/>
  <c r="F252" i="2"/>
  <c r="E252" i="2"/>
  <c r="D252" i="2"/>
  <c r="B252" i="2"/>
  <c r="A252" i="2"/>
  <c r="D228" i="2"/>
  <c r="J228" i="2"/>
  <c r="F228" i="2"/>
  <c r="I228" i="2"/>
  <c r="H228" i="2"/>
  <c r="C228" i="2"/>
  <c r="B228" i="2"/>
  <c r="A228" i="2"/>
  <c r="K228" i="2"/>
  <c r="G228" i="2"/>
  <c r="E228" i="2"/>
  <c r="C503" i="2"/>
  <c r="H503" i="2"/>
  <c r="K503" i="2"/>
  <c r="J503" i="2"/>
  <c r="F503" i="2"/>
  <c r="D503" i="2"/>
  <c r="B503" i="2"/>
  <c r="A503" i="2"/>
  <c r="I503" i="2"/>
  <c r="G503" i="2"/>
  <c r="E503" i="2"/>
  <c r="E448" i="2"/>
  <c r="I448" i="2"/>
  <c r="D448" i="2"/>
  <c r="F448" i="2"/>
  <c r="C448" i="2"/>
  <c r="A448" i="2"/>
  <c r="B448" i="2"/>
  <c r="G448" i="2"/>
  <c r="J448" i="2"/>
  <c r="H448" i="2"/>
  <c r="K448" i="2"/>
  <c r="G369" i="2"/>
  <c r="C369" i="2"/>
  <c r="D369" i="2"/>
  <c r="B369" i="2"/>
  <c r="K369" i="2"/>
  <c r="A369" i="2"/>
  <c r="J369" i="2"/>
  <c r="F369" i="2"/>
  <c r="I369" i="2"/>
  <c r="H369" i="2"/>
  <c r="E369" i="2"/>
  <c r="G393" i="2"/>
  <c r="E393" i="2"/>
  <c r="A393" i="2"/>
  <c r="K393" i="2"/>
  <c r="H393" i="2"/>
  <c r="F393" i="2"/>
  <c r="D393" i="2"/>
  <c r="J393" i="2"/>
  <c r="I393" i="2"/>
  <c r="B393" i="2"/>
  <c r="C393" i="2"/>
  <c r="G21" i="2"/>
  <c r="C21" i="2"/>
  <c r="H21" i="2"/>
  <c r="F21" i="2"/>
  <c r="B21" i="2"/>
  <c r="E21" i="2"/>
  <c r="D21" i="2"/>
  <c r="A21" i="2"/>
  <c r="K21" i="2"/>
  <c r="I21" i="2"/>
  <c r="J21" i="2"/>
  <c r="I57" i="2"/>
  <c r="E57" i="2"/>
  <c r="A57" i="2"/>
  <c r="D57" i="2"/>
  <c r="F57" i="2"/>
  <c r="C57" i="2"/>
  <c r="B57" i="2"/>
  <c r="J57" i="2"/>
  <c r="G57" i="2"/>
  <c r="K57" i="2"/>
  <c r="H57" i="2"/>
  <c r="E48" i="2"/>
  <c r="A48" i="2"/>
  <c r="K48" i="2"/>
  <c r="D48" i="2"/>
  <c r="C48" i="2"/>
  <c r="F48" i="2"/>
  <c r="B48" i="2"/>
  <c r="H48" i="2"/>
  <c r="J48" i="2"/>
  <c r="I48" i="2"/>
  <c r="G48" i="2"/>
  <c r="E97" i="2"/>
  <c r="A97" i="2"/>
  <c r="K97" i="2"/>
  <c r="H97" i="2"/>
  <c r="F97" i="2"/>
  <c r="C97" i="2"/>
  <c r="J97" i="2"/>
  <c r="I97" i="2"/>
  <c r="G97" i="2"/>
  <c r="D97" i="2"/>
  <c r="B97" i="2"/>
  <c r="E83" i="2"/>
  <c r="A83" i="2"/>
  <c r="K83" i="2"/>
  <c r="C83" i="2"/>
  <c r="J83" i="2"/>
  <c r="B83" i="2"/>
  <c r="I83" i="2"/>
  <c r="H83" i="2"/>
  <c r="G83" i="2"/>
  <c r="F83" i="2"/>
  <c r="D83" i="2"/>
  <c r="C19" i="2"/>
  <c r="I19" i="2"/>
  <c r="J19" i="2"/>
  <c r="K19" i="2"/>
  <c r="H19" i="2"/>
  <c r="A19" i="2"/>
  <c r="G19" i="2"/>
  <c r="F19" i="2"/>
  <c r="E19" i="2"/>
  <c r="D19" i="2"/>
  <c r="B19" i="2"/>
  <c r="K58" i="2"/>
  <c r="G58" i="2"/>
  <c r="C58" i="2"/>
  <c r="J58" i="2"/>
  <c r="I58" i="2"/>
  <c r="H58" i="2"/>
  <c r="F58" i="2"/>
  <c r="E58" i="2"/>
  <c r="D58" i="2"/>
  <c r="B58" i="2"/>
  <c r="A58" i="2"/>
  <c r="K156" i="2"/>
  <c r="G156" i="2"/>
  <c r="F156" i="2"/>
  <c r="D156" i="2"/>
  <c r="C156" i="2"/>
  <c r="B156" i="2"/>
  <c r="I156" i="2"/>
  <c r="H156" i="2"/>
  <c r="E156" i="2"/>
  <c r="A156" i="2"/>
  <c r="J156" i="2"/>
  <c r="I127" i="2"/>
  <c r="E127" i="2"/>
  <c r="A127" i="2"/>
  <c r="F127" i="2"/>
  <c r="D127" i="2"/>
  <c r="C127" i="2"/>
  <c r="K127" i="2"/>
  <c r="J127" i="2"/>
  <c r="H127" i="2"/>
  <c r="G127" i="2"/>
  <c r="B127" i="2"/>
  <c r="K114" i="2"/>
  <c r="G114" i="2"/>
  <c r="C114" i="2"/>
  <c r="I114" i="2"/>
  <c r="F114" i="2"/>
  <c r="E114" i="2"/>
  <c r="D114" i="2"/>
  <c r="B114" i="2"/>
  <c r="A114" i="2"/>
  <c r="H114" i="2"/>
  <c r="J114" i="2"/>
  <c r="I136" i="2"/>
  <c r="E136" i="2"/>
  <c r="D136" i="2"/>
  <c r="K136" i="2"/>
  <c r="H136" i="2"/>
  <c r="F136" i="2"/>
  <c r="B136" i="2"/>
  <c r="A136" i="2"/>
  <c r="J136" i="2"/>
  <c r="G136" i="2"/>
  <c r="C136" i="2"/>
  <c r="G140" i="2"/>
  <c r="C140" i="2"/>
  <c r="F140" i="2"/>
  <c r="E140" i="2"/>
  <c r="D140" i="2"/>
  <c r="B140" i="2"/>
  <c r="K140" i="2"/>
  <c r="J140" i="2"/>
  <c r="I140" i="2"/>
  <c r="H140" i="2"/>
  <c r="A140" i="2"/>
  <c r="A301" i="2"/>
  <c r="J301" i="2"/>
  <c r="C301" i="2"/>
  <c r="K301" i="2"/>
  <c r="G301" i="2"/>
  <c r="E301" i="2"/>
  <c r="B301" i="2"/>
  <c r="F301" i="2"/>
  <c r="D301" i="2"/>
  <c r="I301" i="2"/>
  <c r="H301" i="2"/>
  <c r="F264" i="2"/>
  <c r="B264" i="2"/>
  <c r="J264" i="2"/>
  <c r="K264" i="2"/>
  <c r="H264" i="2"/>
  <c r="G264" i="2"/>
  <c r="E264" i="2"/>
  <c r="D264" i="2"/>
  <c r="C264" i="2"/>
  <c r="A264" i="2"/>
  <c r="I264" i="2"/>
  <c r="H244" i="2"/>
  <c r="A244" i="2"/>
  <c r="I244" i="2"/>
  <c r="D244" i="2"/>
  <c r="B244" i="2"/>
  <c r="J244" i="2"/>
  <c r="F244" i="2"/>
  <c r="E244" i="2"/>
  <c r="K244" i="2"/>
  <c r="G244" i="2"/>
  <c r="C244" i="2"/>
  <c r="K479" i="2"/>
  <c r="I479" i="2"/>
  <c r="C479" i="2"/>
  <c r="B479" i="2"/>
  <c r="J479" i="2"/>
  <c r="H479" i="2"/>
  <c r="G479" i="2"/>
  <c r="E479" i="2"/>
  <c r="A479" i="2"/>
  <c r="F479" i="2"/>
  <c r="D479" i="2"/>
  <c r="C341" i="2"/>
  <c r="D341" i="2"/>
  <c r="B341" i="2"/>
  <c r="K341" i="2"/>
  <c r="J341" i="2"/>
  <c r="G341" i="2"/>
  <c r="E341" i="2"/>
  <c r="H341" i="2"/>
  <c r="F341" i="2"/>
  <c r="A341" i="2"/>
  <c r="I341" i="2"/>
  <c r="C214" i="2"/>
  <c r="A214" i="2"/>
  <c r="B214" i="2"/>
  <c r="K214" i="2"/>
  <c r="J214" i="2"/>
  <c r="I214" i="2"/>
  <c r="H214" i="2"/>
  <c r="F214" i="2"/>
  <c r="E214" i="2"/>
  <c r="D214" i="2"/>
  <c r="G214" i="2"/>
  <c r="I217" i="2"/>
  <c r="G217" i="2"/>
  <c r="K217" i="2"/>
  <c r="J217" i="2"/>
  <c r="H217" i="2"/>
  <c r="F217" i="2"/>
  <c r="E217" i="2"/>
  <c r="D217" i="2"/>
  <c r="C217" i="2"/>
  <c r="A217" i="2"/>
  <c r="B217" i="2"/>
  <c r="I277" i="2"/>
  <c r="D277" i="2"/>
  <c r="E277" i="2"/>
  <c r="J277" i="2"/>
  <c r="F277" i="2"/>
  <c r="B277" i="2"/>
  <c r="K277" i="2"/>
  <c r="G277" i="2"/>
  <c r="C277" i="2"/>
  <c r="A277" i="2"/>
  <c r="H277" i="2"/>
  <c r="C496" i="2"/>
  <c r="F496" i="2"/>
  <c r="A496" i="2"/>
  <c r="J496" i="2"/>
  <c r="I496" i="2"/>
  <c r="G496" i="2"/>
  <c r="B496" i="2"/>
  <c r="E496" i="2"/>
  <c r="D496" i="2"/>
  <c r="K496" i="2"/>
  <c r="H496" i="2"/>
  <c r="K327" i="2"/>
  <c r="F327" i="2"/>
  <c r="A327" i="2"/>
  <c r="I327" i="2"/>
  <c r="J327" i="2"/>
  <c r="H327" i="2"/>
  <c r="G327" i="2"/>
  <c r="C327" i="2"/>
  <c r="D327" i="2"/>
  <c r="B327" i="2"/>
  <c r="E327" i="2"/>
  <c r="K388" i="2"/>
  <c r="E388" i="2"/>
  <c r="A388" i="2"/>
  <c r="D388" i="2"/>
  <c r="C388" i="2"/>
  <c r="H388" i="2"/>
  <c r="J388" i="2"/>
  <c r="F388" i="2"/>
  <c r="I388" i="2"/>
  <c r="G388" i="2"/>
  <c r="B388" i="2"/>
  <c r="H389" i="2"/>
  <c r="D389" i="2"/>
  <c r="J389" i="2"/>
  <c r="I389" i="2"/>
  <c r="B389" i="2"/>
  <c r="F389" i="2"/>
  <c r="E389" i="2"/>
  <c r="G389" i="2"/>
  <c r="C389" i="2"/>
  <c r="K389" i="2"/>
  <c r="A389" i="2"/>
  <c r="I344" i="2"/>
  <c r="G344" i="2"/>
  <c r="B344" i="2"/>
  <c r="K344" i="2"/>
  <c r="E344" i="2"/>
  <c r="J344" i="2"/>
  <c r="H344" i="2"/>
  <c r="F344" i="2"/>
  <c r="D344" i="2"/>
  <c r="C344" i="2"/>
  <c r="A344" i="2"/>
  <c r="I380" i="2"/>
  <c r="K380" i="2"/>
  <c r="F380" i="2"/>
  <c r="D380" i="2"/>
  <c r="B380" i="2"/>
  <c r="G380" i="2"/>
  <c r="C380" i="2"/>
  <c r="J380" i="2"/>
  <c r="H380" i="2"/>
  <c r="E380" i="2"/>
  <c r="A380" i="2"/>
  <c r="M21" i="3"/>
  <c r="E434" i="2"/>
  <c r="K434" i="2"/>
  <c r="G434" i="2"/>
  <c r="H434" i="2"/>
  <c r="C434" i="2"/>
  <c r="F434" i="2"/>
  <c r="D434" i="2"/>
  <c r="A434" i="2"/>
  <c r="J434" i="2"/>
  <c r="I434" i="2"/>
  <c r="B434" i="2"/>
  <c r="J375" i="2"/>
  <c r="F375" i="2"/>
  <c r="B375" i="2"/>
  <c r="A375" i="2"/>
  <c r="G375" i="2"/>
  <c r="H375" i="2"/>
  <c r="E375" i="2"/>
  <c r="C375" i="2"/>
  <c r="D375" i="2"/>
  <c r="K375" i="2"/>
  <c r="I375" i="2"/>
  <c r="E363" i="2"/>
  <c r="K363" i="2"/>
  <c r="F363" i="2"/>
  <c r="B363" i="2"/>
  <c r="C363" i="2"/>
  <c r="G363" i="2"/>
  <c r="A363" i="2"/>
  <c r="I363" i="2"/>
  <c r="H363" i="2"/>
  <c r="D363" i="2"/>
  <c r="J363" i="2"/>
  <c r="C426" i="2"/>
  <c r="A426" i="2"/>
  <c r="F426" i="2"/>
  <c r="E426" i="2"/>
  <c r="B426" i="2"/>
  <c r="K426" i="2"/>
  <c r="H426" i="2"/>
  <c r="G426" i="2"/>
  <c r="I426" i="2"/>
  <c r="D426" i="2"/>
  <c r="J426" i="2"/>
  <c r="I326" i="2"/>
  <c r="D326" i="2"/>
  <c r="E326" i="2"/>
  <c r="B326" i="2"/>
  <c r="A326" i="2"/>
  <c r="K326" i="2"/>
  <c r="J326" i="2"/>
  <c r="H326" i="2"/>
  <c r="G326" i="2"/>
  <c r="F326" i="2"/>
  <c r="C326" i="2"/>
  <c r="J245" i="2"/>
  <c r="D245" i="2"/>
  <c r="I245" i="2"/>
  <c r="G245" i="2"/>
  <c r="K245" i="2"/>
  <c r="H245" i="2"/>
  <c r="F245" i="2"/>
  <c r="E245" i="2"/>
  <c r="C245" i="2"/>
  <c r="B245" i="2"/>
  <c r="A245" i="2"/>
  <c r="I219" i="2"/>
  <c r="H219" i="2"/>
  <c r="E219" i="2"/>
  <c r="D219" i="2"/>
  <c r="C219" i="2"/>
  <c r="B219" i="2"/>
  <c r="A219" i="2"/>
  <c r="K219" i="2"/>
  <c r="J219" i="2"/>
  <c r="G219" i="2"/>
  <c r="F219" i="2"/>
  <c r="B382" i="2"/>
  <c r="F382" i="2"/>
  <c r="E382" i="2"/>
  <c r="K382" i="2"/>
  <c r="A382" i="2"/>
  <c r="C382" i="2"/>
  <c r="I382" i="2"/>
  <c r="J382" i="2"/>
  <c r="G382" i="2"/>
  <c r="D382" i="2"/>
  <c r="H382" i="2"/>
  <c r="J494" i="2"/>
  <c r="H494" i="2"/>
  <c r="F494" i="2"/>
  <c r="E494" i="2"/>
  <c r="A494" i="2"/>
  <c r="C494" i="2"/>
  <c r="D494" i="2"/>
  <c r="B494" i="2"/>
  <c r="I494" i="2"/>
  <c r="K494" i="2"/>
  <c r="G494" i="2"/>
  <c r="G268" i="2"/>
  <c r="K268" i="2"/>
  <c r="A268" i="2"/>
  <c r="J268" i="2"/>
  <c r="I268" i="2"/>
  <c r="H268" i="2"/>
  <c r="F268" i="2"/>
  <c r="E268" i="2"/>
  <c r="D268" i="2"/>
  <c r="C268" i="2"/>
  <c r="B268" i="2"/>
  <c r="G400" i="2"/>
  <c r="H400" i="2"/>
  <c r="A400" i="2"/>
  <c r="K400" i="2"/>
  <c r="I400" i="2"/>
  <c r="E400" i="2"/>
  <c r="D400" i="2"/>
  <c r="B400" i="2"/>
  <c r="F400" i="2"/>
  <c r="C400" i="2"/>
  <c r="J400" i="2"/>
  <c r="E41" i="2"/>
  <c r="A41" i="2"/>
  <c r="K41" i="2"/>
  <c r="C41" i="2"/>
  <c r="J41" i="2"/>
  <c r="I41" i="2"/>
  <c r="H41" i="2"/>
  <c r="G41" i="2"/>
  <c r="F41" i="2"/>
  <c r="D41" i="2"/>
  <c r="B41" i="2"/>
  <c r="K198" i="2"/>
  <c r="I198" i="2"/>
  <c r="G198" i="2"/>
  <c r="E198" i="2"/>
  <c r="D198" i="2"/>
  <c r="J198" i="2"/>
  <c r="F198" i="2"/>
  <c r="C198" i="2"/>
  <c r="B198" i="2"/>
  <c r="H198" i="2"/>
  <c r="A198" i="2"/>
  <c r="A411" i="2"/>
  <c r="K411" i="2"/>
  <c r="I411" i="2"/>
  <c r="H411" i="2"/>
  <c r="F411" i="2"/>
  <c r="C411" i="2"/>
  <c r="J411" i="2"/>
  <c r="G411" i="2"/>
  <c r="E411" i="2"/>
  <c r="D411" i="2"/>
  <c r="B411" i="2"/>
  <c r="E111" i="2"/>
  <c r="A111" i="2"/>
  <c r="K111" i="2"/>
  <c r="I111" i="2"/>
  <c r="G111" i="2"/>
  <c r="F111" i="2"/>
  <c r="D111" i="2"/>
  <c r="C111" i="2"/>
  <c r="B111" i="2"/>
  <c r="H111" i="2"/>
  <c r="J111" i="2"/>
  <c r="A206" i="2"/>
  <c r="K206" i="2"/>
  <c r="I206" i="2"/>
  <c r="G206" i="2"/>
  <c r="F206" i="2"/>
  <c r="B206" i="2"/>
  <c r="J206" i="2"/>
  <c r="H206" i="2"/>
  <c r="C206" i="2"/>
  <c r="E206" i="2"/>
  <c r="D206" i="2"/>
  <c r="A322" i="2"/>
  <c r="J322" i="2"/>
  <c r="D322" i="2"/>
  <c r="C322" i="2"/>
  <c r="F322" i="2"/>
  <c r="B322" i="2"/>
  <c r="H322" i="2"/>
  <c r="G322" i="2"/>
  <c r="K322" i="2"/>
  <c r="I322" i="2"/>
  <c r="E322" i="2"/>
  <c r="C367" i="2"/>
  <c r="K367" i="2"/>
  <c r="J367" i="2"/>
  <c r="E367" i="2"/>
  <c r="D367" i="2"/>
  <c r="A367" i="2"/>
  <c r="H367" i="2"/>
  <c r="I367" i="2"/>
  <c r="G367" i="2"/>
  <c r="F367" i="2"/>
  <c r="B367" i="2"/>
  <c r="I24" i="2"/>
  <c r="E24" i="2"/>
  <c r="G24" i="2"/>
  <c r="F24" i="2"/>
  <c r="B24" i="2"/>
  <c r="D24" i="2"/>
  <c r="C24" i="2"/>
  <c r="A24" i="2"/>
  <c r="K24" i="2"/>
  <c r="H24" i="2"/>
  <c r="J24" i="2"/>
  <c r="E62" i="2"/>
  <c r="A62" i="2"/>
  <c r="K62" i="2"/>
  <c r="F62" i="2"/>
  <c r="D62" i="2"/>
  <c r="C62" i="2"/>
  <c r="B62" i="2"/>
  <c r="I62" i="2"/>
  <c r="G62" i="2"/>
  <c r="J62" i="2"/>
  <c r="H62" i="2"/>
  <c r="K51" i="2"/>
  <c r="G51" i="2"/>
  <c r="C51" i="2"/>
  <c r="D51" i="2"/>
  <c r="B51" i="2"/>
  <c r="A51" i="2"/>
  <c r="H51" i="2"/>
  <c r="E51" i="2"/>
  <c r="J51" i="2"/>
  <c r="I51" i="2"/>
  <c r="F51" i="2"/>
  <c r="E104" i="2"/>
  <c r="A104" i="2"/>
  <c r="K104" i="2"/>
  <c r="J104" i="2"/>
  <c r="D104" i="2"/>
  <c r="B104" i="2"/>
  <c r="C104" i="2"/>
  <c r="I104" i="2"/>
  <c r="H104" i="2"/>
  <c r="G104" i="2"/>
  <c r="F104" i="2"/>
  <c r="I85" i="2"/>
  <c r="E85" i="2"/>
  <c r="A85" i="2"/>
  <c r="J85" i="2"/>
  <c r="G85" i="2"/>
  <c r="K85" i="2"/>
  <c r="H85" i="2"/>
  <c r="F85" i="2"/>
  <c r="D85" i="2"/>
  <c r="C85" i="2"/>
  <c r="B85" i="2"/>
  <c r="K100" i="2"/>
  <c r="G100" i="2"/>
  <c r="C100" i="2"/>
  <c r="H100" i="2"/>
  <c r="E100" i="2"/>
  <c r="J100" i="2"/>
  <c r="I100" i="2"/>
  <c r="F100" i="2"/>
  <c r="D100" i="2"/>
  <c r="B100" i="2"/>
  <c r="A100" i="2"/>
  <c r="G63" i="2"/>
  <c r="C63" i="2"/>
  <c r="D63" i="2"/>
  <c r="K63" i="2"/>
  <c r="I63" i="2"/>
  <c r="J63" i="2"/>
  <c r="H63" i="2"/>
  <c r="F63" i="2"/>
  <c r="E63" i="2"/>
  <c r="B63" i="2"/>
  <c r="A63" i="2"/>
  <c r="I162" i="2"/>
  <c r="E162" i="2"/>
  <c r="D162" i="2"/>
  <c r="B162" i="2"/>
  <c r="A162" i="2"/>
  <c r="J162" i="2"/>
  <c r="H162" i="2"/>
  <c r="G162" i="2"/>
  <c r="F162" i="2"/>
  <c r="C162" i="2"/>
  <c r="K162" i="2"/>
  <c r="E132" i="2"/>
  <c r="A132" i="2"/>
  <c r="K132" i="2"/>
  <c r="J132" i="2"/>
  <c r="D132" i="2"/>
  <c r="C132" i="2"/>
  <c r="B132" i="2"/>
  <c r="I132" i="2"/>
  <c r="H132" i="2"/>
  <c r="G132" i="2"/>
  <c r="F132" i="2"/>
  <c r="I134" i="2"/>
  <c r="E134" i="2"/>
  <c r="A134" i="2"/>
  <c r="J134" i="2"/>
  <c r="G134" i="2"/>
  <c r="F134" i="2"/>
  <c r="K134" i="2"/>
  <c r="H134" i="2"/>
  <c r="D134" i="2"/>
  <c r="B134" i="2"/>
  <c r="C134" i="2"/>
  <c r="E146" i="2"/>
  <c r="A146" i="2"/>
  <c r="K146" i="2"/>
  <c r="J146" i="2"/>
  <c r="I146" i="2"/>
  <c r="H146" i="2"/>
  <c r="G146" i="2"/>
  <c r="D146" i="2"/>
  <c r="C146" i="2"/>
  <c r="B146" i="2"/>
  <c r="F146" i="2"/>
  <c r="G147" i="2"/>
  <c r="C147" i="2"/>
  <c r="B147" i="2"/>
  <c r="D147" i="2"/>
  <c r="A147" i="2"/>
  <c r="K147" i="2"/>
  <c r="J147" i="2"/>
  <c r="I147" i="2"/>
  <c r="F147" i="2"/>
  <c r="H147" i="2"/>
  <c r="E147" i="2"/>
  <c r="G202" i="2"/>
  <c r="E202" i="2"/>
  <c r="K202" i="2"/>
  <c r="I202" i="2"/>
  <c r="F202" i="2"/>
  <c r="D202" i="2"/>
  <c r="J202" i="2"/>
  <c r="H202" i="2"/>
  <c r="C202" i="2"/>
  <c r="A202" i="2"/>
  <c r="B202" i="2"/>
  <c r="C362" i="2"/>
  <c r="H362" i="2"/>
  <c r="B362" i="2"/>
  <c r="F362" i="2"/>
  <c r="E362" i="2"/>
  <c r="K362" i="2"/>
  <c r="I362" i="2"/>
  <c r="G362" i="2"/>
  <c r="D362" i="2"/>
  <c r="A362" i="2"/>
  <c r="J362" i="2"/>
  <c r="E296" i="2"/>
  <c r="F296" i="2"/>
  <c r="J296" i="2"/>
  <c r="C296" i="2"/>
  <c r="A296" i="2"/>
  <c r="B296" i="2"/>
  <c r="G296" i="2"/>
  <c r="K296" i="2"/>
  <c r="I296" i="2"/>
  <c r="H296" i="2"/>
  <c r="D296" i="2"/>
  <c r="I196" i="2"/>
  <c r="G196" i="2"/>
  <c r="E196" i="2"/>
  <c r="A196" i="2"/>
  <c r="K196" i="2"/>
  <c r="J196" i="2"/>
  <c r="H196" i="2"/>
  <c r="D196" i="2"/>
  <c r="C196" i="2"/>
  <c r="B196" i="2"/>
  <c r="F196" i="2"/>
  <c r="E427" i="2"/>
  <c r="D427" i="2"/>
  <c r="K427" i="2"/>
  <c r="J427" i="2"/>
  <c r="H427" i="2"/>
  <c r="C427" i="2"/>
  <c r="I427" i="2"/>
  <c r="G427" i="2"/>
  <c r="B427" i="2"/>
  <c r="A427" i="2"/>
  <c r="F427" i="2"/>
  <c r="J224" i="2"/>
  <c r="C224" i="2"/>
  <c r="B224" i="2"/>
  <c r="K224" i="2"/>
  <c r="I224" i="2"/>
  <c r="H224" i="2"/>
  <c r="G224" i="2"/>
  <c r="F224" i="2"/>
  <c r="E224" i="2"/>
  <c r="D224" i="2"/>
  <c r="A224" i="2"/>
  <c r="A308" i="2"/>
  <c r="J308" i="2"/>
  <c r="H308" i="2"/>
  <c r="D308" i="2"/>
  <c r="B308" i="2"/>
  <c r="C308" i="2"/>
  <c r="K308" i="2"/>
  <c r="F308" i="2"/>
  <c r="I308" i="2"/>
  <c r="G308" i="2"/>
  <c r="E308" i="2"/>
  <c r="I298" i="2"/>
  <c r="D298" i="2"/>
  <c r="F298" i="2"/>
  <c r="E298" i="2"/>
  <c r="B298" i="2"/>
  <c r="G298" i="2"/>
  <c r="K298" i="2"/>
  <c r="H298" i="2"/>
  <c r="C298" i="2"/>
  <c r="A298" i="2"/>
  <c r="J298" i="2"/>
  <c r="D270" i="2"/>
  <c r="F270" i="2"/>
  <c r="E270" i="2"/>
  <c r="K270" i="2"/>
  <c r="I270" i="2"/>
  <c r="J270" i="2"/>
  <c r="H270" i="2"/>
  <c r="G270" i="2"/>
  <c r="C270" i="2"/>
  <c r="B270" i="2"/>
  <c r="A270" i="2"/>
  <c r="K338" i="2"/>
  <c r="I338" i="2"/>
  <c r="D338" i="2"/>
  <c r="C338" i="2"/>
  <c r="F338" i="2"/>
  <c r="A338" i="2"/>
  <c r="J338" i="2"/>
  <c r="E338" i="2"/>
  <c r="H338" i="2"/>
  <c r="G338" i="2"/>
  <c r="B338" i="2"/>
  <c r="I415" i="2"/>
  <c r="H415" i="2"/>
  <c r="K415" i="2"/>
  <c r="F415" i="2"/>
  <c r="C415" i="2"/>
  <c r="B415" i="2"/>
  <c r="G415" i="2"/>
  <c r="D415" i="2"/>
  <c r="J415" i="2"/>
  <c r="E415" i="2"/>
  <c r="A415" i="2"/>
  <c r="A425" i="2"/>
  <c r="I425" i="2"/>
  <c r="J425" i="2"/>
  <c r="F425" i="2"/>
  <c r="E425" i="2"/>
  <c r="D425" i="2"/>
  <c r="B425" i="2"/>
  <c r="K425" i="2"/>
  <c r="G425" i="2"/>
  <c r="C425" i="2"/>
  <c r="H425" i="2"/>
  <c r="I351" i="2"/>
  <c r="D351" i="2"/>
  <c r="F351" i="2"/>
  <c r="C351" i="2"/>
  <c r="G351" i="2"/>
  <c r="B351" i="2"/>
  <c r="K351" i="2"/>
  <c r="J351" i="2"/>
  <c r="E351" i="2"/>
  <c r="H351" i="2"/>
  <c r="A351" i="2"/>
  <c r="A453" i="2"/>
  <c r="I453" i="2"/>
  <c r="E453" i="2"/>
  <c r="H453" i="2"/>
  <c r="D453" i="2"/>
  <c r="K453" i="2"/>
  <c r="B453" i="2"/>
  <c r="J453" i="2"/>
  <c r="C453" i="2"/>
  <c r="G453" i="2"/>
  <c r="F453" i="2"/>
  <c r="G463" i="2"/>
  <c r="J463" i="2"/>
  <c r="E463" i="2"/>
  <c r="A463" i="2"/>
  <c r="H463" i="2"/>
  <c r="B463" i="2"/>
  <c r="C463" i="2"/>
  <c r="K463" i="2"/>
  <c r="I463" i="2"/>
  <c r="F463" i="2"/>
  <c r="D463" i="2"/>
  <c r="A508" i="2"/>
  <c r="J508" i="2"/>
  <c r="H508" i="2"/>
  <c r="G508" i="2"/>
  <c r="F508" i="2"/>
  <c r="E508" i="2"/>
  <c r="B508" i="2"/>
  <c r="K508" i="2"/>
  <c r="I508" i="2"/>
  <c r="D508" i="2"/>
  <c r="C508" i="2"/>
  <c r="C334" i="2"/>
  <c r="G334" i="2"/>
  <c r="H334" i="2"/>
  <c r="B334" i="2"/>
  <c r="F334" i="2"/>
  <c r="E334" i="2"/>
  <c r="D334" i="2"/>
  <c r="K334" i="2"/>
  <c r="J334" i="2"/>
  <c r="I334" i="2"/>
  <c r="A334" i="2"/>
  <c r="F250" i="2"/>
  <c r="D250" i="2"/>
  <c r="B250" i="2"/>
  <c r="A250" i="2"/>
  <c r="K250" i="2"/>
  <c r="J250" i="2"/>
  <c r="I250" i="2"/>
  <c r="H250" i="2"/>
  <c r="G250" i="2"/>
  <c r="E250" i="2"/>
  <c r="C250" i="2"/>
  <c r="I499" i="2"/>
  <c r="K499" i="2"/>
  <c r="H499" i="2"/>
  <c r="G499" i="2"/>
  <c r="E499" i="2"/>
  <c r="B499" i="2"/>
  <c r="A499" i="2"/>
  <c r="C499" i="2"/>
  <c r="J499" i="2"/>
  <c r="F499" i="2"/>
  <c r="D499" i="2"/>
  <c r="A81" i="2"/>
  <c r="K81" i="2"/>
  <c r="G81" i="2"/>
  <c r="D81" i="2"/>
  <c r="B81" i="2"/>
  <c r="I81" i="2"/>
  <c r="C81" i="2"/>
  <c r="J81" i="2"/>
  <c r="H81" i="2"/>
  <c r="F81" i="2"/>
  <c r="E81" i="2"/>
  <c r="B269" i="2"/>
  <c r="C269" i="2"/>
  <c r="J269" i="2"/>
  <c r="G269" i="2"/>
  <c r="E269" i="2"/>
  <c r="A269" i="2"/>
  <c r="H269" i="2"/>
  <c r="F269" i="2"/>
  <c r="D269" i="2"/>
  <c r="K269" i="2"/>
  <c r="I269" i="2"/>
  <c r="A46" i="2"/>
  <c r="K46" i="2"/>
  <c r="G46" i="2"/>
  <c r="J46" i="2"/>
  <c r="I46" i="2"/>
  <c r="H46" i="2"/>
  <c r="F46" i="2"/>
  <c r="E46" i="2"/>
  <c r="D46" i="2"/>
  <c r="C46" i="2"/>
  <c r="B46" i="2"/>
  <c r="B172" i="2"/>
  <c r="A172" i="2"/>
  <c r="K172" i="2"/>
  <c r="J172" i="2"/>
  <c r="H172" i="2"/>
  <c r="G172" i="2"/>
  <c r="F172" i="2"/>
  <c r="I172" i="2"/>
  <c r="E172" i="2"/>
  <c r="D172" i="2"/>
  <c r="C172" i="2"/>
  <c r="C207" i="2"/>
  <c r="A207" i="2"/>
  <c r="E207" i="2"/>
  <c r="K207" i="2"/>
  <c r="J207" i="2"/>
  <c r="H207" i="2"/>
  <c r="G207" i="2"/>
  <c r="F207" i="2"/>
  <c r="D207" i="2"/>
  <c r="B207" i="2"/>
  <c r="I207" i="2"/>
  <c r="G428" i="2"/>
  <c r="H428" i="2"/>
  <c r="C428" i="2"/>
  <c r="J428" i="2"/>
  <c r="E428" i="2"/>
  <c r="K428" i="2"/>
  <c r="A428" i="2"/>
  <c r="I428" i="2"/>
  <c r="F428" i="2"/>
  <c r="D428" i="2"/>
  <c r="B428" i="2"/>
  <c r="A390" i="2"/>
  <c r="K390" i="2"/>
  <c r="G390" i="2"/>
  <c r="H390" i="2"/>
  <c r="E390" i="2"/>
  <c r="B390" i="2"/>
  <c r="I390" i="2"/>
  <c r="D390" i="2"/>
  <c r="C390" i="2"/>
  <c r="J390" i="2"/>
  <c r="F390" i="2"/>
  <c r="K416" i="2"/>
  <c r="A416" i="2"/>
  <c r="C416" i="2"/>
  <c r="B416" i="2"/>
  <c r="H416" i="2"/>
  <c r="E416" i="2"/>
  <c r="D416" i="2"/>
  <c r="F416" i="2"/>
  <c r="I416" i="2"/>
  <c r="J416" i="2"/>
  <c r="G416" i="2"/>
  <c r="I73" i="2"/>
  <c r="E73" i="2"/>
  <c r="K73" i="2"/>
  <c r="H73" i="2"/>
  <c r="C73" i="2"/>
  <c r="B73" i="2"/>
  <c r="D73" i="2"/>
  <c r="A73" i="2"/>
  <c r="G73" i="2"/>
  <c r="J73" i="2"/>
  <c r="F73" i="2"/>
  <c r="I29" i="2"/>
  <c r="E29" i="2"/>
  <c r="A29" i="2"/>
  <c r="D29" i="2"/>
  <c r="B29" i="2"/>
  <c r="K29" i="2"/>
  <c r="J29" i="2"/>
  <c r="H29" i="2"/>
  <c r="G29" i="2"/>
  <c r="F29" i="2"/>
  <c r="C29" i="2"/>
  <c r="I122" i="2"/>
  <c r="E122" i="2"/>
  <c r="K122" i="2"/>
  <c r="J122" i="2"/>
  <c r="H122" i="2"/>
  <c r="D122" i="2"/>
  <c r="B122" i="2"/>
  <c r="G122" i="2"/>
  <c r="F122" i="2"/>
  <c r="C122" i="2"/>
  <c r="A122" i="2"/>
  <c r="E76" i="2"/>
  <c r="A76" i="2"/>
  <c r="K76" i="2"/>
  <c r="J76" i="2"/>
  <c r="H76" i="2"/>
  <c r="I76" i="2"/>
  <c r="G76" i="2"/>
  <c r="F76" i="2"/>
  <c r="D76" i="2"/>
  <c r="C76" i="2"/>
  <c r="B76" i="2"/>
  <c r="A199" i="2"/>
  <c r="C199" i="2"/>
  <c r="K199" i="2"/>
  <c r="I199" i="2"/>
  <c r="H199" i="2"/>
  <c r="G199" i="2"/>
  <c r="F199" i="2"/>
  <c r="E199" i="2"/>
  <c r="B199" i="2"/>
  <c r="D199" i="2"/>
  <c r="J199" i="2"/>
  <c r="I189" i="2"/>
  <c r="G189" i="2"/>
  <c r="H189" i="2"/>
  <c r="C189" i="2"/>
  <c r="A189" i="2"/>
  <c r="F189" i="2"/>
  <c r="E189" i="2"/>
  <c r="D189" i="2"/>
  <c r="K189" i="2"/>
  <c r="J189" i="2"/>
  <c r="B189" i="2"/>
  <c r="I157" i="2"/>
  <c r="H157" i="2"/>
  <c r="F157" i="2"/>
  <c r="E157" i="2"/>
  <c r="D157" i="2"/>
  <c r="J157" i="2"/>
  <c r="G157" i="2"/>
  <c r="C157" i="2"/>
  <c r="B157" i="2"/>
  <c r="A157" i="2"/>
  <c r="K157" i="2"/>
  <c r="K107" i="2"/>
  <c r="G107" i="2"/>
  <c r="C107" i="2"/>
  <c r="J107" i="2"/>
  <c r="D107" i="2"/>
  <c r="A107" i="2"/>
  <c r="I107" i="2"/>
  <c r="H107" i="2"/>
  <c r="F107" i="2"/>
  <c r="E107" i="2"/>
  <c r="B107" i="2"/>
  <c r="G161" i="2"/>
  <c r="C161" i="2"/>
  <c r="B161" i="2"/>
  <c r="K161" i="2"/>
  <c r="I161" i="2"/>
  <c r="H161" i="2"/>
  <c r="F161" i="2"/>
  <c r="E161" i="2"/>
  <c r="A161" i="2"/>
  <c r="J161" i="2"/>
  <c r="D161" i="2"/>
  <c r="G209" i="2"/>
  <c r="E209" i="2"/>
  <c r="J209" i="2"/>
  <c r="I209" i="2"/>
  <c r="F209" i="2"/>
  <c r="D209" i="2"/>
  <c r="C209" i="2"/>
  <c r="B209" i="2"/>
  <c r="K209" i="2"/>
  <c r="H209" i="2"/>
  <c r="A209" i="2"/>
  <c r="B220" i="2"/>
  <c r="C220" i="2"/>
  <c r="J220" i="2"/>
  <c r="I220" i="2"/>
  <c r="H220" i="2"/>
  <c r="G220" i="2"/>
  <c r="F220" i="2"/>
  <c r="E220" i="2"/>
  <c r="D220" i="2"/>
  <c r="K220" i="2"/>
  <c r="A220" i="2"/>
  <c r="K163" i="2"/>
  <c r="G163" i="2"/>
  <c r="F163" i="2"/>
  <c r="D163" i="2"/>
  <c r="C163" i="2"/>
  <c r="B163" i="2"/>
  <c r="J163" i="2"/>
  <c r="I163" i="2"/>
  <c r="H163" i="2"/>
  <c r="E163" i="2"/>
  <c r="A163" i="2"/>
  <c r="K211" i="2"/>
  <c r="I211" i="2"/>
  <c r="E211" i="2"/>
  <c r="B211" i="2"/>
  <c r="A211" i="2"/>
  <c r="F211" i="2"/>
  <c r="D211" i="2"/>
  <c r="C211" i="2"/>
  <c r="J211" i="2"/>
  <c r="H211" i="2"/>
  <c r="G211" i="2"/>
  <c r="H230" i="2"/>
  <c r="C230" i="2"/>
  <c r="A230" i="2"/>
  <c r="E230" i="2"/>
  <c r="D230" i="2"/>
  <c r="K230" i="2"/>
  <c r="J230" i="2"/>
  <c r="G230" i="2"/>
  <c r="F230" i="2"/>
  <c r="B230" i="2"/>
  <c r="I230" i="2"/>
  <c r="K374" i="2"/>
  <c r="G374" i="2"/>
  <c r="C374" i="2"/>
  <c r="F374" i="2"/>
  <c r="H374" i="2"/>
  <c r="E374" i="2"/>
  <c r="J374" i="2"/>
  <c r="I374" i="2"/>
  <c r="D374" i="2"/>
  <c r="A374" i="2"/>
  <c r="B374" i="2"/>
  <c r="I394" i="2"/>
  <c r="H394" i="2"/>
  <c r="D394" i="2"/>
  <c r="B394" i="2"/>
  <c r="A394" i="2"/>
  <c r="G394" i="2"/>
  <c r="E394" i="2"/>
  <c r="F394" i="2"/>
  <c r="C394" i="2"/>
  <c r="K394" i="2"/>
  <c r="J394" i="2"/>
  <c r="A361" i="2"/>
  <c r="E361" i="2"/>
  <c r="I361" i="2"/>
  <c r="G361" i="2"/>
  <c r="F361" i="2"/>
  <c r="C361" i="2"/>
  <c r="D361" i="2"/>
  <c r="B361" i="2"/>
  <c r="J361" i="2"/>
  <c r="K361" i="2"/>
  <c r="H361" i="2"/>
  <c r="K472" i="2"/>
  <c r="G472" i="2"/>
  <c r="C472" i="2"/>
  <c r="I472" i="2"/>
  <c r="E472" i="2"/>
  <c r="B472" i="2"/>
  <c r="J472" i="2"/>
  <c r="H472" i="2"/>
  <c r="A472" i="2"/>
  <c r="D472" i="2"/>
  <c r="F472" i="2"/>
  <c r="C384" i="2"/>
  <c r="H384" i="2"/>
  <c r="D384" i="2"/>
  <c r="J384" i="2"/>
  <c r="K384" i="2"/>
  <c r="E384" i="2"/>
  <c r="I384" i="2"/>
  <c r="B384" i="2"/>
  <c r="G384" i="2"/>
  <c r="F384" i="2"/>
  <c r="A384" i="2"/>
  <c r="E420" i="2"/>
  <c r="I420" i="2"/>
  <c r="G420" i="2"/>
  <c r="F420" i="2"/>
  <c r="C420" i="2"/>
  <c r="K420" i="2"/>
  <c r="J420" i="2"/>
  <c r="H420" i="2"/>
  <c r="D420" i="2"/>
  <c r="B420" i="2"/>
  <c r="A420" i="2"/>
  <c r="G311" i="2"/>
  <c r="B311" i="2"/>
  <c r="E311" i="2"/>
  <c r="A311" i="2"/>
  <c r="I311" i="2"/>
  <c r="F311" i="2"/>
  <c r="K311" i="2"/>
  <c r="J311" i="2"/>
  <c r="H311" i="2"/>
  <c r="D311" i="2"/>
  <c r="C311" i="2"/>
  <c r="G477" i="2"/>
  <c r="H477" i="2"/>
  <c r="C477" i="2"/>
  <c r="J477" i="2"/>
  <c r="I477" i="2"/>
  <c r="E477" i="2"/>
  <c r="A477" i="2"/>
  <c r="B477" i="2"/>
  <c r="K477" i="2"/>
  <c r="F477" i="2"/>
  <c r="D477" i="2"/>
  <c r="C281" i="2"/>
  <c r="F281" i="2"/>
  <c r="K281" i="2"/>
  <c r="J281" i="2"/>
  <c r="I281" i="2"/>
  <c r="H281" i="2"/>
  <c r="G281" i="2"/>
  <c r="E281" i="2"/>
  <c r="D281" i="2"/>
  <c r="A281" i="2"/>
  <c r="B281" i="2"/>
  <c r="A460" i="2"/>
  <c r="K460" i="2"/>
  <c r="C460" i="2"/>
  <c r="B460" i="2"/>
  <c r="H460" i="2"/>
  <c r="I460" i="2"/>
  <c r="J460" i="2"/>
  <c r="G460" i="2"/>
  <c r="F460" i="2"/>
  <c r="E460" i="2"/>
  <c r="D460" i="2"/>
  <c r="H410" i="2"/>
  <c r="D410" i="2"/>
  <c r="C410" i="2"/>
  <c r="A410" i="2"/>
  <c r="K410" i="2"/>
  <c r="J410" i="2"/>
  <c r="I410" i="2"/>
  <c r="B410" i="2"/>
  <c r="F410" i="2"/>
  <c r="E410" i="2"/>
  <c r="G410" i="2"/>
  <c r="G246" i="2"/>
  <c r="E246" i="2"/>
  <c r="D246" i="2"/>
  <c r="C246" i="2"/>
  <c r="K246" i="2"/>
  <c r="J246" i="2"/>
  <c r="A246" i="2"/>
  <c r="I246" i="2"/>
  <c r="H246" i="2"/>
  <c r="F246" i="2"/>
  <c r="B246" i="2"/>
  <c r="E462" i="2"/>
  <c r="G462" i="2"/>
  <c r="B462" i="2"/>
  <c r="J462" i="2"/>
  <c r="F462" i="2"/>
  <c r="A462" i="2"/>
  <c r="I462" i="2"/>
  <c r="H462" i="2"/>
  <c r="D462" i="2"/>
  <c r="C462" i="2"/>
  <c r="K462" i="2"/>
  <c r="K493" i="2"/>
  <c r="G493" i="2"/>
  <c r="J493" i="2"/>
  <c r="I493" i="2"/>
  <c r="F493" i="2"/>
  <c r="C493" i="2"/>
  <c r="A493" i="2"/>
  <c r="H493" i="2"/>
  <c r="E493" i="2"/>
  <c r="D493" i="2"/>
  <c r="B493" i="2"/>
  <c r="K30" i="2"/>
  <c r="G30" i="2"/>
  <c r="C30" i="2"/>
  <c r="F30" i="2"/>
  <c r="E30" i="2"/>
  <c r="A30" i="2"/>
  <c r="D30" i="2"/>
  <c r="B30" i="2"/>
  <c r="J30" i="2"/>
  <c r="H30" i="2"/>
  <c r="I30" i="2"/>
  <c r="E69" i="2"/>
  <c r="A69" i="2"/>
  <c r="K69" i="2"/>
  <c r="F69" i="2"/>
  <c r="C69" i="2"/>
  <c r="J69" i="2"/>
  <c r="G69" i="2"/>
  <c r="D69" i="2"/>
  <c r="B69" i="2"/>
  <c r="H69" i="2"/>
  <c r="I69" i="2"/>
  <c r="I401" i="2"/>
  <c r="K401" i="2"/>
  <c r="F401" i="2"/>
  <c r="E401" i="2"/>
  <c r="C401" i="2"/>
  <c r="J401" i="2"/>
  <c r="H401" i="2"/>
  <c r="G401" i="2"/>
  <c r="D401" i="2"/>
  <c r="A401" i="2"/>
  <c r="B401" i="2"/>
  <c r="E181" i="2"/>
  <c r="G181" i="2"/>
  <c r="B181" i="2"/>
  <c r="K181" i="2"/>
  <c r="J181" i="2"/>
  <c r="I181" i="2"/>
  <c r="D181" i="2"/>
  <c r="C181" i="2"/>
  <c r="H181" i="2"/>
  <c r="F181" i="2"/>
  <c r="A181" i="2"/>
  <c r="K86" i="2"/>
  <c r="G86" i="2"/>
  <c r="C86" i="2"/>
  <c r="B86" i="2"/>
  <c r="F86" i="2"/>
  <c r="E86" i="2"/>
  <c r="D86" i="2"/>
  <c r="A86" i="2"/>
  <c r="H86" i="2"/>
  <c r="J86" i="2"/>
  <c r="I86" i="2"/>
  <c r="E90" i="2"/>
  <c r="A90" i="2"/>
  <c r="K90" i="2"/>
  <c r="C90" i="2"/>
  <c r="H90" i="2"/>
  <c r="D90" i="2"/>
  <c r="B90" i="2"/>
  <c r="I90" i="2"/>
  <c r="F90" i="2"/>
  <c r="J90" i="2"/>
  <c r="G90" i="2"/>
  <c r="C138" i="2"/>
  <c r="I138" i="2"/>
  <c r="H138" i="2"/>
  <c r="K138" i="2"/>
  <c r="J138" i="2"/>
  <c r="G138" i="2"/>
  <c r="F138" i="2"/>
  <c r="D138" i="2"/>
  <c r="A138" i="2"/>
  <c r="E138" i="2"/>
  <c r="B138" i="2"/>
  <c r="A32" i="2"/>
  <c r="K32" i="2"/>
  <c r="G32" i="2"/>
  <c r="D32" i="2"/>
  <c r="B32" i="2"/>
  <c r="J32" i="2"/>
  <c r="I32" i="2"/>
  <c r="H32" i="2"/>
  <c r="F32" i="2"/>
  <c r="E32" i="2"/>
  <c r="C32" i="2"/>
  <c r="C47" i="2"/>
  <c r="I47" i="2"/>
  <c r="B47" i="2"/>
  <c r="K47" i="2"/>
  <c r="J47" i="2"/>
  <c r="H47" i="2"/>
  <c r="G47" i="2"/>
  <c r="F47" i="2"/>
  <c r="E47" i="2"/>
  <c r="D47" i="2"/>
  <c r="A47" i="2"/>
  <c r="E125" i="2"/>
  <c r="A125" i="2"/>
  <c r="K125" i="2"/>
  <c r="J125" i="2"/>
  <c r="I125" i="2"/>
  <c r="H125" i="2"/>
  <c r="D125" i="2"/>
  <c r="B125" i="2"/>
  <c r="G125" i="2"/>
  <c r="F125" i="2"/>
  <c r="C125" i="2"/>
  <c r="G91" i="2"/>
  <c r="C91" i="2"/>
  <c r="I91" i="2"/>
  <c r="F91" i="2"/>
  <c r="K91" i="2"/>
  <c r="J91" i="2"/>
  <c r="H91" i="2"/>
  <c r="E91" i="2"/>
  <c r="D91" i="2"/>
  <c r="B91" i="2"/>
  <c r="A91" i="2"/>
  <c r="A60" i="2"/>
  <c r="K60" i="2"/>
  <c r="G60" i="2"/>
  <c r="D60" i="2"/>
  <c r="H60" i="2"/>
  <c r="F60" i="2"/>
  <c r="E60" i="2"/>
  <c r="C60" i="2"/>
  <c r="B60" i="2"/>
  <c r="I60" i="2"/>
  <c r="J60" i="2"/>
  <c r="E201" i="2"/>
  <c r="C201" i="2"/>
  <c r="K201" i="2"/>
  <c r="G201" i="2"/>
  <c r="D201" i="2"/>
  <c r="A201" i="2"/>
  <c r="J201" i="2"/>
  <c r="I201" i="2"/>
  <c r="H201" i="2"/>
  <c r="B201" i="2"/>
  <c r="F201" i="2"/>
  <c r="A144" i="2"/>
  <c r="K144" i="2"/>
  <c r="G144" i="2"/>
  <c r="F144" i="2"/>
  <c r="J144" i="2"/>
  <c r="H144" i="2"/>
  <c r="E144" i="2"/>
  <c r="D144" i="2"/>
  <c r="C144" i="2"/>
  <c r="I144" i="2"/>
  <c r="B144" i="2"/>
  <c r="K128" i="2"/>
  <c r="G128" i="2"/>
  <c r="C128" i="2"/>
  <c r="B128" i="2"/>
  <c r="J128" i="2"/>
  <c r="F128" i="2"/>
  <c r="D128" i="2"/>
  <c r="I128" i="2"/>
  <c r="H128" i="2"/>
  <c r="E128" i="2"/>
  <c r="A128" i="2"/>
  <c r="H168" i="2"/>
  <c r="G168" i="2"/>
  <c r="F168" i="2"/>
  <c r="C168" i="2"/>
  <c r="B168" i="2"/>
  <c r="K168" i="2"/>
  <c r="J168" i="2"/>
  <c r="I168" i="2"/>
  <c r="D168" i="2"/>
  <c r="A168" i="2"/>
  <c r="E168" i="2"/>
  <c r="K212" i="2"/>
  <c r="I212" i="2"/>
  <c r="F212" i="2"/>
  <c r="E212" i="2"/>
  <c r="D212" i="2"/>
  <c r="C212" i="2"/>
  <c r="B212" i="2"/>
  <c r="A212" i="2"/>
  <c r="J212" i="2"/>
  <c r="H212" i="2"/>
  <c r="G212" i="2"/>
  <c r="F229" i="2"/>
  <c r="K229" i="2"/>
  <c r="J229" i="2"/>
  <c r="I229" i="2"/>
  <c r="H229" i="2"/>
  <c r="G229" i="2"/>
  <c r="E229" i="2"/>
  <c r="D229" i="2"/>
  <c r="C229" i="2"/>
  <c r="B229" i="2"/>
  <c r="A229" i="2"/>
  <c r="K170" i="2"/>
  <c r="J170" i="2"/>
  <c r="G170" i="2"/>
  <c r="F170" i="2"/>
  <c r="D170" i="2"/>
  <c r="C170" i="2"/>
  <c r="B170" i="2"/>
  <c r="H170" i="2"/>
  <c r="E170" i="2"/>
  <c r="A170" i="2"/>
  <c r="I170" i="2"/>
  <c r="E215" i="2"/>
  <c r="C215" i="2"/>
  <c r="G215" i="2"/>
  <c r="B215" i="2"/>
  <c r="A215" i="2"/>
  <c r="K215" i="2"/>
  <c r="J215" i="2"/>
  <c r="I215" i="2"/>
  <c r="H215" i="2"/>
  <c r="F215" i="2"/>
  <c r="D215" i="2"/>
  <c r="H237" i="2"/>
  <c r="J237" i="2"/>
  <c r="B237" i="2"/>
  <c r="K237" i="2"/>
  <c r="C237" i="2"/>
  <c r="A237" i="2"/>
  <c r="I237" i="2"/>
  <c r="G237" i="2"/>
  <c r="F237" i="2"/>
  <c r="E237" i="2"/>
  <c r="D237" i="2"/>
  <c r="E392" i="2"/>
  <c r="B392" i="2"/>
  <c r="I392" i="2"/>
  <c r="H392" i="2"/>
  <c r="F392" i="2"/>
  <c r="A392" i="2"/>
  <c r="G392" i="2"/>
  <c r="J392" i="2"/>
  <c r="D392" i="2"/>
  <c r="K392" i="2"/>
  <c r="C392" i="2"/>
  <c r="J266" i="2"/>
  <c r="H266" i="2"/>
  <c r="A266" i="2"/>
  <c r="E266" i="2"/>
  <c r="C266" i="2"/>
  <c r="I266" i="2"/>
  <c r="G266" i="2"/>
  <c r="F266" i="2"/>
  <c r="D266" i="2"/>
  <c r="B266" i="2"/>
  <c r="K266" i="2"/>
  <c r="G216" i="2"/>
  <c r="E216" i="2"/>
  <c r="K216" i="2"/>
  <c r="H216" i="2"/>
  <c r="F216" i="2"/>
  <c r="D216" i="2"/>
  <c r="C216" i="2"/>
  <c r="B216" i="2"/>
  <c r="A216" i="2"/>
  <c r="J216" i="2"/>
  <c r="I216" i="2"/>
  <c r="G304" i="2"/>
  <c r="B304" i="2"/>
  <c r="H304" i="2"/>
  <c r="J304" i="2"/>
  <c r="K304" i="2"/>
  <c r="F304" i="2"/>
  <c r="A304" i="2"/>
  <c r="D304" i="2"/>
  <c r="I304" i="2"/>
  <c r="C304" i="2"/>
  <c r="E304" i="2"/>
  <c r="C391" i="2"/>
  <c r="J391" i="2"/>
  <c r="D391" i="2"/>
  <c r="B391" i="2"/>
  <c r="G391" i="2"/>
  <c r="F391" i="2"/>
  <c r="E391" i="2"/>
  <c r="A391" i="2"/>
  <c r="K391" i="2"/>
  <c r="I391" i="2"/>
  <c r="H391" i="2"/>
  <c r="E441" i="2"/>
  <c r="B441" i="2"/>
  <c r="A441" i="2"/>
  <c r="K441" i="2"/>
  <c r="H441" i="2"/>
  <c r="F441" i="2"/>
  <c r="D441" i="2"/>
  <c r="J441" i="2"/>
  <c r="I441" i="2"/>
  <c r="G441" i="2"/>
  <c r="C441" i="2"/>
  <c r="K313" i="2"/>
  <c r="F313" i="2"/>
  <c r="E313" i="2"/>
  <c r="D313" i="2"/>
  <c r="B313" i="2"/>
  <c r="A313" i="2"/>
  <c r="J313" i="2"/>
  <c r="I313" i="2"/>
  <c r="H313" i="2"/>
  <c r="C313" i="2"/>
  <c r="G313" i="2"/>
  <c r="E483" i="2"/>
  <c r="K483" i="2"/>
  <c r="G483" i="2"/>
  <c r="H483" i="2"/>
  <c r="F483" i="2"/>
  <c r="C483" i="2"/>
  <c r="I483" i="2"/>
  <c r="D483" i="2"/>
  <c r="B483" i="2"/>
  <c r="J483" i="2"/>
  <c r="A483" i="2"/>
  <c r="G421" i="2"/>
  <c r="A421" i="2"/>
  <c r="K421" i="2"/>
  <c r="I421" i="2"/>
  <c r="E421" i="2"/>
  <c r="B421" i="2"/>
  <c r="J421" i="2"/>
  <c r="H421" i="2"/>
  <c r="F421" i="2"/>
  <c r="C421" i="2"/>
  <c r="D421" i="2"/>
  <c r="J233" i="2"/>
  <c r="F233" i="2"/>
  <c r="E233" i="2"/>
  <c r="B233" i="2"/>
  <c r="A233" i="2"/>
  <c r="K233" i="2"/>
  <c r="I233" i="2"/>
  <c r="H233" i="2"/>
  <c r="G233" i="2"/>
  <c r="D233" i="2"/>
  <c r="C233" i="2"/>
  <c r="K267" i="2"/>
  <c r="D267" i="2"/>
  <c r="F267" i="2"/>
  <c r="I267" i="2"/>
  <c r="A267" i="2"/>
  <c r="C267" i="2"/>
  <c r="E267" i="2"/>
  <c r="B267" i="2"/>
  <c r="G267" i="2"/>
  <c r="J267" i="2"/>
  <c r="H267" i="2"/>
  <c r="C405" i="2"/>
  <c r="H405" i="2"/>
  <c r="K405" i="2"/>
  <c r="J405" i="2"/>
  <c r="G405" i="2"/>
  <c r="D405" i="2"/>
  <c r="I405" i="2"/>
  <c r="F405" i="2"/>
  <c r="E405" i="2"/>
  <c r="B405" i="2"/>
  <c r="A405" i="2"/>
  <c r="E15" i="4"/>
  <c r="K465" i="2"/>
  <c r="A465" i="2"/>
  <c r="J465" i="2"/>
  <c r="H465" i="2"/>
  <c r="E465" i="2"/>
  <c r="B465" i="2"/>
  <c r="D465" i="2"/>
  <c r="G465" i="2"/>
  <c r="C465" i="2"/>
  <c r="I465" i="2"/>
  <c r="F465" i="2"/>
  <c r="H265" i="2"/>
  <c r="E265" i="2"/>
  <c r="C265" i="2"/>
  <c r="F265" i="2"/>
  <c r="B265" i="2"/>
  <c r="A265" i="2"/>
  <c r="K265" i="2"/>
  <c r="J265" i="2"/>
  <c r="I265" i="2"/>
  <c r="G265" i="2"/>
  <c r="D265" i="2"/>
  <c r="K500" i="2"/>
  <c r="C500" i="2"/>
  <c r="J500" i="2"/>
  <c r="G500" i="2"/>
  <c r="E500" i="2"/>
  <c r="D500" i="2"/>
  <c r="B500" i="2"/>
  <c r="H500" i="2"/>
  <c r="I500" i="2"/>
  <c r="F500" i="2"/>
  <c r="A500" i="2"/>
  <c r="C316" i="2"/>
  <c r="B316" i="2"/>
  <c r="J316" i="2"/>
  <c r="H316" i="2"/>
  <c r="K316" i="2"/>
  <c r="G316" i="2"/>
  <c r="A316" i="2"/>
  <c r="E316" i="2"/>
  <c r="F316" i="2"/>
  <c r="I316" i="2"/>
  <c r="D316" i="2"/>
  <c r="C447" i="2"/>
  <c r="F447" i="2"/>
  <c r="A447" i="2"/>
  <c r="J447" i="2"/>
  <c r="G447" i="2"/>
  <c r="B447" i="2"/>
  <c r="H447" i="2"/>
  <c r="K447" i="2"/>
  <c r="I447" i="2"/>
  <c r="E447" i="2"/>
  <c r="D447" i="2"/>
  <c r="K23" i="2"/>
  <c r="G23" i="2"/>
  <c r="C23" i="2"/>
  <c r="A23" i="2"/>
  <c r="E23" i="2"/>
  <c r="B23" i="2"/>
  <c r="J23" i="2"/>
  <c r="I23" i="2"/>
  <c r="H23" i="2"/>
  <c r="F23" i="2"/>
  <c r="D23" i="2"/>
  <c r="C89" i="2"/>
  <c r="I89" i="2"/>
  <c r="B89" i="2"/>
  <c r="K89" i="2"/>
  <c r="J89" i="2"/>
  <c r="H89" i="2"/>
  <c r="G89" i="2"/>
  <c r="F89" i="2"/>
  <c r="E89" i="2"/>
  <c r="D89" i="2"/>
  <c r="A89" i="2"/>
  <c r="E406" i="2"/>
  <c r="K406" i="2"/>
  <c r="I406" i="2"/>
  <c r="J406" i="2"/>
  <c r="A406" i="2"/>
  <c r="F406" i="2"/>
  <c r="C406" i="2"/>
  <c r="B406" i="2"/>
  <c r="G406" i="2"/>
  <c r="H406" i="2"/>
  <c r="D406" i="2"/>
  <c r="I36" i="2"/>
  <c r="E36" i="2"/>
  <c r="A36" i="2"/>
  <c r="F36" i="2"/>
  <c r="D36" i="2"/>
  <c r="C36" i="2"/>
  <c r="B36" i="2"/>
  <c r="J36" i="2"/>
  <c r="G36" i="2"/>
  <c r="K36" i="2"/>
  <c r="H36" i="2"/>
  <c r="E118" i="2"/>
  <c r="A118" i="2"/>
  <c r="K118" i="2"/>
  <c r="F118" i="2"/>
  <c r="D118" i="2"/>
  <c r="C118" i="2"/>
  <c r="J118" i="2"/>
  <c r="I118" i="2"/>
  <c r="H118" i="2"/>
  <c r="G118" i="2"/>
  <c r="B118" i="2"/>
  <c r="E10" i="2"/>
  <c r="H10" i="2"/>
  <c r="G10" i="2"/>
  <c r="B10" i="2"/>
  <c r="F10" i="2"/>
  <c r="D10" i="2"/>
  <c r="C10" i="2"/>
  <c r="K10" i="2"/>
  <c r="I10" i="2"/>
  <c r="A10" i="2"/>
  <c r="J10" i="2"/>
  <c r="K121" i="2"/>
  <c r="G121" i="2"/>
  <c r="C121" i="2"/>
  <c r="E121" i="2"/>
  <c r="D121" i="2"/>
  <c r="B121" i="2"/>
  <c r="J121" i="2"/>
  <c r="I121" i="2"/>
  <c r="H121" i="2"/>
  <c r="F121" i="2"/>
  <c r="A121" i="2"/>
  <c r="K299" i="2"/>
  <c r="F299" i="2"/>
  <c r="J299" i="2"/>
  <c r="B299" i="2"/>
  <c r="H299" i="2"/>
  <c r="E299" i="2"/>
  <c r="A299" i="2"/>
  <c r="I299" i="2"/>
  <c r="D299" i="2"/>
  <c r="C299" i="2"/>
  <c r="G299" i="2"/>
  <c r="G332" i="2"/>
  <c r="B332" i="2"/>
  <c r="F332" i="2"/>
  <c r="H332" i="2"/>
  <c r="D332" i="2"/>
  <c r="C332" i="2"/>
  <c r="A332" i="2"/>
  <c r="K332" i="2"/>
  <c r="J332" i="2"/>
  <c r="I332" i="2"/>
  <c r="E332" i="2"/>
  <c r="C475" i="2"/>
  <c r="A475" i="2"/>
  <c r="K475" i="2"/>
  <c r="H475" i="2"/>
  <c r="F475" i="2"/>
  <c r="E475" i="2"/>
  <c r="J475" i="2"/>
  <c r="I475" i="2"/>
  <c r="B475" i="2"/>
  <c r="G475" i="2"/>
  <c r="D475" i="2"/>
  <c r="G484" i="2"/>
  <c r="J484" i="2"/>
  <c r="I484" i="2"/>
  <c r="E484" i="2"/>
  <c r="C484" i="2"/>
  <c r="B484" i="2"/>
  <c r="K484" i="2"/>
  <c r="D484" i="2"/>
  <c r="H484" i="2"/>
  <c r="A484" i="2"/>
  <c r="F484" i="2"/>
  <c r="G372" i="2"/>
  <c r="A372" i="2"/>
  <c r="C372" i="2"/>
  <c r="B372" i="2"/>
  <c r="I372" i="2"/>
  <c r="E372" i="2"/>
  <c r="K372" i="2"/>
  <c r="H372" i="2"/>
  <c r="D372" i="2"/>
  <c r="J372" i="2"/>
  <c r="F372" i="2"/>
  <c r="C124" i="2"/>
  <c r="I124" i="2"/>
  <c r="E124" i="2"/>
  <c r="D124" i="2"/>
  <c r="B124" i="2"/>
  <c r="K124" i="2"/>
  <c r="J124" i="2"/>
  <c r="H124" i="2"/>
  <c r="G124" i="2"/>
  <c r="F124" i="2"/>
  <c r="A124" i="2"/>
  <c r="G188" i="2"/>
  <c r="E188" i="2"/>
  <c r="C188" i="2"/>
  <c r="K188" i="2"/>
  <c r="J188" i="2"/>
  <c r="I188" i="2"/>
  <c r="F188" i="2"/>
  <c r="D188" i="2"/>
  <c r="B188" i="2"/>
  <c r="A188" i="2"/>
  <c r="H188" i="2"/>
  <c r="E335" i="2"/>
  <c r="J335" i="2"/>
  <c r="D335" i="2"/>
  <c r="A335" i="2"/>
  <c r="K335" i="2"/>
  <c r="G335" i="2"/>
  <c r="C335" i="2"/>
  <c r="I335" i="2"/>
  <c r="H335" i="2"/>
  <c r="F335" i="2"/>
  <c r="B335" i="2"/>
  <c r="C355" i="2"/>
  <c r="A355" i="2"/>
  <c r="K355" i="2"/>
  <c r="J355" i="2"/>
  <c r="B355" i="2"/>
  <c r="G355" i="2"/>
  <c r="F355" i="2"/>
  <c r="D355" i="2"/>
  <c r="I355" i="2"/>
  <c r="H355" i="2"/>
  <c r="E355" i="2"/>
  <c r="C482" i="2"/>
  <c r="H482" i="2"/>
  <c r="D482" i="2"/>
  <c r="A482" i="2"/>
  <c r="J482" i="2"/>
  <c r="I482" i="2"/>
  <c r="E482" i="2"/>
  <c r="G482" i="2"/>
  <c r="K482" i="2"/>
  <c r="F482" i="2"/>
  <c r="B482" i="2"/>
  <c r="K437" i="2"/>
  <c r="E437" i="2"/>
  <c r="A437" i="2"/>
  <c r="J437" i="2"/>
  <c r="G437" i="2"/>
  <c r="C437" i="2"/>
  <c r="F437" i="2"/>
  <c r="I437" i="2"/>
  <c r="H437" i="2"/>
  <c r="D437" i="2"/>
  <c r="B437" i="2"/>
  <c r="B431" i="2"/>
  <c r="K431" i="2"/>
  <c r="H431" i="2"/>
  <c r="E431" i="2"/>
  <c r="C431" i="2"/>
  <c r="J431" i="2"/>
  <c r="A431" i="2"/>
  <c r="F431" i="2"/>
  <c r="D431" i="2"/>
  <c r="I431" i="2"/>
  <c r="G431" i="2"/>
  <c r="I443" i="2"/>
  <c r="H443" i="2"/>
  <c r="D443" i="2"/>
  <c r="J443" i="2"/>
  <c r="E443" i="2"/>
  <c r="A443" i="2"/>
  <c r="G443" i="2"/>
  <c r="F443" i="2"/>
  <c r="K443" i="2"/>
  <c r="C443" i="2"/>
  <c r="B443" i="2"/>
  <c r="E9" i="4"/>
  <c r="I422" i="2"/>
  <c r="D422" i="2"/>
  <c r="A422" i="2"/>
  <c r="K422" i="2"/>
  <c r="G422" i="2"/>
  <c r="B422" i="2"/>
  <c r="C422" i="2"/>
  <c r="F422" i="2"/>
  <c r="E422" i="2"/>
  <c r="J422" i="2"/>
  <c r="H422" i="2"/>
  <c r="A130" i="2"/>
  <c r="K130" i="2"/>
  <c r="G130" i="2"/>
  <c r="F130" i="2"/>
  <c r="I130" i="2"/>
  <c r="H130" i="2"/>
  <c r="E130" i="2"/>
  <c r="B130" i="2"/>
  <c r="J130" i="2"/>
  <c r="C130" i="2"/>
  <c r="D130" i="2"/>
  <c r="A418" i="2"/>
  <c r="G418" i="2"/>
  <c r="C418" i="2"/>
  <c r="J418" i="2"/>
  <c r="F418" i="2"/>
  <c r="B418" i="2"/>
  <c r="H418" i="2"/>
  <c r="E418" i="2"/>
  <c r="I418" i="2"/>
  <c r="D418" i="2"/>
  <c r="K418" i="2"/>
  <c r="C377" i="2"/>
  <c r="A377" i="2"/>
  <c r="K377" i="2"/>
  <c r="F377" i="2"/>
  <c r="E377" i="2"/>
  <c r="I377" i="2"/>
  <c r="H377" i="2"/>
  <c r="J377" i="2"/>
  <c r="G377" i="2"/>
  <c r="D377" i="2"/>
  <c r="B377" i="2"/>
  <c r="A481" i="2"/>
  <c r="E481" i="2"/>
  <c r="J481" i="2"/>
  <c r="G481" i="2"/>
  <c r="D481" i="2"/>
  <c r="C481" i="2"/>
  <c r="B481" i="2"/>
  <c r="K481" i="2"/>
  <c r="I481" i="2"/>
  <c r="H481" i="2"/>
  <c r="F481" i="2"/>
  <c r="E497" i="2"/>
  <c r="I497" i="2"/>
  <c r="D497" i="2"/>
  <c r="H497" i="2"/>
  <c r="F497" i="2"/>
  <c r="C497" i="2"/>
  <c r="J497" i="2"/>
  <c r="B497" i="2"/>
  <c r="K497" i="2"/>
  <c r="A497" i="2"/>
  <c r="G497" i="2"/>
  <c r="G297" i="2"/>
  <c r="B297" i="2"/>
  <c r="A297" i="2"/>
  <c r="J297" i="2"/>
  <c r="I297" i="2"/>
  <c r="K297" i="2"/>
  <c r="H297" i="2"/>
  <c r="F297" i="2"/>
  <c r="E297" i="2"/>
  <c r="C297" i="2"/>
  <c r="D297" i="2"/>
  <c r="C468" i="2"/>
  <c r="J468" i="2"/>
  <c r="F468" i="2"/>
  <c r="K468" i="2"/>
  <c r="H468" i="2"/>
  <c r="D468" i="2"/>
  <c r="I468" i="2"/>
  <c r="G468" i="2"/>
  <c r="E468" i="2"/>
  <c r="A468" i="2"/>
  <c r="B468" i="2"/>
  <c r="A18" i="2"/>
  <c r="G18" i="2"/>
  <c r="J18" i="2"/>
  <c r="I18" i="2"/>
  <c r="E18" i="2"/>
  <c r="H18" i="2"/>
  <c r="F18" i="2"/>
  <c r="D18" i="2"/>
  <c r="K18" i="2"/>
  <c r="C18" i="2"/>
  <c r="B18" i="2"/>
  <c r="A88" i="2"/>
  <c r="K88" i="2"/>
  <c r="G88" i="2"/>
  <c r="I88" i="2"/>
  <c r="F88" i="2"/>
  <c r="D88" i="2"/>
  <c r="C88" i="2"/>
  <c r="J88" i="2"/>
  <c r="E88" i="2"/>
  <c r="B88" i="2"/>
  <c r="H88" i="2"/>
  <c r="I99" i="2"/>
  <c r="E99" i="2"/>
  <c r="A99" i="2"/>
  <c r="B99" i="2"/>
  <c r="K99" i="2"/>
  <c r="H99" i="2"/>
  <c r="G99" i="2"/>
  <c r="F99" i="2"/>
  <c r="J99" i="2"/>
  <c r="C99" i="2"/>
  <c r="D99" i="2"/>
  <c r="C54" i="2"/>
  <c r="I54" i="2"/>
  <c r="D54" i="2"/>
  <c r="B54" i="2"/>
  <c r="A54" i="2"/>
  <c r="E54" i="2"/>
  <c r="G54" i="2"/>
  <c r="K54" i="2"/>
  <c r="J54" i="2"/>
  <c r="H54" i="2"/>
  <c r="F54" i="2"/>
  <c r="I59" i="2"/>
  <c r="E59" i="2"/>
  <c r="A59" i="2"/>
  <c r="B59" i="2"/>
  <c r="D59" i="2"/>
  <c r="K59" i="2"/>
  <c r="J59" i="2"/>
  <c r="H59" i="2"/>
  <c r="G59" i="2"/>
  <c r="F59" i="2"/>
  <c r="C59" i="2"/>
  <c r="G56" i="2"/>
  <c r="C56" i="2"/>
  <c r="B56" i="2"/>
  <c r="K56" i="2"/>
  <c r="J56" i="2"/>
  <c r="I56" i="2"/>
  <c r="H56" i="2"/>
  <c r="F56" i="2"/>
  <c r="E56" i="2"/>
  <c r="D56" i="2"/>
  <c r="A56" i="2"/>
  <c r="I43" i="2"/>
  <c r="E43" i="2"/>
  <c r="A43" i="2"/>
  <c r="K43" i="2"/>
  <c r="J43" i="2"/>
  <c r="H43" i="2"/>
  <c r="G43" i="2"/>
  <c r="F43" i="2"/>
  <c r="D43" i="2"/>
  <c r="C43" i="2"/>
  <c r="B43" i="2"/>
  <c r="A11" i="2"/>
  <c r="G11" i="2"/>
  <c r="K11" i="2"/>
  <c r="F11" i="2"/>
  <c r="J11" i="2"/>
  <c r="I11" i="2"/>
  <c r="H11" i="2"/>
  <c r="E11" i="2"/>
  <c r="D11" i="2"/>
  <c r="C11" i="2"/>
  <c r="B11" i="2"/>
  <c r="C103" i="2"/>
  <c r="I103" i="2"/>
  <c r="G103" i="2"/>
  <c r="E103" i="2"/>
  <c r="H103" i="2"/>
  <c r="F103" i="2"/>
  <c r="D103" i="2"/>
  <c r="B103" i="2"/>
  <c r="J103" i="2"/>
  <c r="A103" i="2"/>
  <c r="K103" i="2"/>
  <c r="E208" i="2"/>
  <c r="C208" i="2"/>
  <c r="I208" i="2"/>
  <c r="F208" i="2"/>
  <c r="D208" i="2"/>
  <c r="A208" i="2"/>
  <c r="H208" i="2"/>
  <c r="G208" i="2"/>
  <c r="B208" i="2"/>
  <c r="K208" i="2"/>
  <c r="J208" i="2"/>
  <c r="I155" i="2"/>
  <c r="E155" i="2"/>
  <c r="D155" i="2"/>
  <c r="B155" i="2"/>
  <c r="A155" i="2"/>
  <c r="K155" i="2"/>
  <c r="H155" i="2"/>
  <c r="G155" i="2"/>
  <c r="F155" i="2"/>
  <c r="C155" i="2"/>
  <c r="J155" i="2"/>
  <c r="I141" i="2"/>
  <c r="E141" i="2"/>
  <c r="A141" i="2"/>
  <c r="K141" i="2"/>
  <c r="J141" i="2"/>
  <c r="G141" i="2"/>
  <c r="D141" i="2"/>
  <c r="C141" i="2"/>
  <c r="B141" i="2"/>
  <c r="F141" i="2"/>
  <c r="H141" i="2"/>
  <c r="G126" i="2"/>
  <c r="C126" i="2"/>
  <c r="J126" i="2"/>
  <c r="H126" i="2"/>
  <c r="E126" i="2"/>
  <c r="D126" i="2"/>
  <c r="B126" i="2"/>
  <c r="A126" i="2"/>
  <c r="F126" i="2"/>
  <c r="K126" i="2"/>
  <c r="I126" i="2"/>
  <c r="D242" i="2"/>
  <c r="J242" i="2"/>
  <c r="B242" i="2"/>
  <c r="K242" i="2"/>
  <c r="H242" i="2"/>
  <c r="G242" i="2"/>
  <c r="F242" i="2"/>
  <c r="A242" i="2"/>
  <c r="I242" i="2"/>
  <c r="E242" i="2"/>
  <c r="C242" i="2"/>
  <c r="A294" i="2"/>
  <c r="J294" i="2"/>
  <c r="E294" i="2"/>
  <c r="G294" i="2"/>
  <c r="D294" i="2"/>
  <c r="B294" i="2"/>
  <c r="F294" i="2"/>
  <c r="H294" i="2"/>
  <c r="C294" i="2"/>
  <c r="K294" i="2"/>
  <c r="I294" i="2"/>
  <c r="K183" i="2"/>
  <c r="I183" i="2"/>
  <c r="J183" i="2"/>
  <c r="G183" i="2"/>
  <c r="E183" i="2"/>
  <c r="H183" i="2"/>
  <c r="F183" i="2"/>
  <c r="B183" i="2"/>
  <c r="A183" i="2"/>
  <c r="D183" i="2"/>
  <c r="C183" i="2"/>
  <c r="F257" i="2"/>
  <c r="K257" i="2"/>
  <c r="C257" i="2"/>
  <c r="G257" i="2"/>
  <c r="D257" i="2"/>
  <c r="E257" i="2"/>
  <c r="B257" i="2"/>
  <c r="J257" i="2"/>
  <c r="I257" i="2"/>
  <c r="H257" i="2"/>
  <c r="A257" i="2"/>
  <c r="B248" i="2"/>
  <c r="F248" i="2"/>
  <c r="I248" i="2"/>
  <c r="G248" i="2"/>
  <c r="A248" i="2"/>
  <c r="C248" i="2"/>
  <c r="K248" i="2"/>
  <c r="J248" i="2"/>
  <c r="H248" i="2"/>
  <c r="E248" i="2"/>
  <c r="D248" i="2"/>
  <c r="D173" i="2"/>
  <c r="C173" i="2"/>
  <c r="B173" i="2"/>
  <c r="J173" i="2"/>
  <c r="I173" i="2"/>
  <c r="H173" i="2"/>
  <c r="E173" i="2"/>
  <c r="A173" i="2"/>
  <c r="G173" i="2"/>
  <c r="K173" i="2"/>
  <c r="F173" i="2"/>
  <c r="H279" i="2"/>
  <c r="E279" i="2"/>
  <c r="D279" i="2"/>
  <c r="B279" i="2"/>
  <c r="J279" i="2"/>
  <c r="I279" i="2"/>
  <c r="G279" i="2"/>
  <c r="F279" i="2"/>
  <c r="C279" i="2"/>
  <c r="A279" i="2"/>
  <c r="K279" i="2"/>
  <c r="J231" i="2"/>
  <c r="F231" i="2"/>
  <c r="D231" i="2"/>
  <c r="E231" i="2"/>
  <c r="K231" i="2"/>
  <c r="G231" i="2"/>
  <c r="C231" i="2"/>
  <c r="B231" i="2"/>
  <c r="A231" i="2"/>
  <c r="H231" i="2"/>
  <c r="I231" i="2"/>
  <c r="K306" i="2"/>
  <c r="F306" i="2"/>
  <c r="H306" i="2"/>
  <c r="D306" i="2"/>
  <c r="G306" i="2"/>
  <c r="C306" i="2"/>
  <c r="A306" i="2"/>
  <c r="E306" i="2"/>
  <c r="J306" i="2"/>
  <c r="I306" i="2"/>
  <c r="B306" i="2"/>
  <c r="K458" i="2"/>
  <c r="I458" i="2"/>
  <c r="E458" i="2"/>
  <c r="H458" i="2"/>
  <c r="G458" i="2"/>
  <c r="D458" i="2"/>
  <c r="A458" i="2"/>
  <c r="F458" i="2"/>
  <c r="C458" i="2"/>
  <c r="J458" i="2"/>
  <c r="B458" i="2"/>
  <c r="I464" i="2"/>
  <c r="H464" i="2"/>
  <c r="F464" i="2"/>
  <c r="E464" i="2"/>
  <c r="C464" i="2"/>
  <c r="B464" i="2"/>
  <c r="A464" i="2"/>
  <c r="D464" i="2"/>
  <c r="K464" i="2"/>
  <c r="J464" i="2"/>
  <c r="G464" i="2"/>
  <c r="A315" i="2"/>
  <c r="J315" i="2"/>
  <c r="F315" i="2"/>
  <c r="K315" i="2"/>
  <c r="B315" i="2"/>
  <c r="C315" i="2"/>
  <c r="I315" i="2"/>
  <c r="H315" i="2"/>
  <c r="G315" i="2"/>
  <c r="E315" i="2"/>
  <c r="D315" i="2"/>
  <c r="C461" i="2"/>
  <c r="D461" i="2"/>
  <c r="H461" i="2"/>
  <c r="G461" i="2"/>
  <c r="E461" i="2"/>
  <c r="K461" i="2"/>
  <c r="J461" i="2"/>
  <c r="B461" i="2"/>
  <c r="F461" i="2"/>
  <c r="A461" i="2"/>
  <c r="I461" i="2"/>
  <c r="I429" i="2"/>
  <c r="K429" i="2"/>
  <c r="F429" i="2"/>
  <c r="D429" i="2"/>
  <c r="C429" i="2"/>
  <c r="A429" i="2"/>
  <c r="J429" i="2"/>
  <c r="E429" i="2"/>
  <c r="B429" i="2"/>
  <c r="H429" i="2"/>
  <c r="G429" i="2"/>
  <c r="C330" i="2"/>
  <c r="F330" i="2"/>
  <c r="B330" i="2"/>
  <c r="K330" i="2"/>
  <c r="D330" i="2"/>
  <c r="A330" i="2"/>
  <c r="J330" i="2"/>
  <c r="I330" i="2"/>
  <c r="H330" i="2"/>
  <c r="G330" i="2"/>
  <c r="E330" i="2"/>
  <c r="E324" i="2"/>
  <c r="D324" i="2"/>
  <c r="H324" i="2"/>
  <c r="C324" i="2"/>
  <c r="A324" i="2"/>
  <c r="J324" i="2"/>
  <c r="I324" i="2"/>
  <c r="K324" i="2"/>
  <c r="G324" i="2"/>
  <c r="B324" i="2"/>
  <c r="F324" i="2"/>
  <c r="I365" i="2"/>
  <c r="C365" i="2"/>
  <c r="B365" i="2"/>
  <c r="G365" i="2"/>
  <c r="A365" i="2"/>
  <c r="H365" i="2"/>
  <c r="E365" i="2"/>
  <c r="K365" i="2"/>
  <c r="F365" i="2"/>
  <c r="J365" i="2"/>
  <c r="D365" i="2"/>
  <c r="K320" i="2"/>
  <c r="F320" i="2"/>
  <c r="C320" i="2"/>
  <c r="H320" i="2"/>
  <c r="G320" i="2"/>
  <c r="D320" i="2"/>
  <c r="E320" i="2"/>
  <c r="B320" i="2"/>
  <c r="J320" i="2"/>
  <c r="A320" i="2"/>
  <c r="I320" i="2"/>
  <c r="F236" i="2"/>
  <c r="G236" i="2"/>
  <c r="J236" i="2"/>
  <c r="B236" i="2"/>
  <c r="H236" i="2"/>
  <c r="E236" i="2"/>
  <c r="D236" i="2"/>
  <c r="C236" i="2"/>
  <c r="A236" i="2"/>
  <c r="K236" i="2"/>
  <c r="I236" i="2"/>
  <c r="C419" i="2"/>
  <c r="J419" i="2"/>
  <c r="F419" i="2"/>
  <c r="A419" i="2"/>
  <c r="H419" i="2"/>
  <c r="I419" i="2"/>
  <c r="D419" i="2"/>
  <c r="B419" i="2"/>
  <c r="K419" i="2"/>
  <c r="G419" i="2"/>
  <c r="E419" i="2"/>
  <c r="C323" i="2"/>
  <c r="H323" i="2"/>
  <c r="J323" i="2"/>
  <c r="A323" i="2"/>
  <c r="G323" i="2"/>
  <c r="F323" i="2"/>
  <c r="E323" i="2"/>
  <c r="I323" i="2"/>
  <c r="D323" i="2"/>
  <c r="B323" i="2"/>
  <c r="K323" i="2"/>
  <c r="K218" i="2"/>
  <c r="I218" i="2"/>
  <c r="D218" i="2"/>
  <c r="C218" i="2"/>
  <c r="J218" i="2"/>
  <c r="H218" i="2"/>
  <c r="B218" i="2"/>
  <c r="A218" i="2"/>
  <c r="G218" i="2"/>
  <c r="E218" i="2"/>
  <c r="F218" i="2"/>
  <c r="C96" i="2"/>
  <c r="I96" i="2"/>
  <c r="B96" i="2"/>
  <c r="K96" i="2"/>
  <c r="H96" i="2"/>
  <c r="G96" i="2"/>
  <c r="J96" i="2"/>
  <c r="F96" i="2"/>
  <c r="E96" i="2"/>
  <c r="D96" i="2"/>
  <c r="A96" i="2"/>
  <c r="A116" i="2"/>
  <c r="K116" i="2"/>
  <c r="G116" i="2"/>
  <c r="J116" i="2"/>
  <c r="I116" i="2"/>
  <c r="E116" i="2"/>
  <c r="C116" i="2"/>
  <c r="H116" i="2"/>
  <c r="F116" i="2"/>
  <c r="D116" i="2"/>
  <c r="B116" i="2"/>
  <c r="G77" i="2"/>
  <c r="C77" i="2"/>
  <c r="D77" i="2"/>
  <c r="A77" i="2"/>
  <c r="F77" i="2"/>
  <c r="K77" i="2"/>
  <c r="J77" i="2"/>
  <c r="B77" i="2"/>
  <c r="I77" i="2"/>
  <c r="H77" i="2"/>
  <c r="E77" i="2"/>
  <c r="I148" i="2"/>
  <c r="E148" i="2"/>
  <c r="D148" i="2"/>
  <c r="A148" i="2"/>
  <c r="K148" i="2"/>
  <c r="J148" i="2"/>
  <c r="H148" i="2"/>
  <c r="G148" i="2"/>
  <c r="F148" i="2"/>
  <c r="B148" i="2"/>
  <c r="C148" i="2"/>
  <c r="C295" i="2"/>
  <c r="I295" i="2"/>
  <c r="A295" i="2"/>
  <c r="D295" i="2"/>
  <c r="K295" i="2"/>
  <c r="J295" i="2"/>
  <c r="H295" i="2"/>
  <c r="G295" i="2"/>
  <c r="F295" i="2"/>
  <c r="E295" i="2"/>
  <c r="B295" i="2"/>
  <c r="K72" i="2"/>
  <c r="G72" i="2"/>
  <c r="C72" i="2"/>
  <c r="E72" i="2"/>
  <c r="B72" i="2"/>
  <c r="J72" i="2"/>
  <c r="I72" i="2"/>
  <c r="H72" i="2"/>
  <c r="F72" i="2"/>
  <c r="D72" i="2"/>
  <c r="A72" i="2"/>
  <c r="B234" i="2"/>
  <c r="H234" i="2"/>
  <c r="A234" i="2"/>
  <c r="F234" i="2"/>
  <c r="J234" i="2"/>
  <c r="I234" i="2"/>
  <c r="G234" i="2"/>
  <c r="E234" i="2"/>
  <c r="D234" i="2"/>
  <c r="C234" i="2"/>
  <c r="K234" i="2"/>
  <c r="H328" i="2"/>
  <c r="E328" i="2"/>
  <c r="G328" i="2"/>
  <c r="A328" i="2"/>
  <c r="K328" i="2"/>
  <c r="B328" i="2"/>
  <c r="J328" i="2"/>
  <c r="I328" i="2"/>
  <c r="F328" i="2"/>
  <c r="C328" i="2"/>
  <c r="D328" i="2"/>
  <c r="K395" i="2"/>
  <c r="G395" i="2"/>
  <c r="H395" i="2"/>
  <c r="F395" i="2"/>
  <c r="D395" i="2"/>
  <c r="A395" i="2"/>
  <c r="I395" i="2"/>
  <c r="E395" i="2"/>
  <c r="B395" i="2"/>
  <c r="J395" i="2"/>
  <c r="C395" i="2"/>
  <c r="G119" i="2"/>
  <c r="C119" i="2"/>
  <c r="K119" i="2"/>
  <c r="J119" i="2"/>
  <c r="I119" i="2"/>
  <c r="E119" i="2"/>
  <c r="B119" i="2"/>
  <c r="H119" i="2"/>
  <c r="F119" i="2"/>
  <c r="D119" i="2"/>
  <c r="A119" i="2"/>
  <c r="G154" i="2"/>
  <c r="C154" i="2"/>
  <c r="B154" i="2"/>
  <c r="H154" i="2"/>
  <c r="F154" i="2"/>
  <c r="E154" i="2"/>
  <c r="D154" i="2"/>
  <c r="A154" i="2"/>
  <c r="J154" i="2"/>
  <c r="K154" i="2"/>
  <c r="I154" i="2"/>
  <c r="G318" i="2"/>
  <c r="B318" i="2"/>
  <c r="K318" i="2"/>
  <c r="C318" i="2"/>
  <c r="D318" i="2"/>
  <c r="I318" i="2"/>
  <c r="F318" i="2"/>
  <c r="A318" i="2"/>
  <c r="H318" i="2"/>
  <c r="J318" i="2"/>
  <c r="E318" i="2"/>
  <c r="I358" i="2"/>
  <c r="K358" i="2"/>
  <c r="E358" i="2"/>
  <c r="J358" i="2"/>
  <c r="A358" i="2"/>
  <c r="B358" i="2"/>
  <c r="H358" i="2"/>
  <c r="G358" i="2"/>
  <c r="D358" i="2"/>
  <c r="F358" i="2"/>
  <c r="C358" i="2"/>
  <c r="K423" i="2"/>
  <c r="G423" i="2"/>
  <c r="C423" i="2"/>
  <c r="F423" i="2"/>
  <c r="E423" i="2"/>
  <c r="B423" i="2"/>
  <c r="A423" i="2"/>
  <c r="I423" i="2"/>
  <c r="J423" i="2"/>
  <c r="H423" i="2"/>
  <c r="D423" i="2"/>
  <c r="G283" i="2"/>
  <c r="B283" i="2"/>
  <c r="F283" i="2"/>
  <c r="K283" i="2"/>
  <c r="J283" i="2"/>
  <c r="I283" i="2"/>
  <c r="H283" i="2"/>
  <c r="E283" i="2"/>
  <c r="C283" i="2"/>
  <c r="D283" i="2"/>
  <c r="A283" i="2"/>
  <c r="J396" i="2"/>
  <c r="I396" i="2"/>
  <c r="F396" i="2"/>
  <c r="G396" i="2"/>
  <c r="E396" i="2"/>
  <c r="K396" i="2"/>
  <c r="D396" i="2"/>
  <c r="C396" i="2"/>
  <c r="B396" i="2"/>
  <c r="A396" i="2"/>
  <c r="H396" i="2"/>
  <c r="G49" i="2"/>
  <c r="C49" i="2"/>
  <c r="J49" i="2"/>
  <c r="I49" i="2"/>
  <c r="H49" i="2"/>
  <c r="F49" i="2"/>
  <c r="E49" i="2"/>
  <c r="D49" i="2"/>
  <c r="B49" i="2"/>
  <c r="A49" i="2"/>
  <c r="K49" i="2"/>
  <c r="I94" i="2"/>
  <c r="E94" i="2"/>
  <c r="H94" i="2"/>
  <c r="F94" i="2"/>
  <c r="D94" i="2"/>
  <c r="C94" i="2"/>
  <c r="K94" i="2"/>
  <c r="B94" i="2"/>
  <c r="A94" i="2"/>
  <c r="G94" i="2"/>
  <c r="J94" i="2"/>
  <c r="I150" i="2"/>
  <c r="H150" i="2"/>
  <c r="E150" i="2"/>
  <c r="D150" i="2"/>
  <c r="K150" i="2"/>
  <c r="J150" i="2"/>
  <c r="G150" i="2"/>
  <c r="F150" i="2"/>
  <c r="C150" i="2"/>
  <c r="B150" i="2"/>
  <c r="A150" i="2"/>
  <c r="I64" i="2"/>
  <c r="E64" i="2"/>
  <c r="A64" i="2"/>
  <c r="J64" i="2"/>
  <c r="B64" i="2"/>
  <c r="C64" i="2"/>
  <c r="F64" i="2"/>
  <c r="K64" i="2"/>
  <c r="H64" i="2"/>
  <c r="G64" i="2"/>
  <c r="D64" i="2"/>
  <c r="I66" i="2"/>
  <c r="E66" i="2"/>
  <c r="C66" i="2"/>
  <c r="K66" i="2"/>
  <c r="B66" i="2"/>
  <c r="J66" i="2"/>
  <c r="H66" i="2"/>
  <c r="G66" i="2"/>
  <c r="F66" i="2"/>
  <c r="D66" i="2"/>
  <c r="A66" i="2"/>
  <c r="G70" i="2"/>
  <c r="C70" i="2"/>
  <c r="K70" i="2"/>
  <c r="I70" i="2"/>
  <c r="J70" i="2"/>
  <c r="H70" i="2"/>
  <c r="F70" i="2"/>
  <c r="E70" i="2"/>
  <c r="D70" i="2"/>
  <c r="B70" i="2"/>
  <c r="A70" i="2"/>
  <c r="G84" i="2"/>
  <c r="C84" i="2"/>
  <c r="D84" i="2"/>
  <c r="A84" i="2"/>
  <c r="I84" i="2"/>
  <c r="H84" i="2"/>
  <c r="F84" i="2"/>
  <c r="E84" i="2"/>
  <c r="B84" i="2"/>
  <c r="J84" i="2"/>
  <c r="K84" i="2"/>
  <c r="G28" i="2"/>
  <c r="C28" i="2"/>
  <c r="K28" i="2"/>
  <c r="H28" i="2"/>
  <c r="J28" i="2"/>
  <c r="I28" i="2"/>
  <c r="F28" i="2"/>
  <c r="E28" i="2"/>
  <c r="D28" i="2"/>
  <c r="B28" i="2"/>
  <c r="A28" i="2"/>
  <c r="I106" i="2"/>
  <c r="E106" i="2"/>
  <c r="A106" i="2"/>
  <c r="G106" i="2"/>
  <c r="D106" i="2"/>
  <c r="B106" i="2"/>
  <c r="F106" i="2"/>
  <c r="K106" i="2"/>
  <c r="J106" i="2"/>
  <c r="H106" i="2"/>
  <c r="C106" i="2"/>
  <c r="D240" i="2"/>
  <c r="K240" i="2"/>
  <c r="I240" i="2"/>
  <c r="H240" i="2"/>
  <c r="E240" i="2"/>
  <c r="C240" i="2"/>
  <c r="B240" i="2"/>
  <c r="A240" i="2"/>
  <c r="G240" i="2"/>
  <c r="F240" i="2"/>
  <c r="J240" i="2"/>
  <c r="C131" i="2"/>
  <c r="I131" i="2"/>
  <c r="H131" i="2"/>
  <c r="J131" i="2"/>
  <c r="F131" i="2"/>
  <c r="D131" i="2"/>
  <c r="B131" i="2"/>
  <c r="K131" i="2"/>
  <c r="G131" i="2"/>
  <c r="E131" i="2"/>
  <c r="A131" i="2"/>
  <c r="E187" i="2"/>
  <c r="C187" i="2"/>
  <c r="K187" i="2"/>
  <c r="I187" i="2"/>
  <c r="G187" i="2"/>
  <c r="H187" i="2"/>
  <c r="F187" i="2"/>
  <c r="D187" i="2"/>
  <c r="J187" i="2"/>
  <c r="B187" i="2"/>
  <c r="A187" i="2"/>
  <c r="G174" i="2"/>
  <c r="F174" i="2"/>
  <c r="E174" i="2"/>
  <c r="B174" i="2"/>
  <c r="A174" i="2"/>
  <c r="K174" i="2"/>
  <c r="I174" i="2"/>
  <c r="H174" i="2"/>
  <c r="D174" i="2"/>
  <c r="C174" i="2"/>
  <c r="J174" i="2"/>
  <c r="C145" i="2"/>
  <c r="I145" i="2"/>
  <c r="H145" i="2"/>
  <c r="E145" i="2"/>
  <c r="D145" i="2"/>
  <c r="B145" i="2"/>
  <c r="A145" i="2"/>
  <c r="K145" i="2"/>
  <c r="G145" i="2"/>
  <c r="J145" i="2"/>
  <c r="F145" i="2"/>
  <c r="I171" i="2"/>
  <c r="H171" i="2"/>
  <c r="F171" i="2"/>
  <c r="E171" i="2"/>
  <c r="D171" i="2"/>
  <c r="K171" i="2"/>
  <c r="J171" i="2"/>
  <c r="G171" i="2"/>
  <c r="C171" i="2"/>
  <c r="A171" i="2"/>
  <c r="B171" i="2"/>
  <c r="I203" i="2"/>
  <c r="G203" i="2"/>
  <c r="C203" i="2"/>
  <c r="K203" i="2"/>
  <c r="J203" i="2"/>
  <c r="H203" i="2"/>
  <c r="F203" i="2"/>
  <c r="D203" i="2"/>
  <c r="B203" i="2"/>
  <c r="A203" i="2"/>
  <c r="E203" i="2"/>
  <c r="K292" i="2"/>
  <c r="F292" i="2"/>
  <c r="D292" i="2"/>
  <c r="A292" i="2"/>
  <c r="J292" i="2"/>
  <c r="H292" i="2"/>
  <c r="B292" i="2"/>
  <c r="E292" i="2"/>
  <c r="G292" i="2"/>
  <c r="I292" i="2"/>
  <c r="C292" i="2"/>
  <c r="J259" i="2"/>
  <c r="B259" i="2"/>
  <c r="I259" i="2"/>
  <c r="D259" i="2"/>
  <c r="C259" i="2"/>
  <c r="K259" i="2"/>
  <c r="H259" i="2"/>
  <c r="G259" i="2"/>
  <c r="F259" i="2"/>
  <c r="E259" i="2"/>
  <c r="A259" i="2"/>
  <c r="K191" i="2"/>
  <c r="A191" i="2"/>
  <c r="I191" i="2"/>
  <c r="G191" i="2"/>
  <c r="E191" i="2"/>
  <c r="D191" i="2"/>
  <c r="C191" i="2"/>
  <c r="J191" i="2"/>
  <c r="H191" i="2"/>
  <c r="F191" i="2"/>
  <c r="B191" i="2"/>
  <c r="I284" i="2"/>
  <c r="D284" i="2"/>
  <c r="K284" i="2"/>
  <c r="B284" i="2"/>
  <c r="A284" i="2"/>
  <c r="E284" i="2"/>
  <c r="C284" i="2"/>
  <c r="G284" i="2"/>
  <c r="H284" i="2"/>
  <c r="F284" i="2"/>
  <c r="J284" i="2"/>
  <c r="J238" i="2"/>
  <c r="E238" i="2"/>
  <c r="F238" i="2"/>
  <c r="C238" i="2"/>
  <c r="K238" i="2"/>
  <c r="G238" i="2"/>
  <c r="D238" i="2"/>
  <c r="B238" i="2"/>
  <c r="A238" i="2"/>
  <c r="I238" i="2"/>
  <c r="H238" i="2"/>
  <c r="A329" i="2"/>
  <c r="J329" i="2"/>
  <c r="I329" i="2"/>
  <c r="B329" i="2"/>
  <c r="E329" i="2"/>
  <c r="K329" i="2"/>
  <c r="G329" i="2"/>
  <c r="D329" i="2"/>
  <c r="H329" i="2"/>
  <c r="F329" i="2"/>
  <c r="C329" i="2"/>
  <c r="E310" i="2"/>
  <c r="I310" i="2"/>
  <c r="A310" i="2"/>
  <c r="C310" i="2"/>
  <c r="B310" i="2"/>
  <c r="J310" i="2"/>
  <c r="F310" i="2"/>
  <c r="K310" i="2"/>
  <c r="H310" i="2"/>
  <c r="G310" i="2"/>
  <c r="D310" i="2"/>
  <c r="C348" i="2"/>
  <c r="J348" i="2"/>
  <c r="E348" i="2"/>
  <c r="G348" i="2"/>
  <c r="I348" i="2"/>
  <c r="F348" i="2"/>
  <c r="D348" i="2"/>
  <c r="B348" i="2"/>
  <c r="K348" i="2"/>
  <c r="H348" i="2"/>
  <c r="A348" i="2"/>
  <c r="E317" i="2"/>
  <c r="G317" i="2"/>
  <c r="F317" i="2"/>
  <c r="C317" i="2"/>
  <c r="B317" i="2"/>
  <c r="A317" i="2"/>
  <c r="K317" i="2"/>
  <c r="J317" i="2"/>
  <c r="I317" i="2"/>
  <c r="H317" i="2"/>
  <c r="D317" i="2"/>
  <c r="G491" i="2"/>
  <c r="E491" i="2"/>
  <c r="A491" i="2"/>
  <c r="J491" i="2"/>
  <c r="H491" i="2"/>
  <c r="F491" i="2"/>
  <c r="C491" i="2"/>
  <c r="B491" i="2"/>
  <c r="K491" i="2"/>
  <c r="I491" i="2"/>
  <c r="D491" i="2"/>
  <c r="H272" i="2"/>
  <c r="D272" i="2"/>
  <c r="I272" i="2"/>
  <c r="F272" i="2"/>
  <c r="G272" i="2"/>
  <c r="K272" i="2"/>
  <c r="J272" i="2"/>
  <c r="E272" i="2"/>
  <c r="C272" i="2"/>
  <c r="B272" i="2"/>
  <c r="A272" i="2"/>
  <c r="A340" i="2"/>
  <c r="J340" i="2"/>
  <c r="F340" i="2"/>
  <c r="C340" i="2"/>
  <c r="E340" i="2"/>
  <c r="D340" i="2"/>
  <c r="B340" i="2"/>
  <c r="H340" i="2"/>
  <c r="I340" i="2"/>
  <c r="K340" i="2"/>
  <c r="G340" i="2"/>
  <c r="K430" i="2"/>
  <c r="I430" i="2"/>
  <c r="J430" i="2"/>
  <c r="H430" i="2"/>
  <c r="F430" i="2"/>
  <c r="C430" i="2"/>
  <c r="A430" i="2"/>
  <c r="G430" i="2"/>
  <c r="E430" i="2"/>
  <c r="D430" i="2"/>
  <c r="B430" i="2"/>
  <c r="J507" i="2"/>
  <c r="F507" i="2"/>
  <c r="B507" i="2"/>
  <c r="A507" i="2"/>
  <c r="I507" i="2"/>
  <c r="H507" i="2"/>
  <c r="G507" i="2"/>
  <c r="E507" i="2"/>
  <c r="C507" i="2"/>
  <c r="K507" i="2"/>
  <c r="D507" i="2"/>
  <c r="F253" i="2"/>
  <c r="B253" i="2"/>
  <c r="D253" i="2"/>
  <c r="I253" i="2"/>
  <c r="H253" i="2"/>
  <c r="C253" i="2"/>
  <c r="A253" i="2"/>
  <c r="K253" i="2"/>
  <c r="J253" i="2"/>
  <c r="G253" i="2"/>
  <c r="E253" i="2"/>
  <c r="C225" i="2"/>
  <c r="A225" i="2"/>
  <c r="H225" i="2"/>
  <c r="G225" i="2"/>
  <c r="D225" i="2"/>
  <c r="B225" i="2"/>
  <c r="K225" i="2"/>
  <c r="J225" i="2"/>
  <c r="I225" i="2"/>
  <c r="E225" i="2"/>
  <c r="F225" i="2"/>
  <c r="A502" i="2"/>
  <c r="I502" i="2"/>
  <c r="E502" i="2"/>
  <c r="H502" i="2"/>
  <c r="G502" i="2"/>
  <c r="F502" i="2"/>
  <c r="D502" i="2"/>
  <c r="J502" i="2"/>
  <c r="B502" i="2"/>
  <c r="K502" i="2"/>
  <c r="C502" i="2"/>
  <c r="I492" i="2"/>
  <c r="H492" i="2"/>
  <c r="D492" i="2"/>
  <c r="E492" i="2"/>
  <c r="C492" i="2"/>
  <c r="A492" i="2"/>
  <c r="G492" i="2"/>
  <c r="F492" i="2"/>
  <c r="B492" i="2"/>
  <c r="K492" i="2"/>
  <c r="J492" i="2"/>
  <c r="I38" i="2"/>
  <c r="E38" i="2"/>
  <c r="C38" i="2"/>
  <c r="K38" i="2"/>
  <c r="A38" i="2"/>
  <c r="J38" i="2"/>
  <c r="H38" i="2"/>
  <c r="G38" i="2"/>
  <c r="F38" i="2"/>
  <c r="D38" i="2"/>
  <c r="B38" i="2"/>
  <c r="E160" i="2"/>
  <c r="A160" i="2"/>
  <c r="K160" i="2"/>
  <c r="J160" i="2"/>
  <c r="H160" i="2"/>
  <c r="G160" i="2"/>
  <c r="F160" i="2"/>
  <c r="D160" i="2"/>
  <c r="C160" i="2"/>
  <c r="B160" i="2"/>
  <c r="I160" i="2"/>
  <c r="E504" i="2"/>
  <c r="K504" i="2"/>
  <c r="B504" i="2"/>
  <c r="A504" i="2"/>
  <c r="I504" i="2"/>
  <c r="H504" i="2"/>
  <c r="G504" i="2"/>
  <c r="F504" i="2"/>
  <c r="J504" i="2"/>
  <c r="D504" i="2"/>
  <c r="C504" i="2"/>
  <c r="G42" i="2"/>
  <c r="C42" i="2"/>
  <c r="E42" i="2"/>
  <c r="D42" i="2"/>
  <c r="B42" i="2"/>
  <c r="A42" i="2"/>
  <c r="I42" i="2"/>
  <c r="F42" i="2"/>
  <c r="K42" i="2"/>
  <c r="J42" i="2"/>
  <c r="H42" i="2"/>
  <c r="I108" i="2"/>
  <c r="E108" i="2"/>
  <c r="A108" i="2"/>
  <c r="J108" i="2"/>
  <c r="G108" i="2"/>
  <c r="F108" i="2"/>
  <c r="D108" i="2"/>
  <c r="C108" i="2"/>
  <c r="B108" i="2"/>
  <c r="H108" i="2"/>
  <c r="K108" i="2"/>
  <c r="C509" i="2"/>
  <c r="D509" i="2"/>
  <c r="B509" i="2"/>
  <c r="K509" i="2"/>
  <c r="H509" i="2"/>
  <c r="F509" i="2"/>
  <c r="E509" i="2"/>
  <c r="A509" i="2"/>
  <c r="I509" i="2"/>
  <c r="G509" i="2"/>
  <c r="J509" i="2"/>
  <c r="I143" i="2"/>
  <c r="E143" i="2"/>
  <c r="D143" i="2"/>
  <c r="J143" i="2"/>
  <c r="H143" i="2"/>
  <c r="G143" i="2"/>
  <c r="F143" i="2"/>
  <c r="B143" i="2"/>
  <c r="K143" i="2"/>
  <c r="C143" i="2"/>
  <c r="A143" i="2"/>
  <c r="C398" i="2"/>
  <c r="F398" i="2"/>
  <c r="A398" i="2"/>
  <c r="H398" i="2"/>
  <c r="G398" i="2"/>
  <c r="D398" i="2"/>
  <c r="J398" i="2"/>
  <c r="I398" i="2"/>
  <c r="B398" i="2"/>
  <c r="K398" i="2"/>
  <c r="E398" i="2"/>
  <c r="G364" i="2"/>
  <c r="I364" i="2"/>
  <c r="J364" i="2"/>
  <c r="A364" i="2"/>
  <c r="C364" i="2"/>
  <c r="K364" i="2"/>
  <c r="H364" i="2"/>
  <c r="F364" i="2"/>
  <c r="B364" i="2"/>
  <c r="E364" i="2"/>
  <c r="D364" i="2"/>
  <c r="I305" i="2"/>
  <c r="D305" i="2"/>
  <c r="C305" i="2"/>
  <c r="K305" i="2"/>
  <c r="H305" i="2"/>
  <c r="G305" i="2"/>
  <c r="F305" i="2"/>
  <c r="E305" i="2"/>
  <c r="B305" i="2"/>
  <c r="A305" i="2"/>
  <c r="J305" i="2"/>
  <c r="I71" i="2"/>
  <c r="E71" i="2"/>
  <c r="A71" i="2"/>
  <c r="D71" i="2"/>
  <c r="F71" i="2"/>
  <c r="C71" i="2"/>
  <c r="B71" i="2"/>
  <c r="G71" i="2"/>
  <c r="J71" i="2"/>
  <c r="K71" i="2"/>
  <c r="H71" i="2"/>
  <c r="A137" i="2"/>
  <c r="K137" i="2"/>
  <c r="G137" i="2"/>
  <c r="F137" i="2"/>
  <c r="C137" i="2"/>
  <c r="B137" i="2"/>
  <c r="J137" i="2"/>
  <c r="I137" i="2"/>
  <c r="H137" i="2"/>
  <c r="D137" i="2"/>
  <c r="E137" i="2"/>
  <c r="K204" i="2"/>
  <c r="I204" i="2"/>
  <c r="G204" i="2"/>
  <c r="C204" i="2"/>
  <c r="A204" i="2"/>
  <c r="J204" i="2"/>
  <c r="H204" i="2"/>
  <c r="F204" i="2"/>
  <c r="E204" i="2"/>
  <c r="D204" i="2"/>
  <c r="B204" i="2"/>
  <c r="G325" i="2"/>
  <c r="B325" i="2"/>
  <c r="I325" i="2"/>
  <c r="E325" i="2"/>
  <c r="K325" i="2"/>
  <c r="J325" i="2"/>
  <c r="H325" i="2"/>
  <c r="F325" i="2"/>
  <c r="A325" i="2"/>
  <c r="D325" i="2"/>
  <c r="C325" i="2"/>
  <c r="E303" i="2"/>
  <c r="K303" i="2"/>
  <c r="C303" i="2"/>
  <c r="B303" i="2"/>
  <c r="A303" i="2"/>
  <c r="I303" i="2"/>
  <c r="H303" i="2"/>
  <c r="G303" i="2"/>
  <c r="D303" i="2"/>
  <c r="J303" i="2"/>
  <c r="F303" i="2"/>
  <c r="K486" i="2"/>
  <c r="E486" i="2"/>
  <c r="A486" i="2"/>
  <c r="G486" i="2"/>
  <c r="F486" i="2"/>
  <c r="C486" i="2"/>
  <c r="B486" i="2"/>
  <c r="I486" i="2"/>
  <c r="H486" i="2"/>
  <c r="J486" i="2"/>
  <c r="D486" i="2"/>
  <c r="C440" i="2"/>
  <c r="J440" i="2"/>
  <c r="I440" i="2"/>
  <c r="F440" i="2"/>
  <c r="B440" i="2"/>
  <c r="D440" i="2"/>
  <c r="K440" i="2"/>
  <c r="H440" i="2"/>
  <c r="A440" i="2"/>
  <c r="G440" i="2"/>
  <c r="E440" i="2"/>
  <c r="C302" i="2"/>
  <c r="G302" i="2"/>
  <c r="J302" i="2"/>
  <c r="B302" i="2"/>
  <c r="E302" i="2"/>
  <c r="K302" i="2"/>
  <c r="I302" i="2"/>
  <c r="H302" i="2"/>
  <c r="F302" i="2"/>
  <c r="D302" i="2"/>
  <c r="A302" i="2"/>
  <c r="I478" i="2"/>
  <c r="K478" i="2"/>
  <c r="F478" i="2"/>
  <c r="G478" i="2"/>
  <c r="D478" i="2"/>
  <c r="C478" i="2"/>
  <c r="E478" i="2"/>
  <c r="B478" i="2"/>
  <c r="J478" i="2"/>
  <c r="H478" i="2"/>
  <c r="A478" i="2"/>
  <c r="E490" i="2"/>
  <c r="B490" i="2"/>
  <c r="K490" i="2"/>
  <c r="J490" i="2"/>
  <c r="H490" i="2"/>
  <c r="D490" i="2"/>
  <c r="A490" i="2"/>
  <c r="I490" i="2"/>
  <c r="F490" i="2"/>
  <c r="C490" i="2"/>
  <c r="G490" i="2"/>
  <c r="I52" i="2"/>
  <c r="E52" i="2"/>
  <c r="J52" i="2"/>
  <c r="H52" i="2"/>
  <c r="F52" i="2"/>
  <c r="K52" i="2"/>
  <c r="G52" i="2"/>
  <c r="D52" i="2"/>
  <c r="C52" i="2"/>
  <c r="B52" i="2"/>
  <c r="A52" i="2"/>
  <c r="I101" i="2"/>
  <c r="E101" i="2"/>
  <c r="K101" i="2"/>
  <c r="D101" i="2"/>
  <c r="B101" i="2"/>
  <c r="A101" i="2"/>
  <c r="F101" i="2"/>
  <c r="C101" i="2"/>
  <c r="J101" i="2"/>
  <c r="G101" i="2"/>
  <c r="H101" i="2"/>
  <c r="F222" i="2"/>
  <c r="I222" i="2"/>
  <c r="G222" i="2"/>
  <c r="J222" i="2"/>
  <c r="H222" i="2"/>
  <c r="C222" i="2"/>
  <c r="B222" i="2"/>
  <c r="A222" i="2"/>
  <c r="D222" i="2"/>
  <c r="K222" i="2"/>
  <c r="E222" i="2"/>
  <c r="K79" i="2"/>
  <c r="G79" i="2"/>
  <c r="C79" i="2"/>
  <c r="J79" i="2"/>
  <c r="H79" i="2"/>
  <c r="A79" i="2"/>
  <c r="D79" i="2"/>
  <c r="I79" i="2"/>
  <c r="F79" i="2"/>
  <c r="E79" i="2"/>
  <c r="B79" i="2"/>
  <c r="A102" i="2"/>
  <c r="K102" i="2"/>
  <c r="G102" i="2"/>
  <c r="B102" i="2"/>
  <c r="J102" i="2"/>
  <c r="H102" i="2"/>
  <c r="F102" i="2"/>
  <c r="I102" i="2"/>
  <c r="E102" i="2"/>
  <c r="D102" i="2"/>
  <c r="C102" i="2"/>
  <c r="I87" i="2"/>
  <c r="E87" i="2"/>
  <c r="C87" i="2"/>
  <c r="A87" i="2"/>
  <c r="H87" i="2"/>
  <c r="K87" i="2"/>
  <c r="J87" i="2"/>
  <c r="G87" i="2"/>
  <c r="F87" i="2"/>
  <c r="D87" i="2"/>
  <c r="B87" i="2"/>
  <c r="C12" i="2"/>
  <c r="I12" i="2"/>
  <c r="K12" i="2"/>
  <c r="D12" i="2"/>
  <c r="A12" i="2"/>
  <c r="J12" i="2"/>
  <c r="H12" i="2"/>
  <c r="G12" i="2"/>
  <c r="F12" i="2"/>
  <c r="E12" i="2"/>
  <c r="B12" i="2"/>
  <c r="I31" i="2"/>
  <c r="E31" i="2"/>
  <c r="K31" i="2"/>
  <c r="G31" i="2"/>
  <c r="J31" i="2"/>
  <c r="H31" i="2"/>
  <c r="F31" i="2"/>
  <c r="D31" i="2"/>
  <c r="C31" i="2"/>
  <c r="B31" i="2"/>
  <c r="A31" i="2"/>
  <c r="A109" i="2"/>
  <c r="K109" i="2"/>
  <c r="G109" i="2"/>
  <c r="F109" i="2"/>
  <c r="E109" i="2"/>
  <c r="D109" i="2"/>
  <c r="B109" i="2"/>
  <c r="J109" i="2"/>
  <c r="I109" i="2"/>
  <c r="H109" i="2"/>
  <c r="C109" i="2"/>
  <c r="K93" i="2"/>
  <c r="G93" i="2"/>
  <c r="C93" i="2"/>
  <c r="B93" i="2"/>
  <c r="I93" i="2"/>
  <c r="H93" i="2"/>
  <c r="J93" i="2"/>
  <c r="F93" i="2"/>
  <c r="E93" i="2"/>
  <c r="D93" i="2"/>
  <c r="A93" i="2"/>
  <c r="J169" i="2"/>
  <c r="I169" i="2"/>
  <c r="H169" i="2"/>
  <c r="E169" i="2"/>
  <c r="D169" i="2"/>
  <c r="B169" i="2"/>
  <c r="A169" i="2"/>
  <c r="K169" i="2"/>
  <c r="G169" i="2"/>
  <c r="C169" i="2"/>
  <c r="F169" i="2"/>
  <c r="A287" i="2"/>
  <c r="J287" i="2"/>
  <c r="G287" i="2"/>
  <c r="D287" i="2"/>
  <c r="I287" i="2"/>
  <c r="F287" i="2"/>
  <c r="E287" i="2"/>
  <c r="C287" i="2"/>
  <c r="B287" i="2"/>
  <c r="K287" i="2"/>
  <c r="H287" i="2"/>
  <c r="C193" i="2"/>
  <c r="A193" i="2"/>
  <c r="I193" i="2"/>
  <c r="E193" i="2"/>
  <c r="B193" i="2"/>
  <c r="F193" i="2"/>
  <c r="D193" i="2"/>
  <c r="K193" i="2"/>
  <c r="G193" i="2"/>
  <c r="J193" i="2"/>
  <c r="H193" i="2"/>
  <c r="C152" i="2"/>
  <c r="I152" i="2"/>
  <c r="H152" i="2"/>
  <c r="G152" i="2"/>
  <c r="F152" i="2"/>
  <c r="E152" i="2"/>
  <c r="D152" i="2"/>
  <c r="B152" i="2"/>
  <c r="A152" i="2"/>
  <c r="K152" i="2"/>
  <c r="J152" i="2"/>
  <c r="A179" i="2"/>
  <c r="K179" i="2"/>
  <c r="G179" i="2"/>
  <c r="H179" i="2"/>
  <c r="F179" i="2"/>
  <c r="D179" i="2"/>
  <c r="C179" i="2"/>
  <c r="B179" i="2"/>
  <c r="I179" i="2"/>
  <c r="E179" i="2"/>
  <c r="J179" i="2"/>
  <c r="F275" i="2"/>
  <c r="J275" i="2"/>
  <c r="H275" i="2"/>
  <c r="K275" i="2"/>
  <c r="I275" i="2"/>
  <c r="G275" i="2"/>
  <c r="D275" i="2"/>
  <c r="C275" i="2"/>
  <c r="B275" i="2"/>
  <c r="A275" i="2"/>
  <c r="E275" i="2"/>
  <c r="G336" i="2"/>
  <c r="C336" i="2"/>
  <c r="J336" i="2"/>
  <c r="A336" i="2"/>
  <c r="I336" i="2"/>
  <c r="K336" i="2"/>
  <c r="H336" i="2"/>
  <c r="F336" i="2"/>
  <c r="B336" i="2"/>
  <c r="D336" i="2"/>
  <c r="E336" i="2"/>
  <c r="I373" i="2"/>
  <c r="D373" i="2"/>
  <c r="H373" i="2"/>
  <c r="G373" i="2"/>
  <c r="A373" i="2"/>
  <c r="J373" i="2"/>
  <c r="E373" i="2"/>
  <c r="K373" i="2"/>
  <c r="F373" i="2"/>
  <c r="C373" i="2"/>
  <c r="B373" i="2"/>
  <c r="B241" i="2"/>
  <c r="G241" i="2"/>
  <c r="E241" i="2"/>
  <c r="C241" i="2"/>
  <c r="D241" i="2"/>
  <c r="K241" i="2"/>
  <c r="J241" i="2"/>
  <c r="I241" i="2"/>
  <c r="H241" i="2"/>
  <c r="F241" i="2"/>
  <c r="A241" i="2"/>
  <c r="H293" i="2"/>
  <c r="A293" i="2"/>
  <c r="I293" i="2"/>
  <c r="G293" i="2"/>
  <c r="J293" i="2"/>
  <c r="F293" i="2"/>
  <c r="E293" i="2"/>
  <c r="D293" i="2"/>
  <c r="C293" i="2"/>
  <c r="B293" i="2"/>
  <c r="K293" i="2"/>
  <c r="H251" i="2"/>
  <c r="G251" i="2"/>
  <c r="I251" i="2"/>
  <c r="E251" i="2"/>
  <c r="F251" i="2"/>
  <c r="K251" i="2"/>
  <c r="C251" i="2"/>
  <c r="B251" i="2"/>
  <c r="A251" i="2"/>
  <c r="J251" i="2"/>
  <c r="D251" i="2"/>
  <c r="K345" i="2"/>
  <c r="A345" i="2"/>
  <c r="J345" i="2"/>
  <c r="G345" i="2"/>
  <c r="D345" i="2"/>
  <c r="F345" i="2"/>
  <c r="C345" i="2"/>
  <c r="E345" i="2"/>
  <c r="H345" i="2"/>
  <c r="I345" i="2"/>
  <c r="B345" i="2"/>
  <c r="G343" i="2"/>
  <c r="J343" i="2"/>
  <c r="D343" i="2"/>
  <c r="E343" i="2"/>
  <c r="H343" i="2"/>
  <c r="F343" i="2"/>
  <c r="B343" i="2"/>
  <c r="K343" i="2"/>
  <c r="I343" i="2"/>
  <c r="C343" i="2"/>
  <c r="A343" i="2"/>
  <c r="A376" i="2"/>
  <c r="I376" i="2"/>
  <c r="G376" i="2"/>
  <c r="F376" i="2"/>
  <c r="E376" i="2"/>
  <c r="J376" i="2"/>
  <c r="H376" i="2"/>
  <c r="D376" i="2"/>
  <c r="C376" i="2"/>
  <c r="B376" i="2"/>
  <c r="K376" i="2"/>
  <c r="I337" i="2"/>
  <c r="F337" i="2"/>
  <c r="A337" i="2"/>
  <c r="G337" i="2"/>
  <c r="H337" i="2"/>
  <c r="E337" i="2"/>
  <c r="C337" i="2"/>
  <c r="K337" i="2"/>
  <c r="J337" i="2"/>
  <c r="D337" i="2"/>
  <c r="B337" i="2"/>
  <c r="G386" i="2"/>
  <c r="J386" i="2"/>
  <c r="K386" i="2"/>
  <c r="I386" i="2"/>
  <c r="C386" i="2"/>
  <c r="H386" i="2"/>
  <c r="E386" i="2"/>
  <c r="F386" i="2"/>
  <c r="D386" i="2"/>
  <c r="A386" i="2"/>
  <c r="B386" i="2"/>
  <c r="B360" i="2"/>
  <c r="K360" i="2"/>
  <c r="D360" i="2"/>
  <c r="H360" i="2"/>
  <c r="J360" i="2"/>
  <c r="G360" i="2"/>
  <c r="E360" i="2"/>
  <c r="C360" i="2"/>
  <c r="A360" i="2"/>
  <c r="I360" i="2"/>
  <c r="F360" i="2"/>
  <c r="E476" i="2"/>
  <c r="D476" i="2"/>
  <c r="C476" i="2"/>
  <c r="B476" i="2"/>
  <c r="K476" i="2"/>
  <c r="J476" i="2"/>
  <c r="F476" i="2"/>
  <c r="H476" i="2"/>
  <c r="I476" i="2"/>
  <c r="G476" i="2"/>
  <c r="A476" i="2"/>
  <c r="A495" i="2"/>
  <c r="C495" i="2"/>
  <c r="E495" i="2"/>
  <c r="D495" i="2"/>
  <c r="K495" i="2"/>
  <c r="J495" i="2"/>
  <c r="B495" i="2"/>
  <c r="H495" i="2"/>
  <c r="I495" i="2"/>
  <c r="G495" i="2"/>
  <c r="F495" i="2"/>
  <c r="K444" i="2"/>
  <c r="G444" i="2"/>
  <c r="A444" i="2"/>
  <c r="J444" i="2"/>
  <c r="F444" i="2"/>
  <c r="I444" i="2"/>
  <c r="B444" i="2"/>
  <c r="D444" i="2"/>
  <c r="E444" i="2"/>
  <c r="C444" i="2"/>
  <c r="H444" i="2"/>
  <c r="I232" i="2"/>
  <c r="G232" i="2"/>
  <c r="K232" i="2"/>
  <c r="J232" i="2"/>
  <c r="H232" i="2"/>
  <c r="F232" i="2"/>
  <c r="E232" i="2"/>
  <c r="D232" i="2"/>
  <c r="C232" i="2"/>
  <c r="B232" i="2"/>
  <c r="A232" i="2"/>
  <c r="C412" i="2"/>
  <c r="D412" i="2"/>
  <c r="K412" i="2"/>
  <c r="H412" i="2"/>
  <c r="A412" i="2"/>
  <c r="E412" i="2"/>
  <c r="G412" i="2"/>
  <c r="B412" i="2"/>
  <c r="I412" i="2"/>
  <c r="J412" i="2"/>
  <c r="F412" i="2"/>
  <c r="K352" i="2"/>
  <c r="G352" i="2"/>
  <c r="B352" i="2"/>
  <c r="C352" i="2"/>
  <c r="A352" i="2"/>
  <c r="J352" i="2"/>
  <c r="I352" i="2"/>
  <c r="E352" i="2"/>
  <c r="H352" i="2"/>
  <c r="F352" i="2"/>
  <c r="D352" i="2"/>
  <c r="I15" i="2"/>
  <c r="A15" i="2"/>
  <c r="H15" i="2"/>
  <c r="G15" i="2"/>
  <c r="K15" i="2"/>
  <c r="J15" i="2"/>
  <c r="F15" i="2"/>
  <c r="E15" i="2"/>
  <c r="D15" i="2"/>
  <c r="C15" i="2"/>
  <c r="B15" i="2"/>
  <c r="D263" i="2"/>
  <c r="G263" i="2"/>
  <c r="E263" i="2"/>
  <c r="B263" i="2"/>
  <c r="H263" i="2"/>
  <c r="J263" i="2"/>
  <c r="A263" i="2"/>
  <c r="K263" i="2"/>
  <c r="I263" i="2"/>
  <c r="F263" i="2"/>
  <c r="C263" i="2"/>
  <c r="A158" i="2"/>
  <c r="K158" i="2"/>
  <c r="J158" i="2"/>
  <c r="H158" i="2"/>
  <c r="G158" i="2"/>
  <c r="F158" i="2"/>
  <c r="I158" i="2"/>
  <c r="E158" i="2"/>
  <c r="D158" i="2"/>
  <c r="C158" i="2"/>
  <c r="B158" i="2"/>
  <c r="F167" i="2"/>
  <c r="E167" i="2"/>
  <c r="D167" i="2"/>
  <c r="A167" i="2"/>
  <c r="K167" i="2"/>
  <c r="J167" i="2"/>
  <c r="I167" i="2"/>
  <c r="H167" i="2"/>
  <c r="G167" i="2"/>
  <c r="C167" i="2"/>
  <c r="B167" i="2"/>
  <c r="A25" i="2"/>
  <c r="K25" i="2"/>
  <c r="G25" i="2"/>
  <c r="H25" i="2"/>
  <c r="J25" i="2"/>
  <c r="I25" i="2"/>
  <c r="F25" i="2"/>
  <c r="E25" i="2"/>
  <c r="D25" i="2"/>
  <c r="C25" i="2"/>
  <c r="B25" i="2"/>
  <c r="I210" i="2"/>
  <c r="G210" i="2"/>
  <c r="A210" i="2"/>
  <c r="K210" i="2"/>
  <c r="J210" i="2"/>
  <c r="H210" i="2"/>
  <c r="F210" i="2"/>
  <c r="D210" i="2"/>
  <c r="C210" i="2"/>
  <c r="B210" i="2"/>
  <c r="E210" i="2"/>
  <c r="J424" i="2"/>
  <c r="F424" i="2"/>
  <c r="K424" i="2"/>
  <c r="H424" i="2"/>
  <c r="D424" i="2"/>
  <c r="A424" i="2"/>
  <c r="C424" i="2"/>
  <c r="I424" i="2"/>
  <c r="G424" i="2"/>
  <c r="E424" i="2"/>
  <c r="B424" i="2"/>
  <c r="C370" i="2"/>
  <c r="J370" i="2"/>
  <c r="F370" i="2"/>
  <c r="I370" i="2"/>
  <c r="H370" i="2"/>
  <c r="A370" i="2"/>
  <c r="B370" i="2"/>
  <c r="E370" i="2"/>
  <c r="K370" i="2"/>
  <c r="G370" i="2"/>
  <c r="D370" i="2"/>
  <c r="E27" i="2"/>
  <c r="A27" i="2"/>
  <c r="K27" i="2"/>
  <c r="G27" i="2"/>
  <c r="F27" i="2"/>
  <c r="B27" i="2"/>
  <c r="D27" i="2"/>
  <c r="C27" i="2"/>
  <c r="J27" i="2"/>
  <c r="H27" i="2"/>
  <c r="I27" i="2"/>
  <c r="A74" i="2"/>
  <c r="K74" i="2"/>
  <c r="G74" i="2"/>
  <c r="D74" i="2"/>
  <c r="J74" i="2"/>
  <c r="I74" i="2"/>
  <c r="H74" i="2"/>
  <c r="F74" i="2"/>
  <c r="E74" i="2"/>
  <c r="C74" i="2"/>
  <c r="B74" i="2"/>
  <c r="K190" i="2"/>
  <c r="I190" i="2"/>
  <c r="G190" i="2"/>
  <c r="E190" i="2"/>
  <c r="C190" i="2"/>
  <c r="J190" i="2"/>
  <c r="H190" i="2"/>
  <c r="D190" i="2"/>
  <c r="B190" i="2"/>
  <c r="A190" i="2"/>
  <c r="F190" i="2"/>
  <c r="E342" i="2"/>
  <c r="G342" i="2"/>
  <c r="A342" i="2"/>
  <c r="I342" i="2"/>
  <c r="J342" i="2"/>
  <c r="H342" i="2"/>
  <c r="F342" i="2"/>
  <c r="D342" i="2"/>
  <c r="K342" i="2"/>
  <c r="C342" i="2"/>
  <c r="B342" i="2"/>
  <c r="C274" i="2"/>
  <c r="J274" i="2"/>
  <c r="I274" i="2"/>
  <c r="D274" i="2"/>
  <c r="A274" i="2"/>
  <c r="F274" i="2"/>
  <c r="H274" i="2"/>
  <c r="K274" i="2"/>
  <c r="G274" i="2"/>
  <c r="E274" i="2"/>
  <c r="B274" i="2"/>
  <c r="G498" i="2"/>
  <c r="H498" i="2"/>
  <c r="C498" i="2"/>
  <c r="B498" i="2"/>
  <c r="K498" i="2"/>
  <c r="J498" i="2"/>
  <c r="I498" i="2"/>
  <c r="A498" i="2"/>
  <c r="E498" i="2"/>
  <c r="F498" i="2"/>
  <c r="D498" i="2"/>
  <c r="F501" i="2"/>
  <c r="B501" i="2"/>
  <c r="C501" i="2"/>
  <c r="A501" i="2"/>
  <c r="J501" i="2"/>
  <c r="I501" i="2"/>
  <c r="H501" i="2"/>
  <c r="G501" i="2"/>
  <c r="K501" i="2"/>
  <c r="E501" i="2"/>
  <c r="D501" i="2"/>
  <c r="A474" i="2"/>
  <c r="I474" i="2"/>
  <c r="J474" i="2"/>
  <c r="H474" i="2"/>
  <c r="F474" i="2"/>
  <c r="C474" i="2"/>
  <c r="G474" i="2"/>
  <c r="E474" i="2"/>
  <c r="K474" i="2"/>
  <c r="D474" i="2"/>
  <c r="B474" i="2"/>
  <c r="I80" i="2"/>
  <c r="E80" i="2"/>
  <c r="C80" i="2"/>
  <c r="J80" i="2"/>
  <c r="H80" i="2"/>
  <c r="G80" i="2"/>
  <c r="F80" i="2"/>
  <c r="D80" i="2"/>
  <c r="B80" i="2"/>
  <c r="A80" i="2"/>
  <c r="K80" i="2"/>
  <c r="A185" i="2"/>
  <c r="G185" i="2"/>
  <c r="C185" i="2"/>
  <c r="I185" i="2"/>
  <c r="H185" i="2"/>
  <c r="F185" i="2"/>
  <c r="B185" i="2"/>
  <c r="K185" i="2"/>
  <c r="J185" i="2"/>
  <c r="E185" i="2"/>
  <c r="D185" i="2"/>
  <c r="C40" i="2"/>
  <c r="I40" i="2"/>
  <c r="K40" i="2"/>
  <c r="J40" i="2"/>
  <c r="H40" i="2"/>
  <c r="G40" i="2"/>
  <c r="F40" i="2"/>
  <c r="E40" i="2"/>
  <c r="D40" i="2"/>
  <c r="B40" i="2"/>
  <c r="A40" i="2"/>
  <c r="A151" i="2"/>
  <c r="K151" i="2"/>
  <c r="J151" i="2"/>
  <c r="G151" i="2"/>
  <c r="F151" i="2"/>
  <c r="I151" i="2"/>
  <c r="H151" i="2"/>
  <c r="E151" i="2"/>
  <c r="D151" i="2"/>
  <c r="B151" i="2"/>
  <c r="C151" i="2"/>
  <c r="D256" i="2"/>
  <c r="H256" i="2"/>
  <c r="A256" i="2"/>
  <c r="I256" i="2"/>
  <c r="K256" i="2"/>
  <c r="J256" i="2"/>
  <c r="G256" i="2"/>
  <c r="F256" i="2"/>
  <c r="E256" i="2"/>
  <c r="C256" i="2"/>
  <c r="B256" i="2"/>
  <c r="K135" i="2"/>
  <c r="G135" i="2"/>
  <c r="C135" i="2"/>
  <c r="B135" i="2"/>
  <c r="H135" i="2"/>
  <c r="F135" i="2"/>
  <c r="E135" i="2"/>
  <c r="D135" i="2"/>
  <c r="J135" i="2"/>
  <c r="I135" i="2"/>
  <c r="A135" i="2"/>
  <c r="I50" i="2"/>
  <c r="E50" i="2"/>
  <c r="A50" i="2"/>
  <c r="B50" i="2"/>
  <c r="K50" i="2"/>
  <c r="J50" i="2"/>
  <c r="H50" i="2"/>
  <c r="G50" i="2"/>
  <c r="F50" i="2"/>
  <c r="D50" i="2"/>
  <c r="C50" i="2"/>
  <c r="E34" i="2"/>
  <c r="A34" i="2"/>
  <c r="K34" i="2"/>
  <c r="J34" i="2"/>
  <c r="G34" i="2"/>
  <c r="I34" i="2"/>
  <c r="H34" i="2"/>
  <c r="F34" i="2"/>
  <c r="D34" i="2"/>
  <c r="C34" i="2"/>
  <c r="B34" i="2"/>
  <c r="B165" i="2"/>
  <c r="A165" i="2"/>
  <c r="K165" i="2"/>
  <c r="J165" i="2"/>
  <c r="H165" i="2"/>
  <c r="G165" i="2"/>
  <c r="F165" i="2"/>
  <c r="C165" i="2"/>
  <c r="E165" i="2"/>
  <c r="I165" i="2"/>
  <c r="D165" i="2"/>
  <c r="K142" i="2"/>
  <c r="G142" i="2"/>
  <c r="C142" i="2"/>
  <c r="B142" i="2"/>
  <c r="A142" i="2"/>
  <c r="J142" i="2"/>
  <c r="I142" i="2"/>
  <c r="H142" i="2"/>
  <c r="E142" i="2"/>
  <c r="F142" i="2"/>
  <c r="D142" i="2"/>
  <c r="I182" i="2"/>
  <c r="G182" i="2"/>
  <c r="K182" i="2"/>
  <c r="E182" i="2"/>
  <c r="C182" i="2"/>
  <c r="A182" i="2"/>
  <c r="J182" i="2"/>
  <c r="H182" i="2"/>
  <c r="F182" i="2"/>
  <c r="D182" i="2"/>
  <c r="B182" i="2"/>
  <c r="A67" i="2"/>
  <c r="K67" i="2"/>
  <c r="G67" i="2"/>
  <c r="I67" i="2"/>
  <c r="F67" i="2"/>
  <c r="E67" i="2"/>
  <c r="C67" i="2"/>
  <c r="D67" i="2"/>
  <c r="B67" i="2"/>
  <c r="H67" i="2"/>
  <c r="J67" i="2"/>
  <c r="I319" i="2"/>
  <c r="D319" i="2"/>
  <c r="G319" i="2"/>
  <c r="A319" i="2"/>
  <c r="K319" i="2"/>
  <c r="E319" i="2"/>
  <c r="C319" i="2"/>
  <c r="B319" i="2"/>
  <c r="J319" i="2"/>
  <c r="H319" i="2"/>
  <c r="F319" i="2"/>
  <c r="C159" i="2"/>
  <c r="J159" i="2"/>
  <c r="I159" i="2"/>
  <c r="H159" i="2"/>
  <c r="G159" i="2"/>
  <c r="F159" i="2"/>
  <c r="E159" i="2"/>
  <c r="D159" i="2"/>
  <c r="A159" i="2"/>
  <c r="K159" i="2"/>
  <c r="B159" i="2"/>
  <c r="A192" i="2"/>
  <c r="E192" i="2"/>
  <c r="K192" i="2"/>
  <c r="I192" i="2"/>
  <c r="H192" i="2"/>
  <c r="G192" i="2"/>
  <c r="D192" i="2"/>
  <c r="C192" i="2"/>
  <c r="B192" i="2"/>
  <c r="J192" i="2"/>
  <c r="F192" i="2"/>
  <c r="H286" i="2"/>
  <c r="C286" i="2"/>
  <c r="K286" i="2"/>
  <c r="A286" i="2"/>
  <c r="D286" i="2"/>
  <c r="F286" i="2"/>
  <c r="J286" i="2"/>
  <c r="I286" i="2"/>
  <c r="G286" i="2"/>
  <c r="E286" i="2"/>
  <c r="B286" i="2"/>
  <c r="B175" i="2"/>
  <c r="J175" i="2"/>
  <c r="I175" i="2"/>
  <c r="H175" i="2"/>
  <c r="E175" i="2"/>
  <c r="D175" i="2"/>
  <c r="A175" i="2"/>
  <c r="K175" i="2"/>
  <c r="G175" i="2"/>
  <c r="F175" i="2"/>
  <c r="C175" i="2"/>
  <c r="C180" i="2"/>
  <c r="D180" i="2"/>
  <c r="J180" i="2"/>
  <c r="B180" i="2"/>
  <c r="A180" i="2"/>
  <c r="K180" i="2"/>
  <c r="I180" i="2"/>
  <c r="H180" i="2"/>
  <c r="G180" i="2"/>
  <c r="E180" i="2"/>
  <c r="F180" i="2"/>
  <c r="H321" i="2"/>
  <c r="G321" i="2"/>
  <c r="E321" i="2"/>
  <c r="F321" i="2"/>
  <c r="D321" i="2"/>
  <c r="C321" i="2"/>
  <c r="K321" i="2"/>
  <c r="J321" i="2"/>
  <c r="I321" i="2"/>
  <c r="B321" i="2"/>
  <c r="A321" i="2"/>
  <c r="H300" i="2"/>
  <c r="F300" i="2"/>
  <c r="A300" i="2"/>
  <c r="C300" i="2"/>
  <c r="E300" i="2"/>
  <c r="J300" i="2"/>
  <c r="I300" i="2"/>
  <c r="G300" i="2"/>
  <c r="D300" i="2"/>
  <c r="B300" i="2"/>
  <c r="K300" i="2"/>
  <c r="E282" i="2"/>
  <c r="B282" i="2"/>
  <c r="J282" i="2"/>
  <c r="G282" i="2"/>
  <c r="H282" i="2"/>
  <c r="D282" i="2"/>
  <c r="A282" i="2"/>
  <c r="F282" i="2"/>
  <c r="K282" i="2"/>
  <c r="I282" i="2"/>
  <c r="C282" i="2"/>
  <c r="A354" i="2"/>
  <c r="H354" i="2"/>
  <c r="E354" i="2"/>
  <c r="I354" i="2"/>
  <c r="D354" i="2"/>
  <c r="C354" i="2"/>
  <c r="B354" i="2"/>
  <c r="G354" i="2"/>
  <c r="K354" i="2"/>
  <c r="J354" i="2"/>
  <c r="F354" i="2"/>
  <c r="F403" i="2"/>
  <c r="B403" i="2"/>
  <c r="J403" i="2"/>
  <c r="I403" i="2"/>
  <c r="H403" i="2"/>
  <c r="C403" i="2"/>
  <c r="E403" i="2"/>
  <c r="A403" i="2"/>
  <c r="K403" i="2"/>
  <c r="G403" i="2"/>
  <c r="D403" i="2"/>
  <c r="A404" i="2"/>
  <c r="I404" i="2"/>
  <c r="E404" i="2"/>
  <c r="F404" i="2"/>
  <c r="D404" i="2"/>
  <c r="B404" i="2"/>
  <c r="K404" i="2"/>
  <c r="G404" i="2"/>
  <c r="J404" i="2"/>
  <c r="C404" i="2"/>
  <c r="H404" i="2"/>
  <c r="A397" i="2"/>
  <c r="C397" i="2"/>
  <c r="B397" i="2"/>
  <c r="K397" i="2"/>
  <c r="H397" i="2"/>
  <c r="G397" i="2"/>
  <c r="J397" i="2"/>
  <c r="E397" i="2"/>
  <c r="I397" i="2"/>
  <c r="D397" i="2"/>
  <c r="F397" i="2"/>
  <c r="I457" i="2"/>
  <c r="F457" i="2"/>
  <c r="B457" i="2"/>
  <c r="C457" i="2"/>
  <c r="A457" i="2"/>
  <c r="J457" i="2"/>
  <c r="E457" i="2"/>
  <c r="D457" i="2"/>
  <c r="K457" i="2"/>
  <c r="G457" i="2"/>
  <c r="H457" i="2"/>
  <c r="G379" i="2"/>
  <c r="H379" i="2"/>
  <c r="C379" i="2"/>
  <c r="F379" i="2"/>
  <c r="E379" i="2"/>
  <c r="B379" i="2"/>
  <c r="K379" i="2"/>
  <c r="I379" i="2"/>
  <c r="D379" i="2"/>
  <c r="A379" i="2"/>
  <c r="J379" i="2"/>
  <c r="E455" i="2"/>
  <c r="K455" i="2"/>
  <c r="I455" i="2"/>
  <c r="H455" i="2"/>
  <c r="F455" i="2"/>
  <c r="B455" i="2"/>
  <c r="A455" i="2"/>
  <c r="G455" i="2"/>
  <c r="J455" i="2"/>
  <c r="D455" i="2"/>
  <c r="C455" i="2"/>
  <c r="G470" i="2"/>
  <c r="A470" i="2"/>
  <c r="E470" i="2"/>
  <c r="D470" i="2"/>
  <c r="B470" i="2"/>
  <c r="K470" i="2"/>
  <c r="J470" i="2"/>
  <c r="I470" i="2"/>
  <c r="H470" i="2"/>
  <c r="F470" i="2"/>
  <c r="C470" i="2"/>
  <c r="E413" i="2"/>
  <c r="G413" i="2"/>
  <c r="B413" i="2"/>
  <c r="C413" i="2"/>
  <c r="A413" i="2"/>
  <c r="K413" i="2"/>
  <c r="H413" i="2"/>
  <c r="J413" i="2"/>
  <c r="I413" i="2"/>
  <c r="F413" i="2"/>
  <c r="D413" i="2"/>
  <c r="G505" i="2"/>
  <c r="C505" i="2"/>
  <c r="H505" i="2"/>
  <c r="F505" i="2"/>
  <c r="E505" i="2"/>
  <c r="D505" i="2"/>
  <c r="K505" i="2"/>
  <c r="B505" i="2"/>
  <c r="A505" i="2"/>
  <c r="J505" i="2"/>
  <c r="I505" i="2"/>
  <c r="H5" i="4" l="1"/>
  <c r="F5" i="3"/>
  <c r="E5" i="4"/>
  <c r="M5" i="3"/>
</calcChain>
</file>

<file path=xl/sharedStrings.xml><?xml version="1.0" encoding="utf-8"?>
<sst xmlns="http://schemas.openxmlformats.org/spreadsheetml/2006/main" count="401" uniqueCount="300">
  <si>
    <t>REGISTRO DE PONTO — DATATEMPO/CP2</t>
  </si>
  <si>
    <t>IDENTIFICAÇÃO E LANÇAMENTO</t>
  </si>
  <si>
    <t>Número/ID</t>
  </si>
  <si>
    <t>Pessoa</t>
  </si>
  <si>
    <t>Situação atual</t>
  </si>
  <si>
    <t>Tipo de registro</t>
  </si>
  <si>
    <t>Projeto</t>
  </si>
  <si>
    <t>Atividade</t>
  </si>
  <si>
    <t>Observação</t>
  </si>
  <si>
    <t>Mensagem</t>
  </si>
  <si>
    <t>PREENCHA OS CAMPOS AMARELOS E EXECUTE O OFFICE SCRIPT "REGISTRAR PONTO".</t>
  </si>
  <si>
    <t>CARTÃO DE PONTO E MEDIÇÃO — DATATEMPO/CP2</t>
  </si>
  <si>
    <t>Preencha as células amarelas. Cada linha corresponde a um início, inclusive quando houver mais de uma atividade no dia. Pendências exigem conferência das batidas.</t>
  </si>
  <si>
    <t>ID do pesquisador</t>
  </si>
  <si>
    <t>Data inicial</t>
  </si>
  <si>
    <t>Data final</t>
  </si>
  <si>
    <t>Horas úteis</t>
  </si>
  <si>
    <t>Horas FDS</t>
  </si>
  <si>
    <t>Horas totais</t>
  </si>
  <si>
    <t>Valor medido</t>
  </si>
  <si>
    <t>Registros</t>
  </si>
  <si>
    <t>Pendências</t>
  </si>
  <si>
    <t>O cartão exibe até 500 registros por seleção. Para períodos maiores, consulte intervalos menores.</t>
  </si>
  <si>
    <t>Data</t>
  </si>
  <si>
    <t>Início</t>
  </si>
  <si>
    <t>Fim</t>
  </si>
  <si>
    <t>Horas</t>
  </si>
  <si>
    <t>Base</t>
  </si>
  <si>
    <t>Taxa aplicada</t>
  </si>
  <si>
    <t>Valor</t>
  </si>
  <si>
    <t>Status</t>
  </si>
  <si>
    <t>Índice</t>
  </si>
  <si>
    <t>RESUMO DE PAGAMENTOS POR PERÍODO</t>
  </si>
  <si>
    <t>Informe o primeiro e o último dia para recalcular horas e pagamentos.</t>
  </si>
  <si>
    <t>TOTAL DO PERÍODO</t>
  </si>
  <si>
    <t>ID</t>
  </si>
  <si>
    <t>Dias trabalhados</t>
  </si>
  <si>
    <t>R$/h útil</t>
  </si>
  <si>
    <t>R$/h FDS</t>
  </si>
  <si>
    <t>R$/diária</t>
  </si>
  <si>
    <t>Valor calculado</t>
  </si>
  <si>
    <t>Ajustes</t>
  </si>
  <si>
    <t>TOTAL A PAGAR</t>
  </si>
  <si>
    <t>Hora</t>
  </si>
  <si>
    <t>Alex de Almeida Mariano</t>
  </si>
  <si>
    <t>Diária</t>
  </si>
  <si>
    <t>CUSTO POR PROJETO POR PERÍODO</t>
  </si>
  <si>
    <t>Informe o primeiro e o último dia para recalcular o custo por projeto.</t>
  </si>
  <si>
    <t>Código</t>
  </si>
  <si>
    <t>Pessoas</t>
  </si>
  <si>
    <t>Custo total</t>
  </si>
  <si>
    <t>PRJ-001</t>
  </si>
  <si>
    <t>PRJ-002</t>
  </si>
  <si>
    <t>CFI / ACCION</t>
  </si>
  <si>
    <t>PRJ-003</t>
  </si>
  <si>
    <t>ADMINISTRATIVO</t>
  </si>
  <si>
    <t>REGISTROS CONSOLIDADOS DE HORAS</t>
  </si>
  <si>
    <t>Esta aba é calculada a partir das Batidas. Corrija as marcações na origem; registros REVISAR não entram no pagamento.</t>
  </si>
  <si>
    <t>Registro ID</t>
  </si>
  <si>
    <t>Dia da semana</t>
  </si>
  <si>
    <t>Tipo de dia</t>
  </si>
  <si>
    <t>1º do dia</t>
  </si>
  <si>
    <t>Mês</t>
  </si>
  <si>
    <t>Chave do cartão</t>
  </si>
  <si>
    <t>BATIDAS — TRILHA DE AUDITORIA</t>
  </si>
  <si>
    <t>Edite B (data/hora), E (ID), H (projeto), I (atividade) ou L (vínculo do FIM). A coluna A identifica a batida e deve permanecer estável.</t>
  </si>
  <si>
    <t>Batida ID</t>
  </si>
  <si>
    <t>Data e hora</t>
  </si>
  <si>
    <t>Tipo</t>
  </si>
  <si>
    <t>Origem</t>
  </si>
  <si>
    <t>Início vinculado</t>
  </si>
  <si>
    <t>Conferência</t>
  </si>
  <si>
    <t>SUPERVISÃO</t>
  </si>
  <si>
    <t>FIM</t>
  </si>
  <si>
    <t>CHECAGEM</t>
  </si>
  <si>
    <t>ANÁLISE</t>
  </si>
  <si>
    <t>TRANSCRIÇÃO</t>
  </si>
  <si>
    <t>APLICAÇÃO / ENTREVISTA</t>
  </si>
  <si>
    <t>CODIFICAÇÃO</t>
  </si>
  <si>
    <t>APOIO OPERACIONAL</t>
  </si>
  <si>
    <t>B20260909083040-1002</t>
  </si>
  <si>
    <t>B20260909132039-1002</t>
  </si>
  <si>
    <t>CONFERÊNCIA DE BATIDAS E REGISTROS</t>
  </si>
  <si>
    <t>Indicador</t>
  </si>
  <si>
    <t>Quantidade</t>
  </si>
  <si>
    <t>Fins sem vínculo</t>
  </si>
  <si>
    <t>Vínculos inválidos ou divergentes</t>
  </si>
  <si>
    <t>Registros a revisar</t>
  </si>
  <si>
    <t>Inícios sem fim</t>
  </si>
  <si>
    <t>Em Batidas, filtre SEM VÍNCULO e preencha L com o ID de início.</t>
  </si>
  <si>
    <t>Corrija o INÍCIO ou FIM em Batidas; Registros, cartão e relatórios recalculam.</t>
  </si>
  <si>
    <t>CADASTRO DE PESSOAS</t>
  </si>
  <si>
    <t>Cadastro expansível para até 100 pessoas. Preencha uma linha vazia da tabela, use ID único e status ATIVO.</t>
  </si>
  <si>
    <t>Função/Regra</t>
  </si>
  <si>
    <t>Supervisão</t>
  </si>
  <si>
    <t>ATIVO</t>
  </si>
  <si>
    <t>Analista/Revisor</t>
  </si>
  <si>
    <t>Analista de Pesquisa Júnior</t>
  </si>
  <si>
    <t>Coordenação/Supervisão</t>
  </si>
  <si>
    <t>CADASTRO PADRONIZADO DE PROJETOS</t>
  </si>
  <si>
    <t>Cadastro expansível para até 150 projetos. Código e nome devem ser únicos; use status ATIVO.</t>
  </si>
  <si>
    <t>Projeto padronizado</t>
  </si>
  <si>
    <t>Descrição</t>
  </si>
  <si>
    <t>CADASTRO PADRONIZADO DE ATIVIDADES</t>
  </si>
  <si>
    <t>Cadastro expansível para até 200 atividades. Código e nome devem ser únicos; use status ATIVO.</t>
  </si>
  <si>
    <t>Atividade padronizada</t>
  </si>
  <si>
    <t>ATV-001</t>
  </si>
  <si>
    <t>Coordenação e supervisão operacional</t>
  </si>
  <si>
    <t>ATV-002</t>
  </si>
  <si>
    <t>Checagem e controle de qualidade</t>
  </si>
  <si>
    <t>ATV-003</t>
  </si>
  <si>
    <t>Codificação de respostas</t>
  </si>
  <si>
    <t>ATV-004</t>
  </si>
  <si>
    <t>Análise estatística ou qualitativa</t>
  </si>
  <si>
    <t>ATV-005</t>
  </si>
  <si>
    <t>RECRUTAMENTO</t>
  </si>
  <si>
    <t>Recrutamento de participantes</t>
  </si>
  <si>
    <t>ATV-006</t>
  </si>
  <si>
    <t>Aplicação de questionários ou entrevistas</t>
  </si>
  <si>
    <t>ATV-007</t>
  </si>
  <si>
    <t>TRATAMENTO DE DADOS</t>
  </si>
  <si>
    <t>Limpeza, crítica, harmonização ou ETL</t>
  </si>
  <si>
    <t>ATV-008</t>
  </si>
  <si>
    <t>RELATÓRIO</t>
  </si>
  <si>
    <t>Redação, revisão ou apresentação de resultados</t>
  </si>
  <si>
    <t>ATV-009</t>
  </si>
  <si>
    <t>Rotinas administrativas e financeiras</t>
  </si>
  <si>
    <t>ATV-010</t>
  </si>
  <si>
    <t>Apoio geral à operação</t>
  </si>
  <si>
    <t>ATV-011</t>
  </si>
  <si>
    <t>Transcrição de Entrevistas e Grupos de Discussão</t>
  </si>
  <si>
    <t>ATV-012</t>
  </si>
  <si>
    <t>MODERAÇÃO</t>
  </si>
  <si>
    <t>Moderação de EP e GD</t>
  </si>
  <si>
    <t>CONFIGURAÇÃO NO EXCEL DO SHAREPOINT</t>
  </si>
  <si>
    <t>1</t>
  </si>
  <si>
    <t>A aba Batidas é a origem. Corrija a data e hora na coluna B; a data e o dia da semana são calculados.</t>
  </si>
  <si>
    <t>2</t>
  </si>
  <si>
    <t>Para vincular um FIM a um INÍCIO, preencha a coluna L da batida de FIM com o ID da batida de INÍCIO.</t>
  </si>
  <si>
    <t>3</t>
  </si>
  <si>
    <t>Não altere o Batida ID da coluna A. Corrija o ID da pessoa, projeto ou atividade nas colunas E, H e I.</t>
  </si>
  <si>
    <t>4</t>
  </si>
  <si>
    <t>Registros, cartão de ponto, custos e pagamentos se recalculam automaticamente no Excel.</t>
  </si>
  <si>
    <t>5</t>
  </si>
  <si>
    <t>Filtre Conferência = SEM VÍNCULO ou VÍNCULO INVÁLIDO em Batidas para resolver pendências.</t>
  </si>
  <si>
    <t>6</t>
  </si>
  <si>
    <t>Para novas batidas no SharePoint, substitua o Office Script anterior pelo código da aba Office Script.</t>
  </si>
  <si>
    <t>7</t>
  </si>
  <si>
    <t>Em Automatizar &gt; Novo Script, cole o código completo a partir da linha A2.</t>
  </si>
  <si>
    <t>8</t>
  </si>
  <si>
    <t>Antes de pagar, revise registros marcados REVISAR na aba Registros.</t>
  </si>
  <si>
    <t>OFFICE SCRIPT — REGISTRAR PONTO</t>
  </si>
  <si>
    <t>function validarBatida(r: number): string{</t>
  </si>
  <si>
    <t>const m=`MATCH(L${r},tblBatidas[Batida ID],0)`;</t>
  </si>
  <si>
    <t>const start=c=&gt;`INDEX(tblBatidas[${c}],${m})`;</t>
  </si>
  <si>
    <t>let f='"VINCULADO"';</t>
  </si>
  <si>
    <t>f=`IF(OR(B${r}&lt;=${start('Data e hora')},(B${r}-${start('Data e hora')})*24&gt;16),"HORÁRIO INVÁLIDO",${f})`;</t>
  </si>
  <si>
    <t>f=`IF(I${r}&lt;&gt;${start('Atividade')},"DIVERGÊNCIA DE ATIVIDADE",${f})`;</t>
  </si>
  <si>
    <t>f=`IF(H${r}&lt;&gt;${start('Projeto')},"DIVERGÊNCIA DE PROJETO",${f})`;</t>
  </si>
  <si>
    <t>f=`IF(E${r}&lt;&gt;${start('ID')},"DIVERGÊNCIA DE ID",${f})`;</t>
  </si>
  <si>
    <t>f=`IF(COUNTIF(tblBatidas[Início vinculado],L${r})&gt;1,"VÍNCULO DUPLICADO",${f})`;</t>
  </si>
  <si>
    <t>f=`IF(COUNTIF(tblBatidas[Batida ID],L${r})=0,"VÍNCULO INVÁLIDO",${f})`;</t>
  </si>
  <si>
    <t>return `=IF(G${r}="FIM",IF(L${r}="","SEM VÍNCULO",${f}),"INÍCIO")`;</t>
  </si>
  <si>
    <t>}</t>
  </si>
  <si>
    <t>function linkedRow(r: number): string[]{</t>
  </si>
  <si>
    <t>const sid=`\"B\"&amp;MID($A${r},2,99)`,start=`MATCH(${sid},tblBatidas[Batida ID],0)`,end=`MATCH(${sid},tblBatidas[Início vinculado],0)`;</t>
  </si>
  <si>
    <t>const sb=`INDEX(tblBatidas[Data e hora],${start})`,eb=`INDEX(tblBatidas[Data e hora],${end})`,be=`INDEX(tblBatidas[ID],${start})`;</t>
  </si>
  <si>
    <t>const row=[</t>
  </si>
  <si>
    <t>`=IFERROR(INT(${sb}),\"\")`,</t>
  </si>
  <si>
    <t>`=IF(B${r}=\"\",\"\",CHOOSE(WEEKDAY(B${r},2),\"SEGUNDA-FEIRA\",\"TERÇA-FEIRA\",\"QUARTA-FEIRA\",\"QUINTA-FEIRA\",\"SEXTA-FEIRA\",\"SÁBADO\",\"DOMINGO\"))`,</t>
  </si>
  <si>
    <t>`=IF(B${r}=\"\",\"\",IF(WEEKDAY(B${r},2)&gt;5,\"FDS/FERIADO\",\"DIA ÚTIL\"))`,</t>
  </si>
  <si>
    <t>`=IFERROR(${be},\"\")`,</t>
  </si>
  <si>
    <t>`=IFERROR(INDEX(tblPessoas[Pessoa],MATCH(E${r},tblPessoas[ID],0)),\"\")`,</t>
  </si>
  <si>
    <t>`=IFERROR(INDEX(tblBatidas[Projeto],${start}),\"\")`,</t>
  </si>
  <si>
    <t>`=IFERROR(INDEX(tblBatidas[Atividade],${start}),\"\")`,</t>
  </si>
  <si>
    <t>`=IFERROR(MOD(${sb},1),\"\")`,</t>
  </si>
  <si>
    <t>`=IFERROR(MOD(${eb},1),\"\")`,</t>
  </si>
  <si>
    <t>`=IFERROR((${eb}-${sb})*24,\"\")`,</t>
  </si>
  <si>
    <t>`=IFERROR(INDEX(tblBatidas[Observação],${end}),\"\")`,</t>
  </si>
  <si>
    <t>`=IFERROR(INDEX(tblPessoas[Base],MATCH(E${r},tblPessoas[ID],0)),\"\")`,</t>
  </si>
  <si>
    <t>`=IFERROR(IF(D${r}=\"DIA ÚTIL\",INDEX(tblPessoas[R$/h útil],MATCH(E${r},tblPessoas[ID],0)),INDEX(tblPessoas[R$/h FDS],MATCH(E${r},tblPessoas[ID],0))),0)`,</t>
  </si>
  <si>
    <t>`=IFERROR(INDEX(tblPessoas[R$/diária],MATCH(E${r},tblPessoas[ID],0)),0)`,</t>
  </si>
  <si>
    <t>`=IF(Q${r}&lt;&gt;\"CONCLUÍDO\",\"\",IF(M${r}=\"Diária\",O${r}*R${r},K${r}*N${r}))`,</t>
  </si>
  <si>
    <t>`=IF(A${r}=\"\",\"\",IF(COUNTIF(tblBatidas[Início vinculado],${sid})=0,\"EM ABERTO\",IF(OR(COUNTIF(tblBatidas[Início vinculado],${sid})&gt;1,K${r}&lt;0,K${r}&gt;16,INT(${eb})&lt;&gt;B${r},INDEX(tblBatidas[ID],${end})&lt;&gt;E${r},INDEX(tblBatidas[Projeto],${end})&lt;&gt;G${r},INDEX(tblBatidas[Atividade],${end})&lt;&gt;H${r}),\"REVISAR\",\"CONCLUÍDO\")))`,</t>
  </si>
  <si>
    <t>`=IF(Q${r}&lt;&gt;\"CONCLUÍDO\",0,IF(COUNTIFS($E$5:E${r},E${r},$B$5:B${r},B${r},$Q$5:Q${r},\"CONCLUÍDO\")=1,1,0))`,</t>
  </si>
  <si>
    <t>`=IF(B${r}=\"\",\"\",TEXT(B${r},\"yyyy-mm\"))`,</t>
  </si>
  <si>
    <t>`=IF(E${r}=\"\",\"\",E${r}*100000+COUNTIFS(tblRegistros[ID],E${r},tblRegistros[Data],\"&lt;\"&amp;B${r})+COUNTIFS(tblRegistros[ID],E${r},tblRegistros[Data],B${r},tblRegistros[Início],\"&lt;\"&amp;I${r})+COUNTIFS($E$5:E${r},E${r},$B$5:B${r},B${r},$I$5:I${r},I${r}))`</t>
  </si>
  <si>
    <t>];</t>
  </si>
  <si>
    <t>return row;</t>
  </si>
  <si>
    <t>function main(workbook: ExcelScript.Workbook) {</t>
  </si>
  <si>
    <t>const painel = workbook.getWorksheet("Registrar Ponto");</t>
  </si>
  <si>
    <t>const pessoas = workbook.getWorksheet("Cadastro Pessoas").getTable("tblPessoas");</t>
  </si>
  <si>
    <t>const projetos = workbook.getWorksheet("Cadastro Projetos").getTable("tblProjetos");</t>
  </si>
  <si>
    <t>const atividades = workbook.getWorksheet("Cadastro Atividades").getTable("tblAtividades");</t>
  </si>
  <si>
    <t>const batidas = workbook.getWorksheet("Batidas").getTable("tblBatidas");</t>
  </si>
  <si>
    <t>const registros = workbook.getWorksheet("Registros").getTable("tblRegistros");</t>
  </si>
  <si>
    <t>const id = String(painel.getRange("C6").getValue()).trim();</t>
  </si>
  <si>
    <t>const tipo = String(painel.getRange("C10").getValue()).trim().toUpperCase();</t>
  </si>
  <si>
    <t>const projeto = String(painel.getRange("C12").getValue()).trim();</t>
  </si>
  <si>
    <t>const atividade = String(painel.getRange("C14").getValue()).trim();</t>
  </si>
  <si>
    <t>const observacao = String(painel.getRange("C16").getValue()).trim();</t>
  </si>
  <si>
    <t>if (!id || !["INÍCIO","FIM"].includes(tipo) || !projeto || !atividade) {</t>
  </si>
  <si>
    <t>painel.getRange("C19").setValue("PREENCHA ID, TIPO, PROJETO E ATIVIDADE.");</t>
  </si>
  <si>
    <t>return;</t>
  </si>
  <si>
    <t>const pRows = pessoas.getRangeBetweenHeaderAndTotal().getValues();</t>
  </si>
  <si>
    <t>const p = pRows.find(r =&gt; String(r[0]).trim() === id &amp;&amp; String(r[7]).toUpperCase() === "ATIVO");</t>
  </si>
  <si>
    <t>if (!p) { painel.getRange("C19").setValue("ID NÃO ENCONTRADO OU INATIVO."); return; }</t>
  </si>
  <si>
    <t>const nome = String(p[1]);</t>
  </si>
  <si>
    <t>const base = String(p[2]);</t>
  </si>
  <si>
    <t>const taxaUtil = Number(p[3]) || 0;</t>
  </si>
  <si>
    <t>const taxaFds = Number(p[4]) || 0;</t>
  </si>
  <si>
    <t>const diaria = Number(p[5]) || 0;</t>
  </si>
  <si>
    <t>const prjOk = projetos.getRangeBetweenHeaderAndTotal().getValues().some(r =&gt; String(r[1]) === projeto &amp;&amp; String(r[3]).toUpperCase() === "ATIVO");</t>
  </si>
  <si>
    <t>const atvOk = atividades.getRangeBetweenHeaderAndTotal().getValues().some(r =&gt; String(r[1]) === atividade &amp;&amp; String(r[3]).toUpperCase() === "ATIVO");</t>
  </si>
  <si>
    <t>if (!prjOk || !atvOk) { painel.getRange("C19").setValue("PROJETO OU ATIVIDADE FORA DO CADASTRO ATIVO."); return; }</t>
  </si>
  <si>
    <t>// Integra novos cadastros aos relatórios de período.</t>
  </si>
  <si>
    <t>const resumoSheet = workbook.getWorksheet("Resumo Pagamentos");</t>
  </si>
  <si>
    <t>const resumoIds = resumoSheet.getRange("A7:A106").getValues();</t>
  </si>
  <si>
    <t>let resumoPos = resumoIds.findIndex(r =&gt; String(r[0]) === id);</t>
  </si>
  <si>
    <t>if (resumoPos &lt; 0) resumoPos = resumoIds.findIndex(r =&gt; String(r[0]).trim() === "");</t>
  </si>
  <si>
    <t>if (resumoPos &lt; 0) { painel.getRange("C19").setValue("LIMITE DE PESSOAS NO RESUMO."); return; }</t>
  </si>
  <si>
    <t>const rr = 7 + resumoPos;</t>
  </si>
  <si>
    <t>if (String(resumoIds[resumoPos][0]).trim() === "") {</t>
  </si>
  <si>
    <t>resumoSheet.getRange("A"+rr+":C"+rr).setValues([[Number(id),nome,base]]);</t>
  </si>
  <si>
    <t>resumoSheet.getRange("H"+rr+":J"+rr).setValues([[taxaUtil,taxaFds,diaria]]);</t>
  </si>
  <si>
    <t>resumoSheet.getRange("L"+rr).setValue(0);</t>
  </si>
  <si>
    <t>const crit = "'Registros'!$E$5:$E$3004,A"+rr+",'Registros'!$B$5:$B$3004,\"&gt;=\"&amp;$B$4,'Registros'!$B$5:$B$3004,\"&lt;\"&amp;($D$4+1),'Registros'!$Q$5:$Q$3004,\"CONCLUÍDO\"";</t>
  </si>
  <si>
    <t>resumoSheet.getRange("D"+rr).setFormula("=SUMIFS('Registros'!$K$5:$K$3004,"+crit+",'Registros'!$D$5:$D$3004,\"DIA ÚTIL\")");</t>
  </si>
  <si>
    <t>resumoSheet.getRange("E"+rr).setFormula("=SUMIFS('Registros'!$K$5:$K$3004,"+crit+",'Registros'!$D$5:$D$3004,\"FDS/FERIADO\")");</t>
  </si>
  <si>
    <t>resumoSheet.getRange("F"+rr).setFormula("=D"+rr+"+E"+rr);</t>
  </si>
  <si>
    <t>resumoSheet.getRange("G"+rr).setFormula("=SUMIFS('Registros'!$R$5:$R$3004,"+crit+")");</t>
  </si>
  <si>
    <t>resumoSheet.getRange("K"+rr).setFormula("=SUMIFS('Registros'!$P$5:$P$3004,"+crit+")");</t>
  </si>
  <si>
    <t>resumoSheet.getRange("M"+rr).setFormula("=K"+rr+"+L"+rr);</t>
  </si>
  <si>
    <t>resumoSheet.getRange("N"+rr).setFormula("=COUNTIFS('Registros'!$E$5:$E$3004,A"+rr+",'Registros'!$B$5:$B$3004,\"&gt;=\"&amp;$B$4,'Registros'!$B$5:$B$3004,\"&lt;\"&amp;($D$4+1),'Registros'!$Q$5:$Q$3004,\"EM ABERTO\")+COUNTIFS('Registros'!$E$5:$E$3004,A"+rr+",'Registros'!$B$5:$B$3004,\"&gt;=\"&amp;$B$4,'Registros'!$B$5:$B$3004,\"&lt;\"&amp;($D$4+1),'Registros'!$Q$5:$Q$3004,\"REVISAR\")");</t>
  </si>
  <si>
    <t>const custoSheet = workbook.getWorksheet("Custo por Projeto");</t>
  </si>
  <si>
    <t>const custoProjetos = custoSheet.getRange("B7:B156").getValues();</t>
  </si>
  <si>
    <t>let custoPos = custoProjetos.findIndex(r =&gt; String(r[0]) === projeto);</t>
  </si>
  <si>
    <t>if (custoPos &lt; 0) custoPos = custoProjetos.findIndex(r =&gt; String(r[0]).trim() === "");</t>
  </si>
  <si>
    <t>if (custoPos &lt; 0) { painel.getRange("C19").setValue("LIMITE DE PROJETOS NO RESUMO."); return; }</t>
  </si>
  <si>
    <t>const rc = 7 + custoPos;</t>
  </si>
  <si>
    <t>if (String(custoProjetos[custoPos][0]).trim() === "") {</t>
  </si>
  <si>
    <t>const projetoRow = projetos.getRangeBetweenHeaderAndTotal().getValues().find(r =&gt; String(r[1]) === projeto);</t>
  </si>
  <si>
    <t>custoSheet.getRange("A"+rc+":B"+rc).setValues([[String(projetoRow[0]),projeto]]);</t>
  </si>
  <si>
    <t>const critP = "'Registros'!$G$5:$G$3004,B"+rc+",'Registros'!$B$5:$B$3004,\"&gt;=\"&amp;$B$4,'Registros'!$B$5:$B$3004,\"&lt;\"&amp;($D$4+1),'Registros'!$Q$5:$Q$3004,\"CONCLUÍDO\"";</t>
  </si>
  <si>
    <t>custoSheet.getRange("C"+rc).setFormula("=SUMIFS('Registros'!$K$5:$K$3004,"+critP+",'Registros'!$D$5:$D$3004,\"DIA ÚTIL\")");</t>
  </si>
  <si>
    <t>custoSheet.getRange("D"+rc).setFormula("=SUMIFS('Registros'!$K$5:$K$3004,"+critP+",'Registros'!$D$5:$D$3004,\"FDS/FERIADO\")");</t>
  </si>
  <si>
    <t>custoSheet.getRange("E"+rc).setFormula("=C"+rc+"+D"+rc);</t>
  </si>
  <si>
    <t>custoSheet.getRange("F"+rc).setFormula("=COUNTIFS("+critP+")");</t>
  </si>
  <si>
    <t>custoSheet.getRange("G"+rc).setFormula("=IF(F"+rc+"=0,0,ROWS(UNIQUE(FILTER('Registros'!$E$5:$E$3004,('Registros'!$G$5:$G$3004=B"+rc+")*('Registros'!$B$5:$B$3004&gt;=$B$4)*('Registros'!$B$5:$B$3004&lt;=$D$4)*('Registros'!$Q$5:$Q$3004=\"CONCLUÍDO\")))))");</t>
  </si>
  <si>
    <t>custoSheet.getRange("H"+rc).setFormula("=SUMIFS('Registros'!$P$5:$P$3004,"+critP+")");</t>
  </si>
  <si>
    <t>const agoraUTC = new Date();</t>
  </si>
  <si>
    <t>const agoraBR = new Date(agoraUTC.getTime() - 3 * 60 * 60 * 1000);</t>
  </si>
  <si>
    <t>const serial = (Date.UTC(agoraBR.getUTCFullYear(), agoraBR.getUTCMonth(), agoraBR.getUTCDate(), agoraBR.getUTCHours(), agoraBR.getUTCMinutes(), agoraBR.getUTCSeconds()) - Date.UTC(1899, 11, 30)) / 86400000;</t>
  </si>
  <si>
    <t>const dataSerial = Math.floor(serial);</t>
  </si>
  <si>
    <t>const horaSerial = serial - dataSerial;</t>
  </si>
  <si>
    <t>const dias = ["DOMINGO","SEGUNDA-FEIRA","TERÇA-FEIRA","QUARTA-FEIRA","QUINTA-FEIRA","SEXTA-FEIRA","SÁBADO"];</t>
  </si>
  <si>
    <t>const diaSemana = dias[agoraBR.getUTCDay()];</t>
  </si>
  <si>
    <t>const batidaId = "B" + agoraBR.getUTCFullYear() + String(agoraBR.getUTCMonth()+1).padStart(2,"0") + String(agoraBR.getUTCDate()).padStart(2,"0") + String(agoraBR.getUTCHours()).padStart(2,"0") + String(agoraBR.getUTCMinutes()).padStart(2,"0") + String(agoraBR.getUTCSeconds()).padStart(2,"0") + "-" + id;</t>
  </si>
  <si>
    <t>const rRows = registros.getRangeBetweenHeaderAndTotal().getValues();</t>
  </si>
  <si>
    <t>let aberta = -1;</t>
  </si>
  <si>
    <t>for (let i = rRows.length - 1; i &gt;= 0; i--) {</t>
  </si>
  <si>
    <t>if (String(rRows[i][4]) === id &amp;&amp; Number(rRows[i][1]) === dataSerial &amp;&amp; String(rRows[i][16]).toUpperCase() === "EM ABERTO") { aberta = i; break; }</t>
  </si>
  <si>
    <t>function adicionarBatida(vinculo: string) {</t>
  </si>
  <si>
    <t>batidas.addRow(-1, [batidaId,serial,"","",Number(id),nome,tipo,projeto,atividade,observacao,"SharePoint / Office Script",vinculo,""]);</t>
  </si>
  <si>
    <t>const br = batidas.getRangeBetweenHeaderAndTotal().getRowCount() + 4;</t>
  </si>
  <si>
    <t>const bs = workbook.getWorksheet("Batidas");</t>
  </si>
  <si>
    <t>bs.getRange("C"+br).setFormula("=INT(B"+br+")");</t>
  </si>
  <si>
    <t>bs.getRange("D"+br).setFormula("=CHOOSE(WEEKDAY(C"+br+",2),\"SEGUNDA-FEIRA\",\"TERÇA-FEIRA\",\"QUARTA-FEIRA\",\"QUINTA-FEIRA\",\"SEXTA-FEIRA\",\"SÁBADO\",\"DOMINGO\")");</t>
  </si>
  <si>
    <t>bs.getRange("M"+br).setFormula(validarBatida(br));</t>
  </si>
  <si>
    <t>if (tipo === "INÍCIO") {</t>
  </si>
  <si>
    <t>if (aberta &gt;= 0) { painel.getRange("C19").setValue("JÁ EXISTE UM INÍCIO EM ABERTO HOJE."); return; }</t>
  </si>
  <si>
    <t>adicionarBatida("");</t>
  </si>
  <si>
    <t>const regId = "R" + batidaId.substring(1);</t>
  </si>
  <si>
    <t>registros.addRow(-1,[regId,"","","","","","","","","","","","","","","","","","",""]);</t>
  </si>
  <si>
    <t>const nr = registros.getRangeBetweenHeaderAndTotal().getRowCount() + 4;</t>
  </si>
  <si>
    <t>workbook.getWorksheet("Registros").getRange("B"+nr+":T"+nr).setFormulas([linkedRow(nr)]);</t>
  </si>
  <si>
    <t>} else {</t>
  </si>
  <si>
    <t>if (aberta &lt; 0) { painel.getRange("C19").setValue("NÃO HÁ INÍCIO EM ABERTO HOJE PARA ESTE ID."); return; }</t>
  </si>
  <si>
    <t>if (String(rRows[aberta][6]) !== projeto || String(rRows[aberta][7]) !== atividade) { painel.getRange("C19").setValue("PROJETO/ATIVIDADE DIFERENTES DO INÍCIO."); return; }</t>
  </si>
  <si>
    <t>const horas = (serial - (Number(rRows[aberta][1]) + Number(rRows[aberta][8]))) * 24;</t>
  </si>
  <si>
    <t>if (horas &lt; 0 || horas &gt; 16) { painel.getRange("C19").setValue("INTERVALO INVÁLIDO OU ACIMA DE 16 HORAS."); return; }</t>
  </si>
  <si>
    <t>adicionarBatida("B" + String(rRows[aberta][0]).substring(1));</t>
  </si>
  <si>
    <t>// Limpa os dados somente após um registro válido.</t>
  </si>
  <si>
    <t>painel.getRange("C6").setValue("");</t>
  </si>
  <si>
    <t>painel.getRange("C10").setValue("");</t>
  </si>
  <si>
    <t>painel.getRange("C12").setValue("");</t>
  </si>
  <si>
    <t>painel.getRange("C14").setValue("");</t>
  </si>
  <si>
    <t>painel.getRange("C16").setValue("");</t>
  </si>
  <si>
    <t>painel.getRange("C19").setValue("REGISTRO REALIZADO COM SUCESSO. PAINEL LIMPO PARA O PRÓXIMO USUÁRIO.");</t>
  </si>
  <si>
    <t>QUARTA-FEIRA</t>
  </si>
  <si>
    <t>José</t>
  </si>
  <si>
    <t>Joaquim</t>
  </si>
  <si>
    <t>Carmen</t>
  </si>
  <si>
    <t>Maria</t>
  </si>
  <si>
    <t>Projeto 01</t>
  </si>
  <si>
    <t>Projeto 02</t>
  </si>
  <si>
    <t>Projeto 03</t>
  </si>
  <si>
    <t>Exemplo 01</t>
  </si>
  <si>
    <t>Exemplo 02</t>
  </si>
  <si>
    <t>Exemplo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</si>
</sst>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dd/mm/yyyy\ hh:mm:ss"/>
  </numFmts>
  <fonts count="12">
    <font>
      <sz val="11"/>
      <name val="Carlito"/>
    </font>
    <font>
      <b/>
      <sz val="14"/>
      <color rgb="FF17324D"/>
      <name val="Aptos"/>
    </font>
    <font>
      <b/>
      <sz val="10"/>
      <color rgb="FFFFFFFF"/>
      <name val="Aptos"/>
    </font>
    <font>
      <b/>
      <sz val="14"/>
      <color rgb="FFFFFFFF"/>
      <name val="Aptos"/>
    </font>
    <font>
      <i/>
      <sz val="10"/>
      <color rgb="FF667788"/>
      <name val="Aptos"/>
    </font>
    <font>
      <b/>
      <sz val="10"/>
      <color rgb="FF243746"/>
      <name val="Aptos"/>
    </font>
    <font>
      <b/>
      <sz val="10"/>
      <color rgb="FF254D70"/>
      <name val="Aptos"/>
    </font>
    <font>
      <b/>
      <sz val="11"/>
      <color rgb="FF17324D"/>
      <name val="Aptos"/>
    </font>
    <font>
      <sz val="9"/>
      <color rgb="FFFFFFFF"/>
      <name val="Aptos"/>
    </font>
    <font>
      <b/>
      <sz val="10"/>
      <color rgb="FF17324D"/>
      <name val="Aptos"/>
    </font>
    <font>
      <sz val="9"/>
      <color rgb="FF243746"/>
      <name val="Consolas"/>
    </font>
    <font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FF9E9"/>
      </patternFill>
    </fill>
    <fill>
      <patternFill patternType="solid">
        <fgColor rgb="FF183A5A"/>
      </patternFill>
    </fill>
    <fill>
      <patternFill patternType="solid">
        <fgColor rgb="FF17324D"/>
      </patternFill>
    </fill>
    <fill>
      <patternFill patternType="solid">
        <fgColor rgb="FFFFF1C9"/>
      </patternFill>
    </fill>
    <fill>
      <patternFill patternType="solid">
        <fgColor rgb="FFEAF1F7"/>
      </patternFill>
    </fill>
    <fill>
      <patternFill patternType="solid">
        <fgColor rgb="FFFFF9E9"/>
      </patternFill>
    </fill>
    <fill>
      <patternFill patternType="solid">
        <fgColor rgb="FFFFF1C9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14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2" fillId="4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0" fillId="5" borderId="0" xfId="0" applyFill="1"/>
    <xf numFmtId="0" fontId="6" fillId="6" borderId="0" xfId="0" applyFont="1" applyFill="1"/>
    <xf numFmtId="14" fontId="0" fillId="5" borderId="0" xfId="0" applyNumberFormat="1" applyFill="1"/>
    <xf numFmtId="0" fontId="7" fillId="6" borderId="0" xfId="0" applyFont="1" applyFill="1"/>
    <xf numFmtId="164" fontId="7" fillId="6" borderId="0" xfId="0" applyNumberFormat="1" applyFont="1" applyFill="1"/>
    <xf numFmtId="2" fontId="0" fillId="0" borderId="0" xfId="0" applyNumberFormat="1"/>
    <xf numFmtId="2" fontId="7" fillId="6" borderId="0" xfId="0" applyNumberFormat="1" applyFont="1" applyFill="1"/>
    <xf numFmtId="0" fontId="8" fillId="0" borderId="0" xfId="0" applyFont="1"/>
    <xf numFmtId="0" fontId="1" fillId="0" borderId="0" xfId="0" applyFont="1"/>
    <xf numFmtId="0" fontId="9" fillId="6" borderId="0" xfId="0" applyFont="1" applyFill="1"/>
    <xf numFmtId="164" fontId="9" fillId="6" borderId="0" xfId="0" applyNumberFormat="1" applyFont="1" applyFill="1"/>
    <xf numFmtId="2" fontId="9" fillId="6" borderId="0" xfId="0" applyNumberFormat="1" applyFont="1" applyFill="1"/>
    <xf numFmtId="165" fontId="0" fillId="2" borderId="0" xfId="0" applyNumberFormat="1" applyFill="1"/>
    <xf numFmtId="0" fontId="10" fillId="0" borderId="0" xfId="0" applyFont="1"/>
    <xf numFmtId="165" fontId="0" fillId="7" borderId="0" xfId="0" applyNumberFormat="1" applyFill="1"/>
    <xf numFmtId="0" fontId="0" fillId="8" borderId="0" xfId="0" applyFill="1"/>
    <xf numFmtId="0" fontId="11" fillId="9" borderId="1" xfId="0" applyFont="1" applyFill="1" applyBorder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Registros" displayName="tblRegistros" ref="A4:T398" totalsRowShown="0">
  <tableColumns count="20">
    <tableColumn id="1" xr3:uid="{00000000-0010-0000-0000-000001000000}" name="Registro ID"/>
    <tableColumn id="2" xr3:uid="{00000000-0010-0000-0000-000002000000}" name="Data"/>
    <tableColumn id="3" xr3:uid="{00000000-0010-0000-0000-000003000000}" name="Dia da semana"/>
    <tableColumn id="4" xr3:uid="{00000000-0010-0000-0000-000004000000}" name="Tipo de dia"/>
    <tableColumn id="5" xr3:uid="{00000000-0010-0000-0000-000005000000}" name="ID"/>
    <tableColumn id="6" xr3:uid="{00000000-0010-0000-0000-000006000000}" name="Pessoa"/>
    <tableColumn id="7" xr3:uid="{00000000-0010-0000-0000-000007000000}" name="Projeto"/>
    <tableColumn id="8" xr3:uid="{00000000-0010-0000-0000-000008000000}" name="Atividade"/>
    <tableColumn id="9" xr3:uid="{00000000-0010-0000-0000-000009000000}" name="Início"/>
    <tableColumn id="10" xr3:uid="{00000000-0010-0000-0000-00000A000000}" name="Fim"/>
    <tableColumn id="11" xr3:uid="{00000000-0010-0000-0000-00000B000000}" name="Horas"/>
    <tableColumn id="12" xr3:uid="{00000000-0010-0000-0000-00000C000000}" name="Observação"/>
    <tableColumn id="13" xr3:uid="{00000000-0010-0000-0000-00000D000000}" name="Base"/>
    <tableColumn id="14" xr3:uid="{00000000-0010-0000-0000-00000E000000}" name="Taxa aplicada"/>
    <tableColumn id="15" xr3:uid="{00000000-0010-0000-0000-00000F000000}" name="Diária"/>
    <tableColumn id="16" xr3:uid="{00000000-0010-0000-0000-000010000000}" name="Valor"/>
    <tableColumn id="17" xr3:uid="{00000000-0010-0000-0000-000011000000}" name="Status"/>
    <tableColumn id="18" xr3:uid="{00000000-0010-0000-0000-000012000000}" name="1º do dia"/>
    <tableColumn id="19" xr3:uid="{00000000-0010-0000-0000-000013000000}" name="Mês"/>
    <tableColumn id="20" xr3:uid="{00000000-0010-0000-0000-000014000000}" name="Chave do cart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Batidas" displayName="tblBatidas" ref="A4:M812" totalsRowShown="0">
  <autoFilter ref="A4:M812" xr:uid="{00000000-000C-0000-FFFF-FFFF01000000}"/>
  <tableColumns count="13">
    <tableColumn id="1" xr3:uid="{00000000-0010-0000-0100-000001000000}" name="Batida ID"/>
    <tableColumn id="2" xr3:uid="{00000000-0010-0000-0100-000002000000}" name="Data e hora"/>
    <tableColumn id="3" xr3:uid="{00000000-0010-0000-0100-000003000000}" name="Data"/>
    <tableColumn id="4" xr3:uid="{00000000-0010-0000-0100-000004000000}" name="Dia da semana"/>
    <tableColumn id="5" xr3:uid="{00000000-0010-0000-0100-000005000000}" name="ID"/>
    <tableColumn id="6" xr3:uid="{00000000-0010-0000-0100-000006000000}" name="Pessoa"/>
    <tableColumn id="7" xr3:uid="{00000000-0010-0000-0100-000007000000}" name="Tipo"/>
    <tableColumn id="8" xr3:uid="{00000000-0010-0000-0100-000008000000}" name="Projeto"/>
    <tableColumn id="9" xr3:uid="{00000000-0010-0000-0100-000009000000}" name="Atividade"/>
    <tableColumn id="10" xr3:uid="{00000000-0010-0000-0100-00000A000000}" name="Observação"/>
    <tableColumn id="11" xr3:uid="{00000000-0010-0000-0100-00000B000000}" name="Origem"/>
    <tableColumn id="12" xr3:uid="{00000000-0010-0000-0100-00000C000000}" name="Início vinculado"/>
    <tableColumn id="13" xr3:uid="{00000000-0010-0000-0100-00000D000000}" name="Conferê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Pessoas" displayName="tblPessoas" ref="A4:H104" totalsRowShown="0">
  <tableColumns count="8">
    <tableColumn id="1" xr3:uid="{00000000-0010-0000-0200-000001000000}" name="ID"/>
    <tableColumn id="2" xr3:uid="{00000000-0010-0000-0200-000002000000}" name="Pessoa"/>
    <tableColumn id="3" xr3:uid="{00000000-0010-0000-0200-000003000000}" name="Base"/>
    <tableColumn id="4" xr3:uid="{00000000-0010-0000-0200-000004000000}" name="R$/h útil"/>
    <tableColumn id="5" xr3:uid="{00000000-0010-0000-0200-000005000000}" name="R$/h FDS"/>
    <tableColumn id="6" xr3:uid="{00000000-0010-0000-0200-000006000000}" name="R$/diária"/>
    <tableColumn id="7" xr3:uid="{00000000-0010-0000-0200-000007000000}" name="Função/Regra"/>
    <tableColumn id="8" xr3:uid="{00000000-0010-0000-0200-000008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Projetos" displayName="tblProjetos" ref="A4:D154" totalsRowShown="0">
  <tableColumns count="4">
    <tableColumn id="1" xr3:uid="{00000000-0010-0000-0300-000001000000}" name="Código"/>
    <tableColumn id="2" xr3:uid="{00000000-0010-0000-0300-000002000000}" name="Projeto padronizado"/>
    <tableColumn id="3" xr3:uid="{00000000-0010-0000-0300-000003000000}" name="Descrição"/>
    <tableColumn id="4" xr3:uid="{00000000-0010-0000-0300-000004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Atividades" displayName="tblAtividades" ref="A4:D204" totalsRowShown="0">
  <tableColumns count="4">
    <tableColumn id="1" xr3:uid="{00000000-0010-0000-0400-000001000000}" name="Código"/>
    <tableColumn id="2" xr3:uid="{00000000-0010-0000-0400-000002000000}" name="Atividade padronizada"/>
    <tableColumn id="3" xr3:uid="{00000000-0010-0000-0400-000003000000}" name="Descrição"/>
    <tableColumn id="4" xr3:uid="{00000000-0010-0000-0400-000004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C22"/>
  <sheetViews>
    <sheetView showGridLines="0" workbookViewId="0">
      <selection activeCell="C6" sqref="C6"/>
    </sheetView>
  </sheetViews>
  <sheetFormatPr defaultRowHeight="14.25"/>
  <cols>
    <col min="1" max="1" width="24.375" customWidth="1"/>
    <col min="2" max="2" width="2" customWidth="1"/>
    <col min="3" max="3" width="50" customWidth="1"/>
    <col min="4" max="4" width="4" customWidth="1"/>
  </cols>
  <sheetData>
    <row r="1" spans="1:3" ht="24" customHeight="1">
      <c r="A1" s="6" t="s">
        <v>0</v>
      </c>
      <c r="B1" s="6"/>
      <c r="C1" s="6"/>
    </row>
    <row r="4" spans="1:3" ht="24" customHeight="1">
      <c r="A4" s="5" t="s">
        <v>1</v>
      </c>
      <c r="B4" s="5"/>
      <c r="C4" s="5"/>
    </row>
    <row r="6" spans="1:3" ht="21.75" customHeight="1">
      <c r="A6" s="8" t="s">
        <v>2</v>
      </c>
      <c r="C6" s="9">
        <v>1001</v>
      </c>
    </row>
    <row r="7" spans="1:3" ht="21.75" customHeight="1">
      <c r="A7" s="8"/>
      <c r="C7" s="1"/>
    </row>
    <row r="8" spans="1:3" ht="21.75" customHeight="1">
      <c r="A8" s="8" t="s">
        <v>3</v>
      </c>
      <c r="C8" s="1" t="str">
        <f>IFERROR(INDEX('Cadastro Pessoas'!$B$5:$B$104,MATCH(C6,'Cadastro Pessoas'!$A$5:$A$104,0)),"")</f>
        <v>José</v>
      </c>
    </row>
    <row r="9" spans="1:3" ht="21.75" customHeight="1">
      <c r="A9" s="8" t="s">
        <v>4</v>
      </c>
      <c r="C9" s="1" t="str">
        <f ca="1">IF(C6="","",IF(COUNTIFS(tblRegistros[ID],C6,tblRegistros[Data],TODAY(),tblRegistros[Status],"EM ABERTO")&gt;0,"INÍCIO EM ABERTO HOJE","SEM INÍCIO EM ABERTO HOJE"))</f>
        <v>SEM INÍCIO EM ABERTO HOJE</v>
      </c>
    </row>
    <row r="10" spans="1:3" ht="21.75" customHeight="1">
      <c r="A10" s="8" t="s">
        <v>5</v>
      </c>
      <c r="C10" s="9"/>
    </row>
    <row r="11" spans="1:3" ht="21.75" customHeight="1">
      <c r="A11" s="8"/>
      <c r="C11" s="1"/>
    </row>
    <row r="12" spans="1:3" ht="21.75" customHeight="1">
      <c r="A12" s="8" t="s">
        <v>6</v>
      </c>
      <c r="C12" s="9"/>
    </row>
    <row r="13" spans="1:3" ht="21.75" customHeight="1">
      <c r="A13" s="8"/>
      <c r="C13" s="1"/>
    </row>
    <row r="14" spans="1:3" ht="21.75" customHeight="1">
      <c r="A14" s="8" t="s">
        <v>7</v>
      </c>
      <c r="C14" s="9"/>
    </row>
    <row r="15" spans="1:3" ht="21.75" customHeight="1">
      <c r="A15" s="8"/>
      <c r="C15" s="1"/>
    </row>
    <row r="16" spans="1:3" ht="21.75" customHeight="1">
      <c r="A16" s="8" t="s">
        <v>8</v>
      </c>
      <c r="C16" s="9"/>
    </row>
    <row r="17" spans="1:3" ht="21.75" customHeight="1">
      <c r="A17" s="8"/>
    </row>
    <row r="18" spans="1:3" ht="21.75" customHeight="1">
      <c r="A18" s="8"/>
    </row>
    <row r="19" spans="1:3" ht="21.75" customHeight="1">
      <c r="A19" s="8" t="s">
        <v>9</v>
      </c>
      <c r="C19" s="10"/>
    </row>
    <row r="22" spans="1:3" ht="19.5" customHeight="1">
      <c r="A22" s="7" t="s">
        <v>10</v>
      </c>
    </row>
  </sheetData>
  <dataValidations count="4">
    <dataValidation type="list" sqref="C6" xr:uid="{00000000-0002-0000-0000-000000000000}">
      <formula1>INDIRECT("tblPessoas[ID]")</formula1>
    </dataValidation>
    <dataValidation type="list" sqref="C10" xr:uid="{00000000-0002-0000-0000-000001000000}">
      <formula1>"INÍCIO,FIM"</formula1>
    </dataValidation>
    <dataValidation type="list" sqref="C12" xr:uid="{00000000-0002-0000-0000-000002000000}">
      <formula1>INDIRECT("tblProjetos[Projeto padronizado]")</formula1>
    </dataValidation>
    <dataValidation type="list" sqref="C14" xr:uid="{00000000-0002-0000-0000-000003000000}">
      <formula1>INDIRECT("tblAtividades[Atividade padronizada]")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24D"/>
  </sheetPr>
  <dimension ref="A1:L509"/>
  <sheetViews>
    <sheetView showGridLines="0" workbookViewId="0">
      <pane ySplit="9" topLeftCell="A10" activePane="bottomLeft" state="frozen"/>
      <selection pane="bottomLeft" activeCell="E23" sqref="E23"/>
    </sheetView>
  </sheetViews>
  <sheetFormatPr defaultRowHeight="14.25"/>
  <cols>
    <col min="1" max="1" width="17.75" customWidth="1"/>
    <col min="2" max="2" width="24.375" customWidth="1"/>
    <col min="3" max="3" width="18.375" customWidth="1"/>
    <col min="4" max="5" width="11.625" customWidth="1"/>
    <col min="6" max="6" width="10.25" customWidth="1"/>
    <col min="7" max="7" width="10" customWidth="1"/>
    <col min="8" max="9" width="12.75" customWidth="1"/>
    <col min="10" max="10" width="14" customWidth="1"/>
    <col min="11" max="11" width="42.25" customWidth="1"/>
    <col min="12" max="12" width="0.875" customWidth="1"/>
  </cols>
  <sheetData>
    <row r="1" spans="1:12" ht="24" customHeight="1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ht="19.5" customHeight="1">
      <c r="A2" s="7" t="s">
        <v>12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 ht="22.5" customHeight="1">
      <c r="A3" s="8" t="s">
        <v>13</v>
      </c>
      <c r="B3" s="9">
        <v>1002</v>
      </c>
      <c r="C3" s="8" t="s">
        <v>3</v>
      </c>
      <c r="D3" t="str">
        <f>IFERROR(INDEX('Cadastro Pessoas'!$B$5:$B$104,MATCH(B3,'Cadastro Pessoas'!$A$5:$A$104,0)),"ID não encontrado")</f>
        <v>Joaquim</v>
      </c>
    </row>
    <row r="4" spans="1:12" ht="22.5" customHeight="1">
      <c r="A4" s="8" t="s">
        <v>14</v>
      </c>
      <c r="B4" s="11">
        <v>46257</v>
      </c>
      <c r="C4" s="8" t="s">
        <v>15</v>
      </c>
      <c r="D4" s="11">
        <v>46288</v>
      </c>
    </row>
    <row r="6" spans="1:12" ht="24" customHeight="1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</row>
    <row r="7" spans="1:12" ht="22.5" customHeight="1">
      <c r="A7" s="15">
        <f>SUMIFS(tblRegistros[Horas],tblRegistros[ID],$B$3,tblRegistros[Data],"&gt;="&amp;$B$4,tblRegistros[Data],"&lt;"&amp;($D$4+1),tblRegistros[Status],"CONCLUÍDO",tblRegistros[Tipo de dia],"DIA ÚTIL")</f>
        <v>0</v>
      </c>
      <c r="B7" s="15">
        <f>SUMIFS(tblRegistros[Horas],tblRegistros[ID],$B$3,tblRegistros[Data],"&gt;="&amp;$B$4,tblRegistros[Data],"&lt;"&amp;($D$4+1),tblRegistros[Status],"CONCLUÍDO",tblRegistros[Tipo de dia],"FDS/FERIADO")</f>
        <v>0</v>
      </c>
      <c r="C7" s="15">
        <f>A7+B7</f>
        <v>0</v>
      </c>
      <c r="D7" s="13">
        <f>SUMIFS(tblRegistros[Valor],tblRegistros[ID],$B$3,tblRegistros[Data],"&gt;="&amp;$B$4,tblRegistros[Data],"&lt;"&amp;($D$4+1),tblRegistros[Status],"CONCLUÍDO")</f>
        <v>0</v>
      </c>
      <c r="E7" s="12">
        <f>COUNTIFS(tblRegistros[ID],$B$3,tblRegistros[Data],"&gt;="&amp;$B$4,tblRegistros[Data],"&lt;"&amp;($D$4+1),tblRegistros[Status],"CONCLUÍDO")</f>
        <v>0</v>
      </c>
      <c r="F7" s="12">
        <f>COUNTIFS(tblRegistros[ID],$B$3,tblRegistros[Data],"&gt;="&amp;$B$4,tblRegistros[Data],"&lt;"&amp;($D$4+1),tblRegistros[Status],"EM ABERTO")+COUNTIFS(tblRegistros[ID],$B$3,tblRegistros[Data],"&gt;="&amp;$B$4,tblRegistros[Data],"&lt;"&amp;($D$4+1),tblRegistros[Status],"REVISAR")</f>
        <v>0</v>
      </c>
      <c r="I7" s="3"/>
    </row>
    <row r="8" spans="1:12" ht="19.5" customHeight="1">
      <c r="A8" s="7" t="s">
        <v>22</v>
      </c>
    </row>
    <row r="9" spans="1:12" ht="24" customHeight="1">
      <c r="A9" s="5" t="s">
        <v>23</v>
      </c>
      <c r="B9" s="5" t="s">
        <v>6</v>
      </c>
      <c r="C9" s="5" t="s">
        <v>7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28</v>
      </c>
      <c r="I9" s="5" t="s">
        <v>29</v>
      </c>
      <c r="J9" s="5" t="s">
        <v>30</v>
      </c>
      <c r="K9" s="5" t="s">
        <v>8</v>
      </c>
      <c r="L9" s="16" t="s">
        <v>31</v>
      </c>
    </row>
    <row r="10" spans="1:12">
      <c r="A10" s="2" t="str">
        <f>IF($L10="","",IF(INDEX(tblRegistros[Data],$L10)&gt;$D$4,"",IFERROR(INDEX(tblRegistros[Data],$L10),"")))</f>
        <v/>
      </c>
      <c r="B10" t="str">
        <f>IF($L10="","",IF(INDEX(tblRegistros[Data],$L10)&gt;$D$4,"",IFERROR(INDEX(tblRegistros[Projeto],$L10),"")))</f>
        <v/>
      </c>
      <c r="C10" t="str">
        <f>IF($L10="","",IF(INDEX(tblRegistros[Data],$L10)&gt;$D$4,"",IFERROR(INDEX(tblRegistros[Atividade],$L10),"")))</f>
        <v/>
      </c>
      <c r="D10" s="4" t="str">
        <f>IF($L10="","",IF(INDEX(tblRegistros[Data],$L10)&gt;$D$4,"",IFERROR(INDEX(tblRegistros[Início],$L10),"")))</f>
        <v/>
      </c>
      <c r="E10" s="4" t="str">
        <f>IF($L10="","",IF(INDEX(tblRegistros[Data],$L10)&gt;$D$4,"",IFERROR(IF(INDEX(tblRegistros[Status],$L10)="EM ABERTO","",INDEX(tblRegistros[Fim],$L10)),"")))</f>
        <v/>
      </c>
      <c r="F10" s="14" t="str">
        <f>IF($L10="","",IF(INDEX(tblRegistros[Data],$L10)&gt;$D$4,"",IFERROR(IF(INDEX(tblRegistros[Status],$L10)="EM ABERTO","",INDEX(tblRegistros[Horas],$L10)),"")))</f>
        <v/>
      </c>
      <c r="G10" t="str">
        <f>IF($L10="","",IF(INDEX(tblRegistros[Data],$L10)&gt;$D$4,"",IFERROR(INDEX(tblRegistros[Base],$L10),"")))</f>
        <v/>
      </c>
      <c r="H10" s="3" t="str">
        <f>IF($L10="","",IF(INDEX(tblRegistros[Data],$L10)&gt;$D$4,"",IFERROR(INDEX(tblRegistros[Taxa aplicada],$L10),"")))</f>
        <v/>
      </c>
      <c r="I10" s="3" t="str">
        <f>IF($L10="","",IF(INDEX(tblRegistros[Data],$L10)&gt;$D$4,"",IFERROR(IF(INDEX(tblRegistros[Status],$L10)="EM ABERTO","",INDEX(tblRegistros[Valor],$L10)),"")))</f>
        <v/>
      </c>
      <c r="J10" t="str">
        <f>IF($L10="","",IF(INDEX(tblRegistros[Data],$L10)&gt;$D$4,"",IFERROR(INDEX(tblRegistros[Status],$L10),"")))</f>
        <v/>
      </c>
      <c r="K10" t="str">
        <f>IF($L10="","",IF(INDEX(tblRegistros[Data],$L10)&gt;$D$4,"",IFERROR(INDEX(tblRegistros[Observação],$L10),"")))</f>
        <v/>
      </c>
      <c r="L10" s="16" t="str">
        <f>IFERROR(MATCH($B$3*100000+COUNTIFS(tblRegistros[ID],$B$3,tblRegistros[Data],"&lt;"&amp;$B$4)+ROWS($L$10:L10),tblRegistros[Chave do cartão],0),"")</f>
        <v/>
      </c>
    </row>
    <row r="11" spans="1:12">
      <c r="A11" s="2" t="str">
        <f>IF($L11="","",IF(INDEX(tblRegistros[Data],$L11)&gt;$D$4,"",IFERROR(INDEX(tblRegistros[Data],$L11),"")))</f>
        <v/>
      </c>
      <c r="B11" t="str">
        <f>IF($L11="","",IF(INDEX(tblRegistros[Data],$L11)&gt;$D$4,"",IFERROR(INDEX(tblRegistros[Projeto],$L11),"")))</f>
        <v/>
      </c>
      <c r="C11" t="str">
        <f>IF($L11="","",IF(INDEX(tblRegistros[Data],$L11)&gt;$D$4,"",IFERROR(INDEX(tblRegistros[Atividade],$L11),"")))</f>
        <v/>
      </c>
      <c r="D11" s="4" t="str">
        <f>IF($L11="","",IF(INDEX(tblRegistros[Data],$L11)&gt;$D$4,"",IFERROR(INDEX(tblRegistros[Início],$L11),"")))</f>
        <v/>
      </c>
      <c r="E11" s="4" t="str">
        <f>IF($L11="","",IF(INDEX(tblRegistros[Data],$L11)&gt;$D$4,"",IFERROR(IF(INDEX(tblRegistros[Status],$L11)="EM ABERTO","",INDEX(tblRegistros[Fim],$L11)),"")))</f>
        <v/>
      </c>
      <c r="F11" s="14" t="str">
        <f>IF($L11="","",IF(INDEX(tblRegistros[Data],$L11)&gt;$D$4,"",IFERROR(IF(INDEX(tblRegistros[Status],$L11)="EM ABERTO","",INDEX(tblRegistros[Horas],$L11)),"")))</f>
        <v/>
      </c>
      <c r="G11" t="str">
        <f>IF($L11="","",IF(INDEX(tblRegistros[Data],$L11)&gt;$D$4,"",IFERROR(INDEX(tblRegistros[Base],$L11),"")))</f>
        <v/>
      </c>
      <c r="H11" s="3" t="str">
        <f>IF($L11="","",IF(INDEX(tblRegistros[Data],$L11)&gt;$D$4,"",IFERROR(INDEX(tblRegistros[Taxa aplicada],$L11),"")))</f>
        <v/>
      </c>
      <c r="I11" s="3" t="str">
        <f>IF($L11="","",IF(INDEX(tblRegistros[Data],$L11)&gt;$D$4,"",IFERROR(IF(INDEX(tblRegistros[Status],$L11)="EM ABERTO","",INDEX(tblRegistros[Valor],$L11)),"")))</f>
        <v/>
      </c>
      <c r="J11" t="str">
        <f>IF($L11="","",IF(INDEX(tblRegistros[Data],$L11)&gt;$D$4,"",IFERROR(INDEX(tblRegistros[Status],$L11),"")))</f>
        <v/>
      </c>
      <c r="K11" t="str">
        <f>IF($L11="","",IF(INDEX(tblRegistros[Data],$L11)&gt;$D$4,"",IFERROR(INDEX(tblRegistros[Observação],$L11),"")))</f>
        <v/>
      </c>
      <c r="L11" s="16" t="str">
        <f>IFERROR(MATCH($B$3*100000+COUNTIFS(tblRegistros[ID],$B$3,tblRegistros[Data],"&lt;"&amp;$B$4)+ROWS($L$10:L11),tblRegistros[Chave do cartão],0),"")</f>
        <v/>
      </c>
    </row>
    <row r="12" spans="1:12">
      <c r="A12" s="2" t="str">
        <f>IF($L12="","",IF(INDEX(tblRegistros[Data],$L12)&gt;$D$4,"",IFERROR(INDEX(tblRegistros[Data],$L12),"")))</f>
        <v/>
      </c>
      <c r="B12" t="str">
        <f>IF($L12="","",IF(INDEX(tblRegistros[Data],$L12)&gt;$D$4,"",IFERROR(INDEX(tblRegistros[Projeto],$L12),"")))</f>
        <v/>
      </c>
      <c r="C12" t="str">
        <f>IF($L12="","",IF(INDEX(tblRegistros[Data],$L12)&gt;$D$4,"",IFERROR(INDEX(tblRegistros[Atividade],$L12),"")))</f>
        <v/>
      </c>
      <c r="D12" s="4" t="str">
        <f>IF($L12="","",IF(INDEX(tblRegistros[Data],$L12)&gt;$D$4,"",IFERROR(INDEX(tblRegistros[Início],$L12),"")))</f>
        <v/>
      </c>
      <c r="E12" s="4" t="str">
        <f>IF($L12="","",IF(INDEX(tblRegistros[Data],$L12)&gt;$D$4,"",IFERROR(IF(INDEX(tblRegistros[Status],$L12)="EM ABERTO","",INDEX(tblRegistros[Fim],$L12)),"")))</f>
        <v/>
      </c>
      <c r="F12" s="14" t="str">
        <f>IF($L12="","",IF(INDEX(tblRegistros[Data],$L12)&gt;$D$4,"",IFERROR(IF(INDEX(tblRegistros[Status],$L12)="EM ABERTO","",INDEX(tblRegistros[Horas],$L12)),"")))</f>
        <v/>
      </c>
      <c r="G12" t="str">
        <f>IF($L12="","",IF(INDEX(tblRegistros[Data],$L12)&gt;$D$4,"",IFERROR(INDEX(tblRegistros[Base],$L12),"")))</f>
        <v/>
      </c>
      <c r="H12" s="3" t="str">
        <f>IF($L12="","",IF(INDEX(tblRegistros[Data],$L12)&gt;$D$4,"",IFERROR(INDEX(tblRegistros[Taxa aplicada],$L12),"")))</f>
        <v/>
      </c>
      <c r="I12" s="3" t="str">
        <f>IF($L12="","",IF(INDEX(tblRegistros[Data],$L12)&gt;$D$4,"",IFERROR(IF(INDEX(tblRegistros[Status],$L12)="EM ABERTO","",INDEX(tblRegistros[Valor],$L12)),"")))</f>
        <v/>
      </c>
      <c r="J12" t="str">
        <f>IF($L12="","",IF(INDEX(tblRegistros[Data],$L12)&gt;$D$4,"",IFERROR(INDEX(tblRegistros[Status],$L12),"")))</f>
        <v/>
      </c>
      <c r="K12" t="str">
        <f>IF($L12="","",IF(INDEX(tblRegistros[Data],$L12)&gt;$D$4,"",IFERROR(INDEX(tblRegistros[Observação],$L12),"")))</f>
        <v/>
      </c>
      <c r="L12" s="16" t="str">
        <f>IFERROR(MATCH($B$3*100000+COUNTIFS(tblRegistros[ID],$B$3,tblRegistros[Data],"&lt;"&amp;$B$4)+ROWS($L$10:L12),tblRegistros[Chave do cartão],0),"")</f>
        <v/>
      </c>
    </row>
    <row r="13" spans="1:12">
      <c r="A13" s="2" t="str">
        <f>IF($L13="","",IF(INDEX(tblRegistros[Data],$L13)&gt;$D$4,"",IFERROR(INDEX(tblRegistros[Data],$L13),"")))</f>
        <v/>
      </c>
      <c r="B13" t="str">
        <f>IF($L13="","",IF(INDEX(tblRegistros[Data],$L13)&gt;$D$4,"",IFERROR(INDEX(tblRegistros[Projeto],$L13),"")))</f>
        <v/>
      </c>
      <c r="C13" t="str">
        <f>IF($L13="","",IF(INDEX(tblRegistros[Data],$L13)&gt;$D$4,"",IFERROR(INDEX(tblRegistros[Atividade],$L13),"")))</f>
        <v/>
      </c>
      <c r="D13" s="4" t="str">
        <f>IF($L13="","",IF(INDEX(tblRegistros[Data],$L13)&gt;$D$4,"",IFERROR(INDEX(tblRegistros[Início],$L13),"")))</f>
        <v/>
      </c>
      <c r="E13" s="4" t="str">
        <f>IF($L13="","",IF(INDEX(tblRegistros[Data],$L13)&gt;$D$4,"",IFERROR(IF(INDEX(tblRegistros[Status],$L13)="EM ABERTO","",INDEX(tblRegistros[Fim],$L13)),"")))</f>
        <v/>
      </c>
      <c r="F13" s="14" t="str">
        <f>IF($L13="","",IF(INDEX(tblRegistros[Data],$L13)&gt;$D$4,"",IFERROR(IF(INDEX(tblRegistros[Status],$L13)="EM ABERTO","",INDEX(tblRegistros[Horas],$L13)),"")))</f>
        <v/>
      </c>
      <c r="G13" t="str">
        <f>IF($L13="","",IF(INDEX(tblRegistros[Data],$L13)&gt;$D$4,"",IFERROR(INDEX(tblRegistros[Base],$L13),"")))</f>
        <v/>
      </c>
      <c r="H13" s="3" t="str">
        <f>IF($L13="","",IF(INDEX(tblRegistros[Data],$L13)&gt;$D$4,"",IFERROR(INDEX(tblRegistros[Taxa aplicada],$L13),"")))</f>
        <v/>
      </c>
      <c r="I13" s="3" t="str">
        <f>IF($L13="","",IF(INDEX(tblRegistros[Data],$L13)&gt;$D$4,"",IFERROR(IF(INDEX(tblRegistros[Status],$L13)="EM ABERTO","",INDEX(tblRegistros[Valor],$L13)),"")))</f>
        <v/>
      </c>
      <c r="J13" t="str">
        <f>IF($L13="","",IF(INDEX(tblRegistros[Data],$L13)&gt;$D$4,"",IFERROR(INDEX(tblRegistros[Status],$L13),"")))</f>
        <v/>
      </c>
      <c r="K13" t="str">
        <f>IF($L13="","",IF(INDEX(tblRegistros[Data],$L13)&gt;$D$4,"",IFERROR(INDEX(tblRegistros[Observação],$L13),"")))</f>
        <v/>
      </c>
      <c r="L13" s="16" t="str">
        <f>IFERROR(MATCH($B$3*100000+COUNTIFS(tblRegistros[ID],$B$3,tblRegistros[Data],"&lt;"&amp;$B$4)+ROWS($L$10:L13),tblRegistros[Chave do cartão],0),"")</f>
        <v/>
      </c>
    </row>
    <row r="14" spans="1:12">
      <c r="A14" s="2" t="str">
        <f>IF($L14="","",IF(INDEX(tblRegistros[Data],$L14)&gt;$D$4,"",IFERROR(INDEX(tblRegistros[Data],$L14),"")))</f>
        <v/>
      </c>
      <c r="B14" t="str">
        <f>IF($L14="","",IF(INDEX(tblRegistros[Data],$L14)&gt;$D$4,"",IFERROR(INDEX(tblRegistros[Projeto],$L14),"")))</f>
        <v/>
      </c>
      <c r="C14" t="str">
        <f>IF($L14="","",IF(INDEX(tblRegistros[Data],$L14)&gt;$D$4,"",IFERROR(INDEX(tblRegistros[Atividade],$L14),"")))</f>
        <v/>
      </c>
      <c r="D14" s="4" t="str">
        <f>IF($L14="","",IF(INDEX(tblRegistros[Data],$L14)&gt;$D$4,"",IFERROR(INDEX(tblRegistros[Início],$L14),"")))</f>
        <v/>
      </c>
      <c r="E14" s="4" t="str">
        <f>IF($L14="","",IF(INDEX(tblRegistros[Data],$L14)&gt;$D$4,"",IFERROR(IF(INDEX(tblRegistros[Status],$L14)="EM ABERTO","",INDEX(tblRegistros[Fim],$L14)),"")))</f>
        <v/>
      </c>
      <c r="F14" s="14" t="str">
        <f>IF($L14="","",IF(INDEX(tblRegistros[Data],$L14)&gt;$D$4,"",IFERROR(IF(INDEX(tblRegistros[Status],$L14)="EM ABERTO","",INDEX(tblRegistros[Horas],$L14)),"")))</f>
        <v/>
      </c>
      <c r="G14" t="str">
        <f>IF($L14="","",IF(INDEX(tblRegistros[Data],$L14)&gt;$D$4,"",IFERROR(INDEX(tblRegistros[Base],$L14),"")))</f>
        <v/>
      </c>
      <c r="H14" s="3" t="str">
        <f>IF($L14="","",IF(INDEX(tblRegistros[Data],$L14)&gt;$D$4,"",IFERROR(INDEX(tblRegistros[Taxa aplicada],$L14),"")))</f>
        <v/>
      </c>
      <c r="I14" s="3" t="str">
        <f>IF($L14="","",IF(INDEX(tblRegistros[Data],$L14)&gt;$D$4,"",IFERROR(IF(INDEX(tblRegistros[Status],$L14)="EM ABERTO","",INDEX(tblRegistros[Valor],$L14)),"")))</f>
        <v/>
      </c>
      <c r="J14" t="str">
        <f>IF($L14="","",IF(INDEX(tblRegistros[Data],$L14)&gt;$D$4,"",IFERROR(INDEX(tblRegistros[Status],$L14),"")))</f>
        <v/>
      </c>
      <c r="K14" t="str">
        <f>IF($L14="","",IF(INDEX(tblRegistros[Data],$L14)&gt;$D$4,"",IFERROR(INDEX(tblRegistros[Observação],$L14),"")))</f>
        <v/>
      </c>
      <c r="L14" s="16" t="str">
        <f>IFERROR(MATCH($B$3*100000+COUNTIFS(tblRegistros[ID],$B$3,tblRegistros[Data],"&lt;"&amp;$B$4)+ROWS($L$10:L14),tblRegistros[Chave do cartão],0),"")</f>
        <v/>
      </c>
    </row>
    <row r="15" spans="1:12">
      <c r="A15" s="2" t="str">
        <f>IF($L15="","",IF(INDEX(tblRegistros[Data],$L15)&gt;$D$4,"",IFERROR(INDEX(tblRegistros[Data],$L15),"")))</f>
        <v/>
      </c>
      <c r="B15" t="str">
        <f>IF($L15="","",IF(INDEX(tblRegistros[Data],$L15)&gt;$D$4,"",IFERROR(INDEX(tblRegistros[Projeto],$L15),"")))</f>
        <v/>
      </c>
      <c r="C15" t="str">
        <f>IF($L15="","",IF(INDEX(tblRegistros[Data],$L15)&gt;$D$4,"",IFERROR(INDEX(tblRegistros[Atividade],$L15),"")))</f>
        <v/>
      </c>
      <c r="D15" s="4" t="str">
        <f>IF($L15="","",IF(INDEX(tblRegistros[Data],$L15)&gt;$D$4,"",IFERROR(INDEX(tblRegistros[Início],$L15),"")))</f>
        <v/>
      </c>
      <c r="E15" s="4" t="str">
        <f>IF($L15="","",IF(INDEX(tblRegistros[Data],$L15)&gt;$D$4,"",IFERROR(IF(INDEX(tblRegistros[Status],$L15)="EM ABERTO","",INDEX(tblRegistros[Fim],$L15)),"")))</f>
        <v/>
      </c>
      <c r="F15" s="14" t="str">
        <f>IF($L15="","",IF(INDEX(tblRegistros[Data],$L15)&gt;$D$4,"",IFERROR(IF(INDEX(tblRegistros[Status],$L15)="EM ABERTO","",INDEX(tblRegistros[Horas],$L15)),"")))</f>
        <v/>
      </c>
      <c r="G15" t="str">
        <f>IF($L15="","",IF(INDEX(tblRegistros[Data],$L15)&gt;$D$4,"",IFERROR(INDEX(tblRegistros[Base],$L15),"")))</f>
        <v/>
      </c>
      <c r="H15" s="3" t="str">
        <f>IF($L15="","",IF(INDEX(tblRegistros[Data],$L15)&gt;$D$4,"",IFERROR(INDEX(tblRegistros[Taxa aplicada],$L15),"")))</f>
        <v/>
      </c>
      <c r="I15" s="3" t="str">
        <f>IF($L15="","",IF(INDEX(tblRegistros[Data],$L15)&gt;$D$4,"",IFERROR(IF(INDEX(tblRegistros[Status],$L15)="EM ABERTO","",INDEX(tblRegistros[Valor],$L15)),"")))</f>
        <v/>
      </c>
      <c r="J15" t="str">
        <f>IF($L15="","",IF(INDEX(tblRegistros[Data],$L15)&gt;$D$4,"",IFERROR(INDEX(tblRegistros[Status],$L15),"")))</f>
        <v/>
      </c>
      <c r="K15" t="str">
        <f>IF($L15="","",IF(INDEX(tblRegistros[Data],$L15)&gt;$D$4,"",IFERROR(INDEX(tblRegistros[Observação],$L15),"")))</f>
        <v/>
      </c>
      <c r="L15" s="16" t="str">
        <f>IFERROR(MATCH($B$3*100000+COUNTIFS(tblRegistros[ID],$B$3,tblRegistros[Data],"&lt;"&amp;$B$4)+ROWS($L$10:L15),tblRegistros[Chave do cartão],0),"")</f>
        <v/>
      </c>
    </row>
    <row r="16" spans="1:12">
      <c r="A16" s="2" t="str">
        <f>IF($L16="","",IF(INDEX(tblRegistros[Data],$L16)&gt;$D$4,"",IFERROR(INDEX(tblRegistros[Data],$L16),"")))</f>
        <v/>
      </c>
      <c r="B16" t="str">
        <f>IF($L16="","",IF(INDEX(tblRegistros[Data],$L16)&gt;$D$4,"",IFERROR(INDEX(tblRegistros[Projeto],$L16),"")))</f>
        <v/>
      </c>
      <c r="C16" t="str">
        <f>IF($L16="","",IF(INDEX(tblRegistros[Data],$L16)&gt;$D$4,"",IFERROR(INDEX(tblRegistros[Atividade],$L16),"")))</f>
        <v/>
      </c>
      <c r="D16" s="4" t="str">
        <f>IF($L16="","",IF(INDEX(tblRegistros[Data],$L16)&gt;$D$4,"",IFERROR(INDEX(tblRegistros[Início],$L16),"")))</f>
        <v/>
      </c>
      <c r="E16" s="4" t="str">
        <f>IF($L16="","",IF(INDEX(tblRegistros[Data],$L16)&gt;$D$4,"",IFERROR(IF(INDEX(tblRegistros[Status],$L16)="EM ABERTO","",INDEX(tblRegistros[Fim],$L16)),"")))</f>
        <v/>
      </c>
      <c r="F16" s="14" t="str">
        <f>IF($L16="","",IF(INDEX(tblRegistros[Data],$L16)&gt;$D$4,"",IFERROR(IF(INDEX(tblRegistros[Status],$L16)="EM ABERTO","",INDEX(tblRegistros[Horas],$L16)),"")))</f>
        <v/>
      </c>
      <c r="G16" t="str">
        <f>IF($L16="","",IF(INDEX(tblRegistros[Data],$L16)&gt;$D$4,"",IFERROR(INDEX(tblRegistros[Base],$L16),"")))</f>
        <v/>
      </c>
      <c r="H16" s="3" t="str">
        <f>IF($L16="","",IF(INDEX(tblRegistros[Data],$L16)&gt;$D$4,"",IFERROR(INDEX(tblRegistros[Taxa aplicada],$L16),"")))</f>
        <v/>
      </c>
      <c r="I16" s="3" t="str">
        <f>IF($L16="","",IF(INDEX(tblRegistros[Data],$L16)&gt;$D$4,"",IFERROR(IF(INDEX(tblRegistros[Status],$L16)="EM ABERTO","",INDEX(tblRegistros[Valor],$L16)),"")))</f>
        <v/>
      </c>
      <c r="J16" t="str">
        <f>IF($L16="","",IF(INDEX(tblRegistros[Data],$L16)&gt;$D$4,"",IFERROR(INDEX(tblRegistros[Status],$L16),"")))</f>
        <v/>
      </c>
      <c r="K16" t="str">
        <f>IF($L16="","",IF(INDEX(tblRegistros[Data],$L16)&gt;$D$4,"",IFERROR(INDEX(tblRegistros[Observação],$L16),"")))</f>
        <v/>
      </c>
      <c r="L16" s="16" t="str">
        <f>IFERROR(MATCH($B$3*100000+COUNTIFS(tblRegistros[ID],$B$3,tblRegistros[Data],"&lt;"&amp;$B$4)+ROWS($L$10:L16),tblRegistros[Chave do cartão],0),"")</f>
        <v/>
      </c>
    </row>
    <row r="17" spans="1:12">
      <c r="A17" s="2" t="str">
        <f>IF($L17="","",IF(INDEX(tblRegistros[Data],$L17)&gt;$D$4,"",IFERROR(INDEX(tblRegistros[Data],$L17),"")))</f>
        <v/>
      </c>
      <c r="B17" t="str">
        <f>IF($L17="","",IF(INDEX(tblRegistros[Data],$L17)&gt;$D$4,"",IFERROR(INDEX(tblRegistros[Projeto],$L17),"")))</f>
        <v/>
      </c>
      <c r="C17" t="str">
        <f>IF($L17="","",IF(INDEX(tblRegistros[Data],$L17)&gt;$D$4,"",IFERROR(INDEX(tblRegistros[Atividade],$L17),"")))</f>
        <v/>
      </c>
      <c r="D17" s="4" t="str">
        <f>IF($L17="","",IF(INDEX(tblRegistros[Data],$L17)&gt;$D$4,"",IFERROR(INDEX(tblRegistros[Início],$L17),"")))</f>
        <v/>
      </c>
      <c r="E17" s="4" t="str">
        <f>IF($L17="","",IF(INDEX(tblRegistros[Data],$L17)&gt;$D$4,"",IFERROR(IF(INDEX(tblRegistros[Status],$L17)="EM ABERTO","",INDEX(tblRegistros[Fim],$L17)),"")))</f>
        <v/>
      </c>
      <c r="F17" s="14" t="str">
        <f>IF($L17="","",IF(INDEX(tblRegistros[Data],$L17)&gt;$D$4,"",IFERROR(IF(INDEX(tblRegistros[Status],$L17)="EM ABERTO","",INDEX(tblRegistros[Horas],$L17)),"")))</f>
        <v/>
      </c>
      <c r="G17" t="str">
        <f>IF($L17="","",IF(INDEX(tblRegistros[Data],$L17)&gt;$D$4,"",IFERROR(INDEX(tblRegistros[Base],$L17),"")))</f>
        <v/>
      </c>
      <c r="H17" s="3" t="str">
        <f>IF($L17="","",IF(INDEX(tblRegistros[Data],$L17)&gt;$D$4,"",IFERROR(INDEX(tblRegistros[Taxa aplicada],$L17),"")))</f>
        <v/>
      </c>
      <c r="I17" s="3" t="str">
        <f>IF($L17="","",IF(INDEX(tblRegistros[Data],$L17)&gt;$D$4,"",IFERROR(IF(INDEX(tblRegistros[Status],$L17)="EM ABERTO","",INDEX(tblRegistros[Valor],$L17)),"")))</f>
        <v/>
      </c>
      <c r="J17" t="str">
        <f>IF($L17="","",IF(INDEX(tblRegistros[Data],$L17)&gt;$D$4,"",IFERROR(INDEX(tblRegistros[Status],$L17),"")))</f>
        <v/>
      </c>
      <c r="K17" t="str">
        <f>IF($L17="","",IF(INDEX(tblRegistros[Data],$L17)&gt;$D$4,"",IFERROR(INDEX(tblRegistros[Observação],$L17),"")))</f>
        <v/>
      </c>
      <c r="L17" s="16" t="str">
        <f>IFERROR(MATCH($B$3*100000+COUNTIFS(tblRegistros[ID],$B$3,tblRegistros[Data],"&lt;"&amp;$B$4)+ROWS($L$10:L17),tblRegistros[Chave do cartão],0),"")</f>
        <v/>
      </c>
    </row>
    <row r="18" spans="1:12">
      <c r="A18" s="2" t="str">
        <f>IF($L18="","",IF(INDEX(tblRegistros[Data],$L18)&gt;$D$4,"",IFERROR(INDEX(tblRegistros[Data],$L18),"")))</f>
        <v/>
      </c>
      <c r="B18" t="str">
        <f>IF($L18="","",IF(INDEX(tblRegistros[Data],$L18)&gt;$D$4,"",IFERROR(INDEX(tblRegistros[Projeto],$L18),"")))</f>
        <v/>
      </c>
      <c r="C18" t="str">
        <f>IF($L18="","",IF(INDEX(tblRegistros[Data],$L18)&gt;$D$4,"",IFERROR(INDEX(tblRegistros[Atividade],$L18),"")))</f>
        <v/>
      </c>
      <c r="D18" s="4" t="str">
        <f>IF($L18="","",IF(INDEX(tblRegistros[Data],$L18)&gt;$D$4,"",IFERROR(INDEX(tblRegistros[Início],$L18),"")))</f>
        <v/>
      </c>
      <c r="E18" s="4" t="str">
        <f>IF($L18="","",IF(INDEX(tblRegistros[Data],$L18)&gt;$D$4,"",IFERROR(IF(INDEX(tblRegistros[Status],$L18)="EM ABERTO","",INDEX(tblRegistros[Fim],$L18)),"")))</f>
        <v/>
      </c>
      <c r="F18" s="14" t="str">
        <f>IF($L18="","",IF(INDEX(tblRegistros[Data],$L18)&gt;$D$4,"",IFERROR(IF(INDEX(tblRegistros[Status],$L18)="EM ABERTO","",INDEX(tblRegistros[Horas],$L18)),"")))</f>
        <v/>
      </c>
      <c r="G18" t="str">
        <f>IF($L18="","",IF(INDEX(tblRegistros[Data],$L18)&gt;$D$4,"",IFERROR(INDEX(tblRegistros[Base],$L18),"")))</f>
        <v/>
      </c>
      <c r="H18" s="3" t="str">
        <f>IF($L18="","",IF(INDEX(tblRegistros[Data],$L18)&gt;$D$4,"",IFERROR(INDEX(tblRegistros[Taxa aplicada],$L18),"")))</f>
        <v/>
      </c>
      <c r="I18" s="3" t="str">
        <f>IF($L18="","",IF(INDEX(tblRegistros[Data],$L18)&gt;$D$4,"",IFERROR(IF(INDEX(tblRegistros[Status],$L18)="EM ABERTO","",INDEX(tblRegistros[Valor],$L18)),"")))</f>
        <v/>
      </c>
      <c r="J18" t="str">
        <f>IF($L18="","",IF(INDEX(tblRegistros[Data],$L18)&gt;$D$4,"",IFERROR(INDEX(tblRegistros[Status],$L18),"")))</f>
        <v/>
      </c>
      <c r="K18" t="str">
        <f>IF($L18="","",IF(INDEX(tblRegistros[Data],$L18)&gt;$D$4,"",IFERROR(INDEX(tblRegistros[Observação],$L18),"")))</f>
        <v/>
      </c>
      <c r="L18" s="16" t="str">
        <f>IFERROR(MATCH($B$3*100000+COUNTIFS(tblRegistros[ID],$B$3,tblRegistros[Data],"&lt;"&amp;$B$4)+ROWS($L$10:L18),tblRegistros[Chave do cartão],0),"")</f>
        <v/>
      </c>
    </row>
    <row r="19" spans="1:12">
      <c r="A19" s="2" t="str">
        <f>IF($L19="","",IF(INDEX(tblRegistros[Data],$L19)&gt;$D$4,"",IFERROR(INDEX(tblRegistros[Data],$L19),"")))</f>
        <v/>
      </c>
      <c r="B19" t="str">
        <f>IF($L19="","",IF(INDEX(tblRegistros[Data],$L19)&gt;$D$4,"",IFERROR(INDEX(tblRegistros[Projeto],$L19),"")))</f>
        <v/>
      </c>
      <c r="C19" t="str">
        <f>IF($L19="","",IF(INDEX(tblRegistros[Data],$L19)&gt;$D$4,"",IFERROR(INDEX(tblRegistros[Atividade],$L19),"")))</f>
        <v/>
      </c>
      <c r="D19" s="4" t="str">
        <f>IF($L19="","",IF(INDEX(tblRegistros[Data],$L19)&gt;$D$4,"",IFERROR(INDEX(tblRegistros[Início],$L19),"")))</f>
        <v/>
      </c>
      <c r="E19" s="4" t="str">
        <f>IF($L19="","",IF(INDEX(tblRegistros[Data],$L19)&gt;$D$4,"",IFERROR(IF(INDEX(tblRegistros[Status],$L19)="EM ABERTO","",INDEX(tblRegistros[Fim],$L19)),"")))</f>
        <v/>
      </c>
      <c r="F19" s="14" t="str">
        <f>IF($L19="","",IF(INDEX(tblRegistros[Data],$L19)&gt;$D$4,"",IFERROR(IF(INDEX(tblRegistros[Status],$L19)="EM ABERTO","",INDEX(tblRegistros[Horas],$L19)),"")))</f>
        <v/>
      </c>
      <c r="G19" t="str">
        <f>IF($L19="","",IF(INDEX(tblRegistros[Data],$L19)&gt;$D$4,"",IFERROR(INDEX(tblRegistros[Base],$L19),"")))</f>
        <v/>
      </c>
      <c r="H19" s="3" t="str">
        <f>IF($L19="","",IF(INDEX(tblRegistros[Data],$L19)&gt;$D$4,"",IFERROR(INDEX(tblRegistros[Taxa aplicada],$L19),"")))</f>
        <v/>
      </c>
      <c r="I19" s="3" t="str">
        <f>IF($L19="","",IF(INDEX(tblRegistros[Data],$L19)&gt;$D$4,"",IFERROR(IF(INDEX(tblRegistros[Status],$L19)="EM ABERTO","",INDEX(tblRegistros[Valor],$L19)),"")))</f>
        <v/>
      </c>
      <c r="J19" t="str">
        <f>IF($L19="","",IF(INDEX(tblRegistros[Data],$L19)&gt;$D$4,"",IFERROR(INDEX(tblRegistros[Status],$L19),"")))</f>
        <v/>
      </c>
      <c r="K19" t="str">
        <f>IF($L19="","",IF(INDEX(tblRegistros[Data],$L19)&gt;$D$4,"",IFERROR(INDEX(tblRegistros[Observação],$L19),"")))</f>
        <v/>
      </c>
      <c r="L19" s="16" t="str">
        <f>IFERROR(MATCH($B$3*100000+COUNTIFS(tblRegistros[ID],$B$3,tblRegistros[Data],"&lt;"&amp;$B$4)+ROWS($L$10:L19),tblRegistros[Chave do cartão],0),"")</f>
        <v/>
      </c>
    </row>
    <row r="20" spans="1:12">
      <c r="A20" s="2" t="str">
        <f>IF($L20="","",IF(INDEX(tblRegistros[Data],$L20)&gt;$D$4,"",IFERROR(INDEX(tblRegistros[Data],$L20),"")))</f>
        <v/>
      </c>
      <c r="B20" t="str">
        <f>IF($L20="","",IF(INDEX(tblRegistros[Data],$L20)&gt;$D$4,"",IFERROR(INDEX(tblRegistros[Projeto],$L20),"")))</f>
        <v/>
      </c>
      <c r="C20" t="str">
        <f>IF($L20="","",IF(INDEX(tblRegistros[Data],$L20)&gt;$D$4,"",IFERROR(INDEX(tblRegistros[Atividade],$L20),"")))</f>
        <v/>
      </c>
      <c r="D20" s="4" t="str">
        <f>IF($L20="","",IF(INDEX(tblRegistros[Data],$L20)&gt;$D$4,"",IFERROR(INDEX(tblRegistros[Início],$L20),"")))</f>
        <v/>
      </c>
      <c r="E20" s="4" t="str">
        <f>IF($L20="","",IF(INDEX(tblRegistros[Data],$L20)&gt;$D$4,"",IFERROR(IF(INDEX(tblRegistros[Status],$L20)="EM ABERTO","",INDEX(tblRegistros[Fim],$L20)),"")))</f>
        <v/>
      </c>
      <c r="F20" s="14" t="str">
        <f>IF($L20="","",IF(INDEX(tblRegistros[Data],$L20)&gt;$D$4,"",IFERROR(IF(INDEX(tblRegistros[Status],$L20)="EM ABERTO","",INDEX(tblRegistros[Horas],$L20)),"")))</f>
        <v/>
      </c>
      <c r="G20" t="str">
        <f>IF($L20="","",IF(INDEX(tblRegistros[Data],$L20)&gt;$D$4,"",IFERROR(INDEX(tblRegistros[Base],$L20),"")))</f>
        <v/>
      </c>
      <c r="H20" s="3" t="str">
        <f>IF($L20="","",IF(INDEX(tblRegistros[Data],$L20)&gt;$D$4,"",IFERROR(INDEX(tblRegistros[Taxa aplicada],$L20),"")))</f>
        <v/>
      </c>
      <c r="I20" s="3" t="str">
        <f>IF($L20="","",IF(INDEX(tblRegistros[Data],$L20)&gt;$D$4,"",IFERROR(IF(INDEX(tblRegistros[Status],$L20)="EM ABERTO","",INDEX(tblRegistros[Valor],$L20)),"")))</f>
        <v/>
      </c>
      <c r="J20" t="str">
        <f>IF($L20="","",IF(INDEX(tblRegistros[Data],$L20)&gt;$D$4,"",IFERROR(INDEX(tblRegistros[Status],$L20),"")))</f>
        <v/>
      </c>
      <c r="K20" t="str">
        <f>IF($L20="","",IF(INDEX(tblRegistros[Data],$L20)&gt;$D$4,"",IFERROR(INDEX(tblRegistros[Observação],$L20),"")))</f>
        <v/>
      </c>
      <c r="L20" s="16" t="str">
        <f>IFERROR(MATCH($B$3*100000+COUNTIFS(tblRegistros[ID],$B$3,tblRegistros[Data],"&lt;"&amp;$B$4)+ROWS($L$10:L20),tblRegistros[Chave do cartão],0),"")</f>
        <v/>
      </c>
    </row>
    <row r="21" spans="1:12">
      <c r="A21" s="2" t="str">
        <f>IF($L21="","",IF(INDEX(tblRegistros[Data],$L21)&gt;$D$4,"",IFERROR(INDEX(tblRegistros[Data],$L21),"")))</f>
        <v/>
      </c>
      <c r="B21" t="str">
        <f>IF($L21="","",IF(INDEX(tblRegistros[Data],$L21)&gt;$D$4,"",IFERROR(INDEX(tblRegistros[Projeto],$L21),"")))</f>
        <v/>
      </c>
      <c r="C21" t="str">
        <f>IF($L21="","",IF(INDEX(tblRegistros[Data],$L21)&gt;$D$4,"",IFERROR(INDEX(tblRegistros[Atividade],$L21),"")))</f>
        <v/>
      </c>
      <c r="D21" s="4" t="str">
        <f>IF($L21="","",IF(INDEX(tblRegistros[Data],$L21)&gt;$D$4,"",IFERROR(INDEX(tblRegistros[Início],$L21),"")))</f>
        <v/>
      </c>
      <c r="E21" s="4" t="str">
        <f>IF($L21="","",IF(INDEX(tblRegistros[Data],$L21)&gt;$D$4,"",IFERROR(IF(INDEX(tblRegistros[Status],$L21)="EM ABERTO","",INDEX(tblRegistros[Fim],$L21)),"")))</f>
        <v/>
      </c>
      <c r="F21" s="14" t="str">
        <f>IF($L21="","",IF(INDEX(tblRegistros[Data],$L21)&gt;$D$4,"",IFERROR(IF(INDEX(tblRegistros[Status],$L21)="EM ABERTO","",INDEX(tblRegistros[Horas],$L21)),"")))</f>
        <v/>
      </c>
      <c r="G21" t="str">
        <f>IF($L21="","",IF(INDEX(tblRegistros[Data],$L21)&gt;$D$4,"",IFERROR(INDEX(tblRegistros[Base],$L21),"")))</f>
        <v/>
      </c>
      <c r="H21" s="3" t="str">
        <f>IF($L21="","",IF(INDEX(tblRegistros[Data],$L21)&gt;$D$4,"",IFERROR(INDEX(tblRegistros[Taxa aplicada],$L21),"")))</f>
        <v/>
      </c>
      <c r="I21" s="3" t="str">
        <f>IF($L21="","",IF(INDEX(tblRegistros[Data],$L21)&gt;$D$4,"",IFERROR(IF(INDEX(tblRegistros[Status],$L21)="EM ABERTO","",INDEX(tblRegistros[Valor],$L21)),"")))</f>
        <v/>
      </c>
      <c r="J21" t="str">
        <f>IF($L21="","",IF(INDEX(tblRegistros[Data],$L21)&gt;$D$4,"",IFERROR(INDEX(tblRegistros[Status],$L21),"")))</f>
        <v/>
      </c>
      <c r="K21" t="str">
        <f>IF($L21="","",IF(INDEX(tblRegistros[Data],$L21)&gt;$D$4,"",IFERROR(INDEX(tblRegistros[Observação],$L21),"")))</f>
        <v/>
      </c>
      <c r="L21" s="16" t="str">
        <f>IFERROR(MATCH($B$3*100000+COUNTIFS(tblRegistros[ID],$B$3,tblRegistros[Data],"&lt;"&amp;$B$4)+ROWS($L$10:L21),tblRegistros[Chave do cartão],0),"")</f>
        <v/>
      </c>
    </row>
    <row r="22" spans="1:12">
      <c r="A22" s="2" t="str">
        <f>IF($L22="","",IF(INDEX(tblRegistros[Data],$L22)&gt;$D$4,"",IFERROR(INDEX(tblRegistros[Data],$L22),"")))</f>
        <v/>
      </c>
      <c r="B22" t="str">
        <f>IF($L22="","",IF(INDEX(tblRegistros[Data],$L22)&gt;$D$4,"",IFERROR(INDEX(tblRegistros[Projeto],$L22),"")))</f>
        <v/>
      </c>
      <c r="C22" t="str">
        <f>IF($L22="","",IF(INDEX(tblRegistros[Data],$L22)&gt;$D$4,"",IFERROR(INDEX(tblRegistros[Atividade],$L22),"")))</f>
        <v/>
      </c>
      <c r="D22" s="4" t="str">
        <f>IF($L22="","",IF(INDEX(tblRegistros[Data],$L22)&gt;$D$4,"",IFERROR(INDEX(tblRegistros[Início],$L22),"")))</f>
        <v/>
      </c>
      <c r="E22" s="4" t="str">
        <f>IF($L22="","",IF(INDEX(tblRegistros[Data],$L22)&gt;$D$4,"",IFERROR(IF(INDEX(tblRegistros[Status],$L22)="EM ABERTO","",INDEX(tblRegistros[Fim],$L22)),"")))</f>
        <v/>
      </c>
      <c r="F22" s="14" t="str">
        <f>IF($L22="","",IF(INDEX(tblRegistros[Data],$L22)&gt;$D$4,"",IFERROR(IF(INDEX(tblRegistros[Status],$L22)="EM ABERTO","",INDEX(tblRegistros[Horas],$L22)),"")))</f>
        <v/>
      </c>
      <c r="G22" t="str">
        <f>IF($L22="","",IF(INDEX(tblRegistros[Data],$L22)&gt;$D$4,"",IFERROR(INDEX(tblRegistros[Base],$L22),"")))</f>
        <v/>
      </c>
      <c r="H22" s="3" t="str">
        <f>IF($L22="","",IF(INDEX(tblRegistros[Data],$L22)&gt;$D$4,"",IFERROR(INDEX(tblRegistros[Taxa aplicada],$L22),"")))</f>
        <v/>
      </c>
      <c r="I22" s="3" t="str">
        <f>IF($L22="","",IF(INDEX(tblRegistros[Data],$L22)&gt;$D$4,"",IFERROR(IF(INDEX(tblRegistros[Status],$L22)="EM ABERTO","",INDEX(tblRegistros[Valor],$L22)),"")))</f>
        <v/>
      </c>
      <c r="J22" t="str">
        <f>IF($L22="","",IF(INDEX(tblRegistros[Data],$L22)&gt;$D$4,"",IFERROR(INDEX(tblRegistros[Status],$L22),"")))</f>
        <v/>
      </c>
      <c r="K22" t="str">
        <f>IF($L22="","",IF(INDEX(tblRegistros[Data],$L22)&gt;$D$4,"",IFERROR(INDEX(tblRegistros[Observação],$L22),"")))</f>
        <v/>
      </c>
      <c r="L22" s="16" t="str">
        <f>IFERROR(MATCH($B$3*100000+COUNTIFS(tblRegistros[ID],$B$3,tblRegistros[Data],"&lt;"&amp;$B$4)+ROWS($L$10:L22),tblRegistros[Chave do cartão],0),"")</f>
        <v/>
      </c>
    </row>
    <row r="23" spans="1:12">
      <c r="A23" s="2" t="str">
        <f>IF($L23="","",IF(INDEX(tblRegistros[Data],$L23)&gt;$D$4,"",IFERROR(INDEX(tblRegistros[Data],$L23),"")))</f>
        <v/>
      </c>
      <c r="B23" t="str">
        <f>IF($L23="","",IF(INDEX(tblRegistros[Data],$L23)&gt;$D$4,"",IFERROR(INDEX(tblRegistros[Projeto],$L23),"")))</f>
        <v/>
      </c>
      <c r="C23" t="str">
        <f>IF($L23="","",IF(INDEX(tblRegistros[Data],$L23)&gt;$D$4,"",IFERROR(INDEX(tblRegistros[Atividade],$L23),"")))</f>
        <v/>
      </c>
      <c r="D23" s="4" t="str">
        <f>IF($L23="","",IF(INDEX(tblRegistros[Data],$L23)&gt;$D$4,"",IFERROR(INDEX(tblRegistros[Início],$L23),"")))</f>
        <v/>
      </c>
      <c r="E23" s="4" t="str">
        <f>IF($L23="","",IF(INDEX(tblRegistros[Data],$L23)&gt;$D$4,"",IFERROR(IF(INDEX(tblRegistros[Status],$L23)="EM ABERTO","",INDEX(tblRegistros[Fim],$L23)),"")))</f>
        <v/>
      </c>
      <c r="F23" s="14" t="str">
        <f>IF($L23="","",IF(INDEX(tblRegistros[Data],$L23)&gt;$D$4,"",IFERROR(IF(INDEX(tblRegistros[Status],$L23)="EM ABERTO","",INDEX(tblRegistros[Horas],$L23)),"")))</f>
        <v/>
      </c>
      <c r="G23" t="str">
        <f>IF($L23="","",IF(INDEX(tblRegistros[Data],$L23)&gt;$D$4,"",IFERROR(INDEX(tblRegistros[Base],$L23),"")))</f>
        <v/>
      </c>
      <c r="H23" s="3" t="str">
        <f>IF($L23="","",IF(INDEX(tblRegistros[Data],$L23)&gt;$D$4,"",IFERROR(INDEX(tblRegistros[Taxa aplicada],$L23),"")))</f>
        <v/>
      </c>
      <c r="I23" s="3" t="str">
        <f>IF($L23="","",IF(INDEX(tblRegistros[Data],$L23)&gt;$D$4,"",IFERROR(IF(INDEX(tblRegistros[Status],$L23)="EM ABERTO","",INDEX(tblRegistros[Valor],$L23)),"")))</f>
        <v/>
      </c>
      <c r="J23" t="str">
        <f>IF($L23="","",IF(INDEX(tblRegistros[Data],$L23)&gt;$D$4,"",IFERROR(INDEX(tblRegistros[Status],$L23),"")))</f>
        <v/>
      </c>
      <c r="K23" t="str">
        <f>IF($L23="","",IF(INDEX(tblRegistros[Data],$L23)&gt;$D$4,"",IFERROR(INDEX(tblRegistros[Observação],$L23),"")))</f>
        <v/>
      </c>
      <c r="L23" s="16" t="str">
        <f>IFERROR(MATCH($B$3*100000+COUNTIFS(tblRegistros[ID],$B$3,tblRegistros[Data],"&lt;"&amp;$B$4)+ROWS($L$10:L23),tblRegistros[Chave do cartão],0),"")</f>
        <v/>
      </c>
    </row>
    <row r="24" spans="1:12">
      <c r="A24" s="2" t="str">
        <f>IF($L24="","",IF(INDEX(tblRegistros[Data],$L24)&gt;$D$4,"",IFERROR(INDEX(tblRegistros[Data],$L24),"")))</f>
        <v/>
      </c>
      <c r="B24" t="str">
        <f>IF($L24="","",IF(INDEX(tblRegistros[Data],$L24)&gt;$D$4,"",IFERROR(INDEX(tblRegistros[Projeto],$L24),"")))</f>
        <v/>
      </c>
      <c r="C24" t="str">
        <f>IF($L24="","",IF(INDEX(tblRegistros[Data],$L24)&gt;$D$4,"",IFERROR(INDEX(tblRegistros[Atividade],$L24),"")))</f>
        <v/>
      </c>
      <c r="D24" s="4" t="str">
        <f>IF($L24="","",IF(INDEX(tblRegistros[Data],$L24)&gt;$D$4,"",IFERROR(INDEX(tblRegistros[Início],$L24),"")))</f>
        <v/>
      </c>
      <c r="E24" s="4" t="str">
        <f>IF($L24="","",IF(INDEX(tblRegistros[Data],$L24)&gt;$D$4,"",IFERROR(IF(INDEX(tblRegistros[Status],$L24)="EM ABERTO","",INDEX(tblRegistros[Fim],$L24)),"")))</f>
        <v/>
      </c>
      <c r="F24" s="14" t="str">
        <f>IF($L24="","",IF(INDEX(tblRegistros[Data],$L24)&gt;$D$4,"",IFERROR(IF(INDEX(tblRegistros[Status],$L24)="EM ABERTO","",INDEX(tblRegistros[Horas],$L24)),"")))</f>
        <v/>
      </c>
      <c r="G24" t="str">
        <f>IF($L24="","",IF(INDEX(tblRegistros[Data],$L24)&gt;$D$4,"",IFERROR(INDEX(tblRegistros[Base],$L24),"")))</f>
        <v/>
      </c>
      <c r="H24" s="3" t="str">
        <f>IF($L24="","",IF(INDEX(tblRegistros[Data],$L24)&gt;$D$4,"",IFERROR(INDEX(tblRegistros[Taxa aplicada],$L24),"")))</f>
        <v/>
      </c>
      <c r="I24" s="3" t="str">
        <f>IF($L24="","",IF(INDEX(tblRegistros[Data],$L24)&gt;$D$4,"",IFERROR(IF(INDEX(tblRegistros[Status],$L24)="EM ABERTO","",INDEX(tblRegistros[Valor],$L24)),"")))</f>
        <v/>
      </c>
      <c r="J24" t="str">
        <f>IF($L24="","",IF(INDEX(tblRegistros[Data],$L24)&gt;$D$4,"",IFERROR(INDEX(tblRegistros[Status],$L24),"")))</f>
        <v/>
      </c>
      <c r="K24" t="str">
        <f>IF($L24="","",IF(INDEX(tblRegistros[Data],$L24)&gt;$D$4,"",IFERROR(INDEX(tblRegistros[Observação],$L24),"")))</f>
        <v/>
      </c>
      <c r="L24" s="16" t="str">
        <f>IFERROR(MATCH($B$3*100000+COUNTIFS(tblRegistros[ID],$B$3,tblRegistros[Data],"&lt;"&amp;$B$4)+ROWS($L$10:L24),tblRegistros[Chave do cartão],0),"")</f>
        <v/>
      </c>
    </row>
    <row r="25" spans="1:12">
      <c r="A25" s="2" t="str">
        <f>IF($L25="","",IF(INDEX(tblRegistros[Data],$L25)&gt;$D$4,"",IFERROR(INDEX(tblRegistros[Data],$L25),"")))</f>
        <v/>
      </c>
      <c r="B25" t="str">
        <f>IF($L25="","",IF(INDEX(tblRegistros[Data],$L25)&gt;$D$4,"",IFERROR(INDEX(tblRegistros[Projeto],$L25),"")))</f>
        <v/>
      </c>
      <c r="C25" t="str">
        <f>IF($L25="","",IF(INDEX(tblRegistros[Data],$L25)&gt;$D$4,"",IFERROR(INDEX(tblRegistros[Atividade],$L25),"")))</f>
        <v/>
      </c>
      <c r="D25" s="4" t="str">
        <f>IF($L25="","",IF(INDEX(tblRegistros[Data],$L25)&gt;$D$4,"",IFERROR(INDEX(tblRegistros[Início],$L25),"")))</f>
        <v/>
      </c>
      <c r="E25" s="4" t="str">
        <f>IF($L25="","",IF(INDEX(tblRegistros[Data],$L25)&gt;$D$4,"",IFERROR(IF(INDEX(tblRegistros[Status],$L25)="EM ABERTO","",INDEX(tblRegistros[Fim],$L25)),"")))</f>
        <v/>
      </c>
      <c r="F25" s="14" t="str">
        <f>IF($L25="","",IF(INDEX(tblRegistros[Data],$L25)&gt;$D$4,"",IFERROR(IF(INDEX(tblRegistros[Status],$L25)="EM ABERTO","",INDEX(tblRegistros[Horas],$L25)),"")))</f>
        <v/>
      </c>
      <c r="G25" t="str">
        <f>IF($L25="","",IF(INDEX(tblRegistros[Data],$L25)&gt;$D$4,"",IFERROR(INDEX(tblRegistros[Base],$L25),"")))</f>
        <v/>
      </c>
      <c r="H25" s="3" t="str">
        <f>IF($L25="","",IF(INDEX(tblRegistros[Data],$L25)&gt;$D$4,"",IFERROR(INDEX(tblRegistros[Taxa aplicada],$L25),"")))</f>
        <v/>
      </c>
      <c r="I25" s="3" t="str">
        <f>IF($L25="","",IF(INDEX(tblRegistros[Data],$L25)&gt;$D$4,"",IFERROR(IF(INDEX(tblRegistros[Status],$L25)="EM ABERTO","",INDEX(tblRegistros[Valor],$L25)),"")))</f>
        <v/>
      </c>
      <c r="J25" t="str">
        <f>IF($L25="","",IF(INDEX(tblRegistros[Data],$L25)&gt;$D$4,"",IFERROR(INDEX(tblRegistros[Status],$L25),"")))</f>
        <v/>
      </c>
      <c r="K25" t="str">
        <f>IF($L25="","",IF(INDEX(tblRegistros[Data],$L25)&gt;$D$4,"",IFERROR(INDEX(tblRegistros[Observação],$L25),"")))</f>
        <v/>
      </c>
      <c r="L25" s="16" t="str">
        <f>IFERROR(MATCH($B$3*100000+COUNTIFS(tblRegistros[ID],$B$3,tblRegistros[Data],"&lt;"&amp;$B$4)+ROWS($L$10:L25),tblRegistros[Chave do cartão],0),"")</f>
        <v/>
      </c>
    </row>
    <row r="26" spans="1:12">
      <c r="A26" s="2" t="str">
        <f>IF($L26="","",IF(INDEX(tblRegistros[Data],$L26)&gt;$D$4,"",IFERROR(INDEX(tblRegistros[Data],$L26),"")))</f>
        <v/>
      </c>
      <c r="B26" t="str">
        <f>IF($L26="","",IF(INDEX(tblRegistros[Data],$L26)&gt;$D$4,"",IFERROR(INDEX(tblRegistros[Projeto],$L26),"")))</f>
        <v/>
      </c>
      <c r="C26" t="str">
        <f>IF($L26="","",IF(INDEX(tblRegistros[Data],$L26)&gt;$D$4,"",IFERROR(INDEX(tblRegistros[Atividade],$L26),"")))</f>
        <v/>
      </c>
      <c r="D26" s="4" t="str">
        <f>IF($L26="","",IF(INDEX(tblRegistros[Data],$L26)&gt;$D$4,"",IFERROR(INDEX(tblRegistros[Início],$L26),"")))</f>
        <v/>
      </c>
      <c r="E26" s="4" t="str">
        <f>IF($L26="","",IF(INDEX(tblRegistros[Data],$L26)&gt;$D$4,"",IFERROR(IF(INDEX(tblRegistros[Status],$L26)="EM ABERTO","",INDEX(tblRegistros[Fim],$L26)),"")))</f>
        <v/>
      </c>
      <c r="F26" s="14" t="str">
        <f>IF($L26="","",IF(INDEX(tblRegistros[Data],$L26)&gt;$D$4,"",IFERROR(IF(INDEX(tblRegistros[Status],$L26)="EM ABERTO","",INDEX(tblRegistros[Horas],$L26)),"")))</f>
        <v/>
      </c>
      <c r="G26" t="str">
        <f>IF($L26="","",IF(INDEX(tblRegistros[Data],$L26)&gt;$D$4,"",IFERROR(INDEX(tblRegistros[Base],$L26),"")))</f>
        <v/>
      </c>
      <c r="H26" s="3" t="str">
        <f>IF($L26="","",IF(INDEX(tblRegistros[Data],$L26)&gt;$D$4,"",IFERROR(INDEX(tblRegistros[Taxa aplicada],$L26),"")))</f>
        <v/>
      </c>
      <c r="I26" s="3" t="str">
        <f>IF($L26="","",IF(INDEX(tblRegistros[Data],$L26)&gt;$D$4,"",IFERROR(IF(INDEX(tblRegistros[Status],$L26)="EM ABERTO","",INDEX(tblRegistros[Valor],$L26)),"")))</f>
        <v/>
      </c>
      <c r="J26" t="str">
        <f>IF($L26="","",IF(INDEX(tblRegistros[Data],$L26)&gt;$D$4,"",IFERROR(INDEX(tblRegistros[Status],$L26),"")))</f>
        <v/>
      </c>
      <c r="K26" t="str">
        <f>IF($L26="","",IF(INDEX(tblRegistros[Data],$L26)&gt;$D$4,"",IFERROR(INDEX(tblRegistros[Observação],$L26),"")))</f>
        <v/>
      </c>
      <c r="L26" s="16" t="str">
        <f>IFERROR(MATCH($B$3*100000+COUNTIFS(tblRegistros[ID],$B$3,tblRegistros[Data],"&lt;"&amp;$B$4)+ROWS($L$10:L26),tblRegistros[Chave do cartão],0),"")</f>
        <v/>
      </c>
    </row>
    <row r="27" spans="1:12">
      <c r="A27" s="2" t="str">
        <f>IF($L27="","",IF(INDEX(tblRegistros[Data],$L27)&gt;$D$4,"",IFERROR(INDEX(tblRegistros[Data],$L27),"")))</f>
        <v/>
      </c>
      <c r="B27" t="str">
        <f>IF($L27="","",IF(INDEX(tblRegistros[Data],$L27)&gt;$D$4,"",IFERROR(INDEX(tblRegistros[Projeto],$L27),"")))</f>
        <v/>
      </c>
      <c r="C27" t="str">
        <f>IF($L27="","",IF(INDEX(tblRegistros[Data],$L27)&gt;$D$4,"",IFERROR(INDEX(tblRegistros[Atividade],$L27),"")))</f>
        <v/>
      </c>
      <c r="D27" s="4" t="str">
        <f>IF($L27="","",IF(INDEX(tblRegistros[Data],$L27)&gt;$D$4,"",IFERROR(INDEX(tblRegistros[Início],$L27),"")))</f>
        <v/>
      </c>
      <c r="E27" s="4" t="str">
        <f>IF($L27="","",IF(INDEX(tblRegistros[Data],$L27)&gt;$D$4,"",IFERROR(IF(INDEX(tblRegistros[Status],$L27)="EM ABERTO","",INDEX(tblRegistros[Fim],$L27)),"")))</f>
        <v/>
      </c>
      <c r="F27" s="14" t="str">
        <f>IF($L27="","",IF(INDEX(tblRegistros[Data],$L27)&gt;$D$4,"",IFERROR(IF(INDEX(tblRegistros[Status],$L27)="EM ABERTO","",INDEX(tblRegistros[Horas],$L27)),"")))</f>
        <v/>
      </c>
      <c r="G27" t="str">
        <f>IF($L27="","",IF(INDEX(tblRegistros[Data],$L27)&gt;$D$4,"",IFERROR(INDEX(tblRegistros[Base],$L27),"")))</f>
        <v/>
      </c>
      <c r="H27" s="3" t="str">
        <f>IF($L27="","",IF(INDEX(tblRegistros[Data],$L27)&gt;$D$4,"",IFERROR(INDEX(tblRegistros[Taxa aplicada],$L27),"")))</f>
        <v/>
      </c>
      <c r="I27" s="3" t="str">
        <f>IF($L27="","",IF(INDEX(tblRegistros[Data],$L27)&gt;$D$4,"",IFERROR(IF(INDEX(tblRegistros[Status],$L27)="EM ABERTO","",INDEX(tblRegistros[Valor],$L27)),"")))</f>
        <v/>
      </c>
      <c r="J27" t="str">
        <f>IF($L27="","",IF(INDEX(tblRegistros[Data],$L27)&gt;$D$4,"",IFERROR(INDEX(tblRegistros[Status],$L27),"")))</f>
        <v/>
      </c>
      <c r="K27" t="str">
        <f>IF($L27="","",IF(INDEX(tblRegistros[Data],$L27)&gt;$D$4,"",IFERROR(INDEX(tblRegistros[Observação],$L27),"")))</f>
        <v/>
      </c>
      <c r="L27" s="16" t="str">
        <f>IFERROR(MATCH($B$3*100000+COUNTIFS(tblRegistros[ID],$B$3,tblRegistros[Data],"&lt;"&amp;$B$4)+ROWS($L$10:L27),tblRegistros[Chave do cartão],0),"")</f>
        <v/>
      </c>
    </row>
    <row r="28" spans="1:12">
      <c r="A28" s="2" t="str">
        <f>IF($L28="","",IF(INDEX(tblRegistros[Data],$L28)&gt;$D$4,"",IFERROR(INDEX(tblRegistros[Data],$L28),"")))</f>
        <v/>
      </c>
      <c r="B28" t="str">
        <f>IF($L28="","",IF(INDEX(tblRegistros[Data],$L28)&gt;$D$4,"",IFERROR(INDEX(tblRegistros[Projeto],$L28),"")))</f>
        <v/>
      </c>
      <c r="C28" t="str">
        <f>IF($L28="","",IF(INDEX(tblRegistros[Data],$L28)&gt;$D$4,"",IFERROR(INDEX(tblRegistros[Atividade],$L28),"")))</f>
        <v/>
      </c>
      <c r="D28" s="4" t="str">
        <f>IF($L28="","",IF(INDEX(tblRegistros[Data],$L28)&gt;$D$4,"",IFERROR(INDEX(tblRegistros[Início],$L28),"")))</f>
        <v/>
      </c>
      <c r="E28" s="4" t="str">
        <f>IF($L28="","",IF(INDEX(tblRegistros[Data],$L28)&gt;$D$4,"",IFERROR(IF(INDEX(tblRegistros[Status],$L28)="EM ABERTO","",INDEX(tblRegistros[Fim],$L28)),"")))</f>
        <v/>
      </c>
      <c r="F28" s="14" t="str">
        <f>IF($L28="","",IF(INDEX(tblRegistros[Data],$L28)&gt;$D$4,"",IFERROR(IF(INDEX(tblRegistros[Status],$L28)="EM ABERTO","",INDEX(tblRegistros[Horas],$L28)),"")))</f>
        <v/>
      </c>
      <c r="G28" t="str">
        <f>IF($L28="","",IF(INDEX(tblRegistros[Data],$L28)&gt;$D$4,"",IFERROR(INDEX(tblRegistros[Base],$L28),"")))</f>
        <v/>
      </c>
      <c r="H28" s="3" t="str">
        <f>IF($L28="","",IF(INDEX(tblRegistros[Data],$L28)&gt;$D$4,"",IFERROR(INDEX(tblRegistros[Taxa aplicada],$L28),"")))</f>
        <v/>
      </c>
      <c r="I28" s="3" t="str">
        <f>IF($L28="","",IF(INDEX(tblRegistros[Data],$L28)&gt;$D$4,"",IFERROR(IF(INDEX(tblRegistros[Status],$L28)="EM ABERTO","",INDEX(tblRegistros[Valor],$L28)),"")))</f>
        <v/>
      </c>
      <c r="J28" t="str">
        <f>IF($L28="","",IF(INDEX(tblRegistros[Data],$L28)&gt;$D$4,"",IFERROR(INDEX(tblRegistros[Status],$L28),"")))</f>
        <v/>
      </c>
      <c r="K28" t="str">
        <f>IF($L28="","",IF(INDEX(tblRegistros[Data],$L28)&gt;$D$4,"",IFERROR(INDEX(tblRegistros[Observação],$L28),"")))</f>
        <v/>
      </c>
      <c r="L28" s="16" t="str">
        <f>IFERROR(MATCH($B$3*100000+COUNTIFS(tblRegistros[ID],$B$3,tblRegistros[Data],"&lt;"&amp;$B$4)+ROWS($L$10:L28),tblRegistros[Chave do cartão],0),"")</f>
        <v/>
      </c>
    </row>
    <row r="29" spans="1:12">
      <c r="A29" s="2" t="str">
        <f>IF($L29="","",IF(INDEX(tblRegistros[Data],$L29)&gt;$D$4,"",IFERROR(INDEX(tblRegistros[Data],$L29),"")))</f>
        <v/>
      </c>
      <c r="B29" t="str">
        <f>IF($L29="","",IF(INDEX(tblRegistros[Data],$L29)&gt;$D$4,"",IFERROR(INDEX(tblRegistros[Projeto],$L29),"")))</f>
        <v/>
      </c>
      <c r="C29" t="str">
        <f>IF($L29="","",IF(INDEX(tblRegistros[Data],$L29)&gt;$D$4,"",IFERROR(INDEX(tblRegistros[Atividade],$L29),"")))</f>
        <v/>
      </c>
      <c r="D29" s="4" t="str">
        <f>IF($L29="","",IF(INDEX(tblRegistros[Data],$L29)&gt;$D$4,"",IFERROR(INDEX(tblRegistros[Início],$L29),"")))</f>
        <v/>
      </c>
      <c r="E29" s="4" t="str">
        <f>IF($L29="","",IF(INDEX(tblRegistros[Data],$L29)&gt;$D$4,"",IFERROR(IF(INDEX(tblRegistros[Status],$L29)="EM ABERTO","",INDEX(tblRegistros[Fim],$L29)),"")))</f>
        <v/>
      </c>
      <c r="F29" s="14" t="str">
        <f>IF($L29="","",IF(INDEX(tblRegistros[Data],$L29)&gt;$D$4,"",IFERROR(IF(INDEX(tblRegistros[Status],$L29)="EM ABERTO","",INDEX(tblRegistros[Horas],$L29)),"")))</f>
        <v/>
      </c>
      <c r="G29" t="str">
        <f>IF($L29="","",IF(INDEX(tblRegistros[Data],$L29)&gt;$D$4,"",IFERROR(INDEX(tblRegistros[Base],$L29),"")))</f>
        <v/>
      </c>
      <c r="H29" s="3" t="str">
        <f>IF($L29="","",IF(INDEX(tblRegistros[Data],$L29)&gt;$D$4,"",IFERROR(INDEX(tblRegistros[Taxa aplicada],$L29),"")))</f>
        <v/>
      </c>
      <c r="I29" s="3" t="str">
        <f>IF($L29="","",IF(INDEX(tblRegistros[Data],$L29)&gt;$D$4,"",IFERROR(IF(INDEX(tblRegistros[Status],$L29)="EM ABERTO","",INDEX(tblRegistros[Valor],$L29)),"")))</f>
        <v/>
      </c>
      <c r="J29" t="str">
        <f>IF($L29="","",IF(INDEX(tblRegistros[Data],$L29)&gt;$D$4,"",IFERROR(INDEX(tblRegistros[Status],$L29),"")))</f>
        <v/>
      </c>
      <c r="K29" t="str">
        <f>IF($L29="","",IF(INDEX(tblRegistros[Data],$L29)&gt;$D$4,"",IFERROR(INDEX(tblRegistros[Observação],$L29),"")))</f>
        <v/>
      </c>
      <c r="L29" s="16" t="str">
        <f>IFERROR(MATCH($B$3*100000+COUNTIFS(tblRegistros[ID],$B$3,tblRegistros[Data],"&lt;"&amp;$B$4)+ROWS($L$10:L29),tblRegistros[Chave do cartão],0),"")</f>
        <v/>
      </c>
    </row>
    <row r="30" spans="1:12">
      <c r="A30" s="2" t="str">
        <f>IF($L30="","",IF(INDEX(tblRegistros[Data],$L30)&gt;$D$4,"",IFERROR(INDEX(tblRegistros[Data],$L30),"")))</f>
        <v/>
      </c>
      <c r="B30" t="str">
        <f>IF($L30="","",IF(INDEX(tblRegistros[Data],$L30)&gt;$D$4,"",IFERROR(INDEX(tblRegistros[Projeto],$L30),"")))</f>
        <v/>
      </c>
      <c r="C30" t="str">
        <f>IF($L30="","",IF(INDEX(tblRegistros[Data],$L30)&gt;$D$4,"",IFERROR(INDEX(tblRegistros[Atividade],$L30),"")))</f>
        <v/>
      </c>
      <c r="D30" s="4" t="str">
        <f>IF($L30="","",IF(INDEX(tblRegistros[Data],$L30)&gt;$D$4,"",IFERROR(INDEX(tblRegistros[Início],$L30),"")))</f>
        <v/>
      </c>
      <c r="E30" s="4" t="str">
        <f>IF($L30="","",IF(INDEX(tblRegistros[Data],$L30)&gt;$D$4,"",IFERROR(IF(INDEX(tblRegistros[Status],$L30)="EM ABERTO","",INDEX(tblRegistros[Fim],$L30)),"")))</f>
        <v/>
      </c>
      <c r="F30" s="14" t="str">
        <f>IF($L30="","",IF(INDEX(tblRegistros[Data],$L30)&gt;$D$4,"",IFERROR(IF(INDEX(tblRegistros[Status],$L30)="EM ABERTO","",INDEX(tblRegistros[Horas],$L30)),"")))</f>
        <v/>
      </c>
      <c r="G30" t="str">
        <f>IF($L30="","",IF(INDEX(tblRegistros[Data],$L30)&gt;$D$4,"",IFERROR(INDEX(tblRegistros[Base],$L30),"")))</f>
        <v/>
      </c>
      <c r="H30" s="3" t="str">
        <f>IF($L30="","",IF(INDEX(tblRegistros[Data],$L30)&gt;$D$4,"",IFERROR(INDEX(tblRegistros[Taxa aplicada],$L30),"")))</f>
        <v/>
      </c>
      <c r="I30" s="3" t="str">
        <f>IF($L30="","",IF(INDEX(tblRegistros[Data],$L30)&gt;$D$4,"",IFERROR(IF(INDEX(tblRegistros[Status],$L30)="EM ABERTO","",INDEX(tblRegistros[Valor],$L30)),"")))</f>
        <v/>
      </c>
      <c r="J30" t="str">
        <f>IF($L30="","",IF(INDEX(tblRegistros[Data],$L30)&gt;$D$4,"",IFERROR(INDEX(tblRegistros[Status],$L30),"")))</f>
        <v/>
      </c>
      <c r="K30" t="str">
        <f>IF($L30="","",IF(INDEX(tblRegistros[Data],$L30)&gt;$D$4,"",IFERROR(INDEX(tblRegistros[Observação],$L30),"")))</f>
        <v/>
      </c>
      <c r="L30" s="16" t="str">
        <f>IFERROR(MATCH($B$3*100000+COUNTIFS(tblRegistros[ID],$B$3,tblRegistros[Data],"&lt;"&amp;$B$4)+ROWS($L$10:L30),tblRegistros[Chave do cartão],0),"")</f>
        <v/>
      </c>
    </row>
    <row r="31" spans="1:12">
      <c r="A31" s="2" t="str">
        <f>IF($L31="","",IF(INDEX(tblRegistros[Data],$L31)&gt;$D$4,"",IFERROR(INDEX(tblRegistros[Data],$L31),"")))</f>
        <v/>
      </c>
      <c r="B31" t="str">
        <f>IF($L31="","",IF(INDEX(tblRegistros[Data],$L31)&gt;$D$4,"",IFERROR(INDEX(tblRegistros[Projeto],$L31),"")))</f>
        <v/>
      </c>
      <c r="C31" t="str">
        <f>IF($L31="","",IF(INDEX(tblRegistros[Data],$L31)&gt;$D$4,"",IFERROR(INDEX(tblRegistros[Atividade],$L31),"")))</f>
        <v/>
      </c>
      <c r="D31" s="4" t="str">
        <f>IF($L31="","",IF(INDEX(tblRegistros[Data],$L31)&gt;$D$4,"",IFERROR(INDEX(tblRegistros[Início],$L31),"")))</f>
        <v/>
      </c>
      <c r="E31" s="4" t="str">
        <f>IF($L31="","",IF(INDEX(tblRegistros[Data],$L31)&gt;$D$4,"",IFERROR(IF(INDEX(tblRegistros[Status],$L31)="EM ABERTO","",INDEX(tblRegistros[Fim],$L31)),"")))</f>
        <v/>
      </c>
      <c r="F31" s="14" t="str">
        <f>IF($L31="","",IF(INDEX(tblRegistros[Data],$L31)&gt;$D$4,"",IFERROR(IF(INDEX(tblRegistros[Status],$L31)="EM ABERTO","",INDEX(tblRegistros[Horas],$L31)),"")))</f>
        <v/>
      </c>
      <c r="G31" t="str">
        <f>IF($L31="","",IF(INDEX(tblRegistros[Data],$L31)&gt;$D$4,"",IFERROR(INDEX(tblRegistros[Base],$L31),"")))</f>
        <v/>
      </c>
      <c r="H31" s="3" t="str">
        <f>IF($L31="","",IF(INDEX(tblRegistros[Data],$L31)&gt;$D$4,"",IFERROR(INDEX(tblRegistros[Taxa aplicada],$L31),"")))</f>
        <v/>
      </c>
      <c r="I31" s="3" t="str">
        <f>IF($L31="","",IF(INDEX(tblRegistros[Data],$L31)&gt;$D$4,"",IFERROR(IF(INDEX(tblRegistros[Status],$L31)="EM ABERTO","",INDEX(tblRegistros[Valor],$L31)),"")))</f>
        <v/>
      </c>
      <c r="J31" t="str">
        <f>IF($L31="","",IF(INDEX(tblRegistros[Data],$L31)&gt;$D$4,"",IFERROR(INDEX(tblRegistros[Status],$L31),"")))</f>
        <v/>
      </c>
      <c r="K31" t="str">
        <f>IF($L31="","",IF(INDEX(tblRegistros[Data],$L31)&gt;$D$4,"",IFERROR(INDEX(tblRegistros[Observação],$L31),"")))</f>
        <v/>
      </c>
      <c r="L31" s="16" t="str">
        <f>IFERROR(MATCH($B$3*100000+COUNTIFS(tblRegistros[ID],$B$3,tblRegistros[Data],"&lt;"&amp;$B$4)+ROWS($L$10:L31),tblRegistros[Chave do cartão],0),"")</f>
        <v/>
      </c>
    </row>
    <row r="32" spans="1:12">
      <c r="A32" s="2" t="str">
        <f>IF($L32="","",IF(INDEX(tblRegistros[Data],$L32)&gt;$D$4,"",IFERROR(INDEX(tblRegistros[Data],$L32),"")))</f>
        <v/>
      </c>
      <c r="B32" t="str">
        <f>IF($L32="","",IF(INDEX(tblRegistros[Data],$L32)&gt;$D$4,"",IFERROR(INDEX(tblRegistros[Projeto],$L32),"")))</f>
        <v/>
      </c>
      <c r="C32" t="str">
        <f>IF($L32="","",IF(INDEX(tblRegistros[Data],$L32)&gt;$D$4,"",IFERROR(INDEX(tblRegistros[Atividade],$L32),"")))</f>
        <v/>
      </c>
      <c r="D32" s="4" t="str">
        <f>IF($L32="","",IF(INDEX(tblRegistros[Data],$L32)&gt;$D$4,"",IFERROR(INDEX(tblRegistros[Início],$L32),"")))</f>
        <v/>
      </c>
      <c r="E32" s="4" t="str">
        <f>IF($L32="","",IF(INDEX(tblRegistros[Data],$L32)&gt;$D$4,"",IFERROR(IF(INDEX(tblRegistros[Status],$L32)="EM ABERTO","",INDEX(tblRegistros[Fim],$L32)),"")))</f>
        <v/>
      </c>
      <c r="F32" s="14" t="str">
        <f>IF($L32="","",IF(INDEX(tblRegistros[Data],$L32)&gt;$D$4,"",IFERROR(IF(INDEX(tblRegistros[Status],$L32)="EM ABERTO","",INDEX(tblRegistros[Horas],$L32)),"")))</f>
        <v/>
      </c>
      <c r="G32" t="str">
        <f>IF($L32="","",IF(INDEX(tblRegistros[Data],$L32)&gt;$D$4,"",IFERROR(INDEX(tblRegistros[Base],$L32),"")))</f>
        <v/>
      </c>
      <c r="H32" s="3" t="str">
        <f>IF($L32="","",IF(INDEX(tblRegistros[Data],$L32)&gt;$D$4,"",IFERROR(INDEX(tblRegistros[Taxa aplicada],$L32),"")))</f>
        <v/>
      </c>
      <c r="I32" s="3" t="str">
        <f>IF($L32="","",IF(INDEX(tblRegistros[Data],$L32)&gt;$D$4,"",IFERROR(IF(INDEX(tblRegistros[Status],$L32)="EM ABERTO","",INDEX(tblRegistros[Valor],$L32)),"")))</f>
        <v/>
      </c>
      <c r="J32" t="str">
        <f>IF($L32="","",IF(INDEX(tblRegistros[Data],$L32)&gt;$D$4,"",IFERROR(INDEX(tblRegistros[Status],$L32),"")))</f>
        <v/>
      </c>
      <c r="K32" t="str">
        <f>IF($L32="","",IF(INDEX(tblRegistros[Data],$L32)&gt;$D$4,"",IFERROR(INDEX(tblRegistros[Observação],$L32),"")))</f>
        <v/>
      </c>
      <c r="L32" s="16" t="str">
        <f>IFERROR(MATCH($B$3*100000+COUNTIFS(tblRegistros[ID],$B$3,tblRegistros[Data],"&lt;"&amp;$B$4)+ROWS($L$10:L32),tblRegistros[Chave do cartão],0),"")</f>
        <v/>
      </c>
    </row>
    <row r="33" spans="1:12">
      <c r="A33" s="2" t="str">
        <f>IF($L33="","",IF(INDEX(tblRegistros[Data],$L33)&gt;$D$4,"",IFERROR(INDEX(tblRegistros[Data],$L33),"")))</f>
        <v/>
      </c>
      <c r="B33" t="str">
        <f>IF($L33="","",IF(INDEX(tblRegistros[Data],$L33)&gt;$D$4,"",IFERROR(INDEX(tblRegistros[Projeto],$L33),"")))</f>
        <v/>
      </c>
      <c r="C33" t="str">
        <f>IF($L33="","",IF(INDEX(tblRegistros[Data],$L33)&gt;$D$4,"",IFERROR(INDEX(tblRegistros[Atividade],$L33),"")))</f>
        <v/>
      </c>
      <c r="D33" s="4" t="str">
        <f>IF($L33="","",IF(INDEX(tblRegistros[Data],$L33)&gt;$D$4,"",IFERROR(INDEX(tblRegistros[Início],$L33),"")))</f>
        <v/>
      </c>
      <c r="E33" s="4" t="str">
        <f>IF($L33="","",IF(INDEX(tblRegistros[Data],$L33)&gt;$D$4,"",IFERROR(IF(INDEX(tblRegistros[Status],$L33)="EM ABERTO","",INDEX(tblRegistros[Fim],$L33)),"")))</f>
        <v/>
      </c>
      <c r="F33" s="14" t="str">
        <f>IF($L33="","",IF(INDEX(tblRegistros[Data],$L33)&gt;$D$4,"",IFERROR(IF(INDEX(tblRegistros[Status],$L33)="EM ABERTO","",INDEX(tblRegistros[Horas],$L33)),"")))</f>
        <v/>
      </c>
      <c r="G33" t="str">
        <f>IF($L33="","",IF(INDEX(tblRegistros[Data],$L33)&gt;$D$4,"",IFERROR(INDEX(tblRegistros[Base],$L33),"")))</f>
        <v/>
      </c>
      <c r="H33" s="3" t="str">
        <f>IF($L33="","",IF(INDEX(tblRegistros[Data],$L33)&gt;$D$4,"",IFERROR(INDEX(tblRegistros[Taxa aplicada],$L33),"")))</f>
        <v/>
      </c>
      <c r="I33" s="3" t="str">
        <f>IF($L33="","",IF(INDEX(tblRegistros[Data],$L33)&gt;$D$4,"",IFERROR(IF(INDEX(tblRegistros[Status],$L33)="EM ABERTO","",INDEX(tblRegistros[Valor],$L33)),"")))</f>
        <v/>
      </c>
      <c r="J33" t="str">
        <f>IF($L33="","",IF(INDEX(tblRegistros[Data],$L33)&gt;$D$4,"",IFERROR(INDEX(tblRegistros[Status],$L33),"")))</f>
        <v/>
      </c>
      <c r="K33" t="str">
        <f>IF($L33="","",IF(INDEX(tblRegistros[Data],$L33)&gt;$D$4,"",IFERROR(INDEX(tblRegistros[Observação],$L33),"")))</f>
        <v/>
      </c>
      <c r="L33" s="16" t="str">
        <f>IFERROR(MATCH($B$3*100000+COUNTIFS(tblRegistros[ID],$B$3,tblRegistros[Data],"&lt;"&amp;$B$4)+ROWS($L$10:L33),tblRegistros[Chave do cartão],0),"")</f>
        <v/>
      </c>
    </row>
    <row r="34" spans="1:12">
      <c r="A34" s="2" t="str">
        <f>IF($L34="","",IF(INDEX(tblRegistros[Data],$L34)&gt;$D$4,"",IFERROR(INDEX(tblRegistros[Data],$L34),"")))</f>
        <v/>
      </c>
      <c r="B34" t="str">
        <f>IF($L34="","",IF(INDEX(tblRegistros[Data],$L34)&gt;$D$4,"",IFERROR(INDEX(tblRegistros[Projeto],$L34),"")))</f>
        <v/>
      </c>
      <c r="C34" t="str">
        <f>IF($L34="","",IF(INDEX(tblRegistros[Data],$L34)&gt;$D$4,"",IFERROR(INDEX(tblRegistros[Atividade],$L34),"")))</f>
        <v/>
      </c>
      <c r="D34" s="4" t="str">
        <f>IF($L34="","",IF(INDEX(tblRegistros[Data],$L34)&gt;$D$4,"",IFERROR(INDEX(tblRegistros[Início],$L34),"")))</f>
        <v/>
      </c>
      <c r="E34" s="4" t="str">
        <f>IF($L34="","",IF(INDEX(tblRegistros[Data],$L34)&gt;$D$4,"",IFERROR(IF(INDEX(tblRegistros[Status],$L34)="EM ABERTO","",INDEX(tblRegistros[Fim],$L34)),"")))</f>
        <v/>
      </c>
      <c r="F34" s="14" t="str">
        <f>IF($L34="","",IF(INDEX(tblRegistros[Data],$L34)&gt;$D$4,"",IFERROR(IF(INDEX(tblRegistros[Status],$L34)="EM ABERTO","",INDEX(tblRegistros[Horas],$L34)),"")))</f>
        <v/>
      </c>
      <c r="G34" t="str">
        <f>IF($L34="","",IF(INDEX(tblRegistros[Data],$L34)&gt;$D$4,"",IFERROR(INDEX(tblRegistros[Base],$L34),"")))</f>
        <v/>
      </c>
      <c r="H34" s="3" t="str">
        <f>IF($L34="","",IF(INDEX(tblRegistros[Data],$L34)&gt;$D$4,"",IFERROR(INDEX(tblRegistros[Taxa aplicada],$L34),"")))</f>
        <v/>
      </c>
      <c r="I34" s="3" t="str">
        <f>IF($L34="","",IF(INDEX(tblRegistros[Data],$L34)&gt;$D$4,"",IFERROR(IF(INDEX(tblRegistros[Status],$L34)="EM ABERTO","",INDEX(tblRegistros[Valor],$L34)),"")))</f>
        <v/>
      </c>
      <c r="J34" t="str">
        <f>IF($L34="","",IF(INDEX(tblRegistros[Data],$L34)&gt;$D$4,"",IFERROR(INDEX(tblRegistros[Status],$L34),"")))</f>
        <v/>
      </c>
      <c r="K34" t="str">
        <f>IF($L34="","",IF(INDEX(tblRegistros[Data],$L34)&gt;$D$4,"",IFERROR(INDEX(tblRegistros[Observação],$L34),"")))</f>
        <v/>
      </c>
      <c r="L34" s="16" t="str">
        <f>IFERROR(MATCH($B$3*100000+COUNTIFS(tblRegistros[ID],$B$3,tblRegistros[Data],"&lt;"&amp;$B$4)+ROWS($L$10:L34),tblRegistros[Chave do cartão],0),"")</f>
        <v/>
      </c>
    </row>
    <row r="35" spans="1:12">
      <c r="A35" s="2" t="str">
        <f>IF($L35="","",IF(INDEX(tblRegistros[Data],$L35)&gt;$D$4,"",IFERROR(INDEX(tblRegistros[Data],$L35),"")))</f>
        <v/>
      </c>
      <c r="B35" t="str">
        <f>IF($L35="","",IF(INDEX(tblRegistros[Data],$L35)&gt;$D$4,"",IFERROR(INDEX(tblRegistros[Projeto],$L35),"")))</f>
        <v/>
      </c>
      <c r="C35" t="str">
        <f>IF($L35="","",IF(INDEX(tblRegistros[Data],$L35)&gt;$D$4,"",IFERROR(INDEX(tblRegistros[Atividade],$L35),"")))</f>
        <v/>
      </c>
      <c r="D35" s="4" t="str">
        <f>IF($L35="","",IF(INDEX(tblRegistros[Data],$L35)&gt;$D$4,"",IFERROR(INDEX(tblRegistros[Início],$L35),"")))</f>
        <v/>
      </c>
      <c r="E35" s="4" t="str">
        <f>IF($L35="","",IF(INDEX(tblRegistros[Data],$L35)&gt;$D$4,"",IFERROR(IF(INDEX(tblRegistros[Status],$L35)="EM ABERTO","",INDEX(tblRegistros[Fim],$L35)),"")))</f>
        <v/>
      </c>
      <c r="F35" s="14" t="str">
        <f>IF($L35="","",IF(INDEX(tblRegistros[Data],$L35)&gt;$D$4,"",IFERROR(IF(INDEX(tblRegistros[Status],$L35)="EM ABERTO","",INDEX(tblRegistros[Horas],$L35)),"")))</f>
        <v/>
      </c>
      <c r="G35" t="str">
        <f>IF($L35="","",IF(INDEX(tblRegistros[Data],$L35)&gt;$D$4,"",IFERROR(INDEX(tblRegistros[Base],$L35),"")))</f>
        <v/>
      </c>
      <c r="H35" s="3" t="str">
        <f>IF($L35="","",IF(INDEX(tblRegistros[Data],$L35)&gt;$D$4,"",IFERROR(INDEX(tblRegistros[Taxa aplicada],$L35),"")))</f>
        <v/>
      </c>
      <c r="I35" s="3" t="str">
        <f>IF($L35="","",IF(INDEX(tblRegistros[Data],$L35)&gt;$D$4,"",IFERROR(IF(INDEX(tblRegistros[Status],$L35)="EM ABERTO","",INDEX(tblRegistros[Valor],$L35)),"")))</f>
        <v/>
      </c>
      <c r="J35" t="str">
        <f>IF($L35="","",IF(INDEX(tblRegistros[Data],$L35)&gt;$D$4,"",IFERROR(INDEX(tblRegistros[Status],$L35),"")))</f>
        <v/>
      </c>
      <c r="K35" t="str">
        <f>IF($L35="","",IF(INDEX(tblRegistros[Data],$L35)&gt;$D$4,"",IFERROR(INDEX(tblRegistros[Observação],$L35),"")))</f>
        <v/>
      </c>
      <c r="L35" s="16" t="str">
        <f>IFERROR(MATCH($B$3*100000+COUNTIFS(tblRegistros[ID],$B$3,tblRegistros[Data],"&lt;"&amp;$B$4)+ROWS($L$10:L35),tblRegistros[Chave do cartão],0),"")</f>
        <v/>
      </c>
    </row>
    <row r="36" spans="1:12">
      <c r="A36" s="2" t="str">
        <f>IF($L36="","",IF(INDEX(tblRegistros[Data],$L36)&gt;$D$4,"",IFERROR(INDEX(tblRegistros[Data],$L36),"")))</f>
        <v/>
      </c>
      <c r="B36" t="str">
        <f>IF($L36="","",IF(INDEX(tblRegistros[Data],$L36)&gt;$D$4,"",IFERROR(INDEX(tblRegistros[Projeto],$L36),"")))</f>
        <v/>
      </c>
      <c r="C36" t="str">
        <f>IF($L36="","",IF(INDEX(tblRegistros[Data],$L36)&gt;$D$4,"",IFERROR(INDEX(tblRegistros[Atividade],$L36),"")))</f>
        <v/>
      </c>
      <c r="D36" s="4" t="str">
        <f>IF($L36="","",IF(INDEX(tblRegistros[Data],$L36)&gt;$D$4,"",IFERROR(INDEX(tblRegistros[Início],$L36),"")))</f>
        <v/>
      </c>
      <c r="E36" s="4" t="str">
        <f>IF($L36="","",IF(INDEX(tblRegistros[Data],$L36)&gt;$D$4,"",IFERROR(IF(INDEX(tblRegistros[Status],$L36)="EM ABERTO","",INDEX(tblRegistros[Fim],$L36)),"")))</f>
        <v/>
      </c>
      <c r="F36" s="14" t="str">
        <f>IF($L36="","",IF(INDEX(tblRegistros[Data],$L36)&gt;$D$4,"",IFERROR(IF(INDEX(tblRegistros[Status],$L36)="EM ABERTO","",INDEX(tblRegistros[Horas],$L36)),"")))</f>
        <v/>
      </c>
      <c r="G36" t="str">
        <f>IF($L36="","",IF(INDEX(tblRegistros[Data],$L36)&gt;$D$4,"",IFERROR(INDEX(tblRegistros[Base],$L36),"")))</f>
        <v/>
      </c>
      <c r="H36" s="3" t="str">
        <f>IF($L36="","",IF(INDEX(tblRegistros[Data],$L36)&gt;$D$4,"",IFERROR(INDEX(tblRegistros[Taxa aplicada],$L36),"")))</f>
        <v/>
      </c>
      <c r="I36" s="3" t="str">
        <f>IF($L36="","",IF(INDEX(tblRegistros[Data],$L36)&gt;$D$4,"",IFERROR(IF(INDEX(tblRegistros[Status],$L36)="EM ABERTO","",INDEX(tblRegistros[Valor],$L36)),"")))</f>
        <v/>
      </c>
      <c r="J36" t="str">
        <f>IF($L36="","",IF(INDEX(tblRegistros[Data],$L36)&gt;$D$4,"",IFERROR(INDEX(tblRegistros[Status],$L36),"")))</f>
        <v/>
      </c>
      <c r="K36" t="str">
        <f>IF($L36="","",IF(INDEX(tblRegistros[Data],$L36)&gt;$D$4,"",IFERROR(INDEX(tblRegistros[Observação],$L36),"")))</f>
        <v/>
      </c>
      <c r="L36" s="16" t="str">
        <f>IFERROR(MATCH($B$3*100000+COUNTIFS(tblRegistros[ID],$B$3,tblRegistros[Data],"&lt;"&amp;$B$4)+ROWS($L$10:L36),tblRegistros[Chave do cartão],0),"")</f>
        <v/>
      </c>
    </row>
    <row r="37" spans="1:12">
      <c r="A37" s="2" t="str">
        <f>IF($L37="","",IF(INDEX(tblRegistros[Data],$L37)&gt;$D$4,"",IFERROR(INDEX(tblRegistros[Data],$L37),"")))</f>
        <v/>
      </c>
      <c r="B37" t="str">
        <f>IF($L37="","",IF(INDEX(tblRegistros[Data],$L37)&gt;$D$4,"",IFERROR(INDEX(tblRegistros[Projeto],$L37),"")))</f>
        <v/>
      </c>
      <c r="C37" t="str">
        <f>IF($L37="","",IF(INDEX(tblRegistros[Data],$L37)&gt;$D$4,"",IFERROR(INDEX(tblRegistros[Atividade],$L37),"")))</f>
        <v/>
      </c>
      <c r="D37" s="4" t="str">
        <f>IF($L37="","",IF(INDEX(tblRegistros[Data],$L37)&gt;$D$4,"",IFERROR(INDEX(tblRegistros[Início],$L37),"")))</f>
        <v/>
      </c>
      <c r="E37" s="4" t="str">
        <f>IF($L37="","",IF(INDEX(tblRegistros[Data],$L37)&gt;$D$4,"",IFERROR(IF(INDEX(tblRegistros[Status],$L37)="EM ABERTO","",INDEX(tblRegistros[Fim],$L37)),"")))</f>
        <v/>
      </c>
      <c r="F37" s="14" t="str">
        <f>IF($L37="","",IF(INDEX(tblRegistros[Data],$L37)&gt;$D$4,"",IFERROR(IF(INDEX(tblRegistros[Status],$L37)="EM ABERTO","",INDEX(tblRegistros[Horas],$L37)),"")))</f>
        <v/>
      </c>
      <c r="G37" t="str">
        <f>IF($L37="","",IF(INDEX(tblRegistros[Data],$L37)&gt;$D$4,"",IFERROR(INDEX(tblRegistros[Base],$L37),"")))</f>
        <v/>
      </c>
      <c r="H37" s="3" t="str">
        <f>IF($L37="","",IF(INDEX(tblRegistros[Data],$L37)&gt;$D$4,"",IFERROR(INDEX(tblRegistros[Taxa aplicada],$L37),"")))</f>
        <v/>
      </c>
      <c r="I37" s="3" t="str">
        <f>IF($L37="","",IF(INDEX(tblRegistros[Data],$L37)&gt;$D$4,"",IFERROR(IF(INDEX(tblRegistros[Status],$L37)="EM ABERTO","",INDEX(tblRegistros[Valor],$L37)),"")))</f>
        <v/>
      </c>
      <c r="J37" t="str">
        <f>IF($L37="","",IF(INDEX(tblRegistros[Data],$L37)&gt;$D$4,"",IFERROR(INDEX(tblRegistros[Status],$L37),"")))</f>
        <v/>
      </c>
      <c r="K37" t="str">
        <f>IF($L37="","",IF(INDEX(tblRegistros[Data],$L37)&gt;$D$4,"",IFERROR(INDEX(tblRegistros[Observação],$L37),"")))</f>
        <v/>
      </c>
      <c r="L37" s="16" t="str">
        <f>IFERROR(MATCH($B$3*100000+COUNTIFS(tblRegistros[ID],$B$3,tblRegistros[Data],"&lt;"&amp;$B$4)+ROWS($L$10:L37),tblRegistros[Chave do cartão],0),"")</f>
        <v/>
      </c>
    </row>
    <row r="38" spans="1:12">
      <c r="A38" s="2" t="str">
        <f>IF($L38="","",IF(INDEX(tblRegistros[Data],$L38)&gt;$D$4,"",IFERROR(INDEX(tblRegistros[Data],$L38),"")))</f>
        <v/>
      </c>
      <c r="B38" t="str">
        <f>IF($L38="","",IF(INDEX(tblRegistros[Data],$L38)&gt;$D$4,"",IFERROR(INDEX(tblRegistros[Projeto],$L38),"")))</f>
        <v/>
      </c>
      <c r="C38" t="str">
        <f>IF($L38="","",IF(INDEX(tblRegistros[Data],$L38)&gt;$D$4,"",IFERROR(INDEX(tblRegistros[Atividade],$L38),"")))</f>
        <v/>
      </c>
      <c r="D38" s="4" t="str">
        <f>IF($L38="","",IF(INDEX(tblRegistros[Data],$L38)&gt;$D$4,"",IFERROR(INDEX(tblRegistros[Início],$L38),"")))</f>
        <v/>
      </c>
      <c r="E38" s="4" t="str">
        <f>IF($L38="","",IF(INDEX(tblRegistros[Data],$L38)&gt;$D$4,"",IFERROR(IF(INDEX(tblRegistros[Status],$L38)="EM ABERTO","",INDEX(tblRegistros[Fim],$L38)),"")))</f>
        <v/>
      </c>
      <c r="F38" s="14" t="str">
        <f>IF($L38="","",IF(INDEX(tblRegistros[Data],$L38)&gt;$D$4,"",IFERROR(IF(INDEX(tblRegistros[Status],$L38)="EM ABERTO","",INDEX(tblRegistros[Horas],$L38)),"")))</f>
        <v/>
      </c>
      <c r="G38" t="str">
        <f>IF($L38="","",IF(INDEX(tblRegistros[Data],$L38)&gt;$D$4,"",IFERROR(INDEX(tblRegistros[Base],$L38),"")))</f>
        <v/>
      </c>
      <c r="H38" s="3" t="str">
        <f>IF($L38="","",IF(INDEX(tblRegistros[Data],$L38)&gt;$D$4,"",IFERROR(INDEX(tblRegistros[Taxa aplicada],$L38),"")))</f>
        <v/>
      </c>
      <c r="I38" s="3" t="str">
        <f>IF($L38="","",IF(INDEX(tblRegistros[Data],$L38)&gt;$D$4,"",IFERROR(IF(INDEX(tblRegistros[Status],$L38)="EM ABERTO","",INDEX(tblRegistros[Valor],$L38)),"")))</f>
        <v/>
      </c>
      <c r="J38" t="str">
        <f>IF($L38="","",IF(INDEX(tblRegistros[Data],$L38)&gt;$D$4,"",IFERROR(INDEX(tblRegistros[Status],$L38),"")))</f>
        <v/>
      </c>
      <c r="K38" t="str">
        <f>IF($L38="","",IF(INDEX(tblRegistros[Data],$L38)&gt;$D$4,"",IFERROR(INDEX(tblRegistros[Observação],$L38),"")))</f>
        <v/>
      </c>
      <c r="L38" s="16" t="str">
        <f>IFERROR(MATCH($B$3*100000+COUNTIFS(tblRegistros[ID],$B$3,tblRegistros[Data],"&lt;"&amp;$B$4)+ROWS($L$10:L38),tblRegistros[Chave do cartão],0),"")</f>
        <v/>
      </c>
    </row>
    <row r="39" spans="1:12">
      <c r="A39" s="2" t="str">
        <f>IF($L39="","",IF(INDEX(tblRegistros[Data],$L39)&gt;$D$4,"",IFERROR(INDEX(tblRegistros[Data],$L39),"")))</f>
        <v/>
      </c>
      <c r="B39" t="str">
        <f>IF($L39="","",IF(INDEX(tblRegistros[Data],$L39)&gt;$D$4,"",IFERROR(INDEX(tblRegistros[Projeto],$L39),"")))</f>
        <v/>
      </c>
      <c r="C39" t="str">
        <f>IF($L39="","",IF(INDEX(tblRegistros[Data],$L39)&gt;$D$4,"",IFERROR(INDEX(tblRegistros[Atividade],$L39),"")))</f>
        <v/>
      </c>
      <c r="D39" s="4" t="str">
        <f>IF($L39="","",IF(INDEX(tblRegistros[Data],$L39)&gt;$D$4,"",IFERROR(INDEX(tblRegistros[Início],$L39),"")))</f>
        <v/>
      </c>
      <c r="E39" s="4" t="str">
        <f>IF($L39="","",IF(INDEX(tblRegistros[Data],$L39)&gt;$D$4,"",IFERROR(IF(INDEX(tblRegistros[Status],$L39)="EM ABERTO","",INDEX(tblRegistros[Fim],$L39)),"")))</f>
        <v/>
      </c>
      <c r="F39" s="14" t="str">
        <f>IF($L39="","",IF(INDEX(tblRegistros[Data],$L39)&gt;$D$4,"",IFERROR(IF(INDEX(tblRegistros[Status],$L39)="EM ABERTO","",INDEX(tblRegistros[Horas],$L39)),"")))</f>
        <v/>
      </c>
      <c r="G39" t="str">
        <f>IF($L39="","",IF(INDEX(tblRegistros[Data],$L39)&gt;$D$4,"",IFERROR(INDEX(tblRegistros[Base],$L39),"")))</f>
        <v/>
      </c>
      <c r="H39" s="3" t="str">
        <f>IF($L39="","",IF(INDEX(tblRegistros[Data],$L39)&gt;$D$4,"",IFERROR(INDEX(tblRegistros[Taxa aplicada],$L39),"")))</f>
        <v/>
      </c>
      <c r="I39" s="3" t="str">
        <f>IF($L39="","",IF(INDEX(tblRegistros[Data],$L39)&gt;$D$4,"",IFERROR(IF(INDEX(tblRegistros[Status],$L39)="EM ABERTO","",INDEX(tblRegistros[Valor],$L39)),"")))</f>
        <v/>
      </c>
      <c r="J39" t="str">
        <f>IF($L39="","",IF(INDEX(tblRegistros[Data],$L39)&gt;$D$4,"",IFERROR(INDEX(tblRegistros[Status],$L39),"")))</f>
        <v/>
      </c>
      <c r="K39" t="str">
        <f>IF($L39="","",IF(INDEX(tblRegistros[Data],$L39)&gt;$D$4,"",IFERROR(INDEX(tblRegistros[Observação],$L39),"")))</f>
        <v/>
      </c>
      <c r="L39" s="16" t="str">
        <f>IFERROR(MATCH($B$3*100000+COUNTIFS(tblRegistros[ID],$B$3,tblRegistros[Data],"&lt;"&amp;$B$4)+ROWS($L$10:L39),tblRegistros[Chave do cartão],0),"")</f>
        <v/>
      </c>
    </row>
    <row r="40" spans="1:12">
      <c r="A40" s="2" t="str">
        <f>IF($L40="","",IF(INDEX(tblRegistros[Data],$L40)&gt;$D$4,"",IFERROR(INDEX(tblRegistros[Data],$L40),"")))</f>
        <v/>
      </c>
      <c r="B40" t="str">
        <f>IF($L40="","",IF(INDEX(tblRegistros[Data],$L40)&gt;$D$4,"",IFERROR(INDEX(tblRegistros[Projeto],$L40),"")))</f>
        <v/>
      </c>
      <c r="C40" t="str">
        <f>IF($L40="","",IF(INDEX(tblRegistros[Data],$L40)&gt;$D$4,"",IFERROR(INDEX(tblRegistros[Atividade],$L40),"")))</f>
        <v/>
      </c>
      <c r="D40" s="4" t="str">
        <f>IF($L40="","",IF(INDEX(tblRegistros[Data],$L40)&gt;$D$4,"",IFERROR(INDEX(tblRegistros[Início],$L40),"")))</f>
        <v/>
      </c>
      <c r="E40" s="4" t="str">
        <f>IF($L40="","",IF(INDEX(tblRegistros[Data],$L40)&gt;$D$4,"",IFERROR(IF(INDEX(tblRegistros[Status],$L40)="EM ABERTO","",INDEX(tblRegistros[Fim],$L40)),"")))</f>
        <v/>
      </c>
      <c r="F40" s="14" t="str">
        <f>IF($L40="","",IF(INDEX(tblRegistros[Data],$L40)&gt;$D$4,"",IFERROR(IF(INDEX(tblRegistros[Status],$L40)="EM ABERTO","",INDEX(tblRegistros[Horas],$L40)),"")))</f>
        <v/>
      </c>
      <c r="G40" t="str">
        <f>IF($L40="","",IF(INDEX(tblRegistros[Data],$L40)&gt;$D$4,"",IFERROR(INDEX(tblRegistros[Base],$L40),"")))</f>
        <v/>
      </c>
      <c r="H40" s="3" t="str">
        <f>IF($L40="","",IF(INDEX(tblRegistros[Data],$L40)&gt;$D$4,"",IFERROR(INDEX(tblRegistros[Taxa aplicada],$L40),"")))</f>
        <v/>
      </c>
      <c r="I40" s="3" t="str">
        <f>IF($L40="","",IF(INDEX(tblRegistros[Data],$L40)&gt;$D$4,"",IFERROR(IF(INDEX(tblRegistros[Status],$L40)="EM ABERTO","",INDEX(tblRegistros[Valor],$L40)),"")))</f>
        <v/>
      </c>
      <c r="J40" t="str">
        <f>IF($L40="","",IF(INDEX(tblRegistros[Data],$L40)&gt;$D$4,"",IFERROR(INDEX(tblRegistros[Status],$L40),"")))</f>
        <v/>
      </c>
      <c r="K40" t="str">
        <f>IF($L40="","",IF(INDEX(tblRegistros[Data],$L40)&gt;$D$4,"",IFERROR(INDEX(tblRegistros[Observação],$L40),"")))</f>
        <v/>
      </c>
      <c r="L40" s="16" t="str">
        <f>IFERROR(MATCH($B$3*100000+COUNTIFS(tblRegistros[ID],$B$3,tblRegistros[Data],"&lt;"&amp;$B$4)+ROWS($L$10:L40),tblRegistros[Chave do cartão],0),"")</f>
        <v/>
      </c>
    </row>
    <row r="41" spans="1:12">
      <c r="A41" s="2" t="str">
        <f>IF($L41="","",IF(INDEX(tblRegistros[Data],$L41)&gt;$D$4,"",IFERROR(INDEX(tblRegistros[Data],$L41),"")))</f>
        <v/>
      </c>
      <c r="B41" t="str">
        <f>IF($L41="","",IF(INDEX(tblRegistros[Data],$L41)&gt;$D$4,"",IFERROR(INDEX(tblRegistros[Projeto],$L41),"")))</f>
        <v/>
      </c>
      <c r="C41" t="str">
        <f>IF($L41="","",IF(INDEX(tblRegistros[Data],$L41)&gt;$D$4,"",IFERROR(INDEX(tblRegistros[Atividade],$L41),"")))</f>
        <v/>
      </c>
      <c r="D41" s="4" t="str">
        <f>IF($L41="","",IF(INDEX(tblRegistros[Data],$L41)&gt;$D$4,"",IFERROR(INDEX(tblRegistros[Início],$L41),"")))</f>
        <v/>
      </c>
      <c r="E41" s="4" t="str">
        <f>IF($L41="","",IF(INDEX(tblRegistros[Data],$L41)&gt;$D$4,"",IFERROR(IF(INDEX(tblRegistros[Status],$L41)="EM ABERTO","",INDEX(tblRegistros[Fim],$L41)),"")))</f>
        <v/>
      </c>
      <c r="F41" s="14" t="str">
        <f>IF($L41="","",IF(INDEX(tblRegistros[Data],$L41)&gt;$D$4,"",IFERROR(IF(INDEX(tblRegistros[Status],$L41)="EM ABERTO","",INDEX(tblRegistros[Horas],$L41)),"")))</f>
        <v/>
      </c>
      <c r="G41" t="str">
        <f>IF($L41="","",IF(INDEX(tblRegistros[Data],$L41)&gt;$D$4,"",IFERROR(INDEX(tblRegistros[Base],$L41),"")))</f>
        <v/>
      </c>
      <c r="H41" s="3" t="str">
        <f>IF($L41="","",IF(INDEX(tblRegistros[Data],$L41)&gt;$D$4,"",IFERROR(INDEX(tblRegistros[Taxa aplicada],$L41),"")))</f>
        <v/>
      </c>
      <c r="I41" s="3" t="str">
        <f>IF($L41="","",IF(INDEX(tblRegistros[Data],$L41)&gt;$D$4,"",IFERROR(IF(INDEX(tblRegistros[Status],$L41)="EM ABERTO","",INDEX(tblRegistros[Valor],$L41)),"")))</f>
        <v/>
      </c>
      <c r="J41" t="str">
        <f>IF($L41="","",IF(INDEX(tblRegistros[Data],$L41)&gt;$D$4,"",IFERROR(INDEX(tblRegistros[Status],$L41),"")))</f>
        <v/>
      </c>
      <c r="K41" t="str">
        <f>IF($L41="","",IF(INDEX(tblRegistros[Data],$L41)&gt;$D$4,"",IFERROR(INDEX(tblRegistros[Observação],$L41),"")))</f>
        <v/>
      </c>
      <c r="L41" s="16" t="str">
        <f>IFERROR(MATCH($B$3*100000+COUNTIFS(tblRegistros[ID],$B$3,tblRegistros[Data],"&lt;"&amp;$B$4)+ROWS($L$10:L41),tblRegistros[Chave do cartão],0),"")</f>
        <v/>
      </c>
    </row>
    <row r="42" spans="1:12">
      <c r="A42" s="2" t="str">
        <f>IF($L42="","",IF(INDEX(tblRegistros[Data],$L42)&gt;$D$4,"",IFERROR(INDEX(tblRegistros[Data],$L42),"")))</f>
        <v/>
      </c>
      <c r="B42" t="str">
        <f>IF($L42="","",IF(INDEX(tblRegistros[Data],$L42)&gt;$D$4,"",IFERROR(INDEX(tblRegistros[Projeto],$L42),"")))</f>
        <v/>
      </c>
      <c r="C42" t="str">
        <f>IF($L42="","",IF(INDEX(tblRegistros[Data],$L42)&gt;$D$4,"",IFERROR(INDEX(tblRegistros[Atividade],$L42),"")))</f>
        <v/>
      </c>
      <c r="D42" s="4" t="str">
        <f>IF($L42="","",IF(INDEX(tblRegistros[Data],$L42)&gt;$D$4,"",IFERROR(INDEX(tblRegistros[Início],$L42),"")))</f>
        <v/>
      </c>
      <c r="E42" s="4" t="str">
        <f>IF($L42="","",IF(INDEX(tblRegistros[Data],$L42)&gt;$D$4,"",IFERROR(IF(INDEX(tblRegistros[Status],$L42)="EM ABERTO","",INDEX(tblRegistros[Fim],$L42)),"")))</f>
        <v/>
      </c>
      <c r="F42" s="14" t="str">
        <f>IF($L42="","",IF(INDEX(tblRegistros[Data],$L42)&gt;$D$4,"",IFERROR(IF(INDEX(tblRegistros[Status],$L42)="EM ABERTO","",INDEX(tblRegistros[Horas],$L42)),"")))</f>
        <v/>
      </c>
      <c r="G42" t="str">
        <f>IF($L42="","",IF(INDEX(tblRegistros[Data],$L42)&gt;$D$4,"",IFERROR(INDEX(tblRegistros[Base],$L42),"")))</f>
        <v/>
      </c>
      <c r="H42" s="3" t="str">
        <f>IF($L42="","",IF(INDEX(tblRegistros[Data],$L42)&gt;$D$4,"",IFERROR(INDEX(tblRegistros[Taxa aplicada],$L42),"")))</f>
        <v/>
      </c>
      <c r="I42" s="3" t="str">
        <f>IF($L42="","",IF(INDEX(tblRegistros[Data],$L42)&gt;$D$4,"",IFERROR(IF(INDEX(tblRegistros[Status],$L42)="EM ABERTO","",INDEX(tblRegistros[Valor],$L42)),"")))</f>
        <v/>
      </c>
      <c r="J42" t="str">
        <f>IF($L42="","",IF(INDEX(tblRegistros[Data],$L42)&gt;$D$4,"",IFERROR(INDEX(tblRegistros[Status],$L42),"")))</f>
        <v/>
      </c>
      <c r="K42" t="str">
        <f>IF($L42="","",IF(INDEX(tblRegistros[Data],$L42)&gt;$D$4,"",IFERROR(INDEX(tblRegistros[Observação],$L42),"")))</f>
        <v/>
      </c>
      <c r="L42" s="16" t="str">
        <f>IFERROR(MATCH($B$3*100000+COUNTIFS(tblRegistros[ID],$B$3,tblRegistros[Data],"&lt;"&amp;$B$4)+ROWS($L$10:L42),tblRegistros[Chave do cartão],0),"")</f>
        <v/>
      </c>
    </row>
    <row r="43" spans="1:12">
      <c r="A43" s="2" t="str">
        <f>IF($L43="","",IF(INDEX(tblRegistros[Data],$L43)&gt;$D$4,"",IFERROR(INDEX(tblRegistros[Data],$L43),"")))</f>
        <v/>
      </c>
      <c r="B43" t="str">
        <f>IF($L43="","",IF(INDEX(tblRegistros[Data],$L43)&gt;$D$4,"",IFERROR(INDEX(tblRegistros[Projeto],$L43),"")))</f>
        <v/>
      </c>
      <c r="C43" t="str">
        <f>IF($L43="","",IF(INDEX(tblRegistros[Data],$L43)&gt;$D$4,"",IFERROR(INDEX(tblRegistros[Atividade],$L43),"")))</f>
        <v/>
      </c>
      <c r="D43" s="4" t="str">
        <f>IF($L43="","",IF(INDEX(tblRegistros[Data],$L43)&gt;$D$4,"",IFERROR(INDEX(tblRegistros[Início],$L43),"")))</f>
        <v/>
      </c>
      <c r="E43" s="4" t="str">
        <f>IF($L43="","",IF(INDEX(tblRegistros[Data],$L43)&gt;$D$4,"",IFERROR(IF(INDEX(tblRegistros[Status],$L43)="EM ABERTO","",INDEX(tblRegistros[Fim],$L43)),"")))</f>
        <v/>
      </c>
      <c r="F43" s="14" t="str">
        <f>IF($L43="","",IF(INDEX(tblRegistros[Data],$L43)&gt;$D$4,"",IFERROR(IF(INDEX(tblRegistros[Status],$L43)="EM ABERTO","",INDEX(tblRegistros[Horas],$L43)),"")))</f>
        <v/>
      </c>
      <c r="G43" t="str">
        <f>IF($L43="","",IF(INDEX(tblRegistros[Data],$L43)&gt;$D$4,"",IFERROR(INDEX(tblRegistros[Base],$L43),"")))</f>
        <v/>
      </c>
      <c r="H43" s="3" t="str">
        <f>IF($L43="","",IF(INDEX(tblRegistros[Data],$L43)&gt;$D$4,"",IFERROR(INDEX(tblRegistros[Taxa aplicada],$L43),"")))</f>
        <v/>
      </c>
      <c r="I43" s="3" t="str">
        <f>IF($L43="","",IF(INDEX(tblRegistros[Data],$L43)&gt;$D$4,"",IFERROR(IF(INDEX(tblRegistros[Status],$L43)="EM ABERTO","",INDEX(tblRegistros[Valor],$L43)),"")))</f>
        <v/>
      </c>
      <c r="J43" t="str">
        <f>IF($L43="","",IF(INDEX(tblRegistros[Data],$L43)&gt;$D$4,"",IFERROR(INDEX(tblRegistros[Status],$L43),"")))</f>
        <v/>
      </c>
      <c r="K43" t="str">
        <f>IF($L43="","",IF(INDEX(tblRegistros[Data],$L43)&gt;$D$4,"",IFERROR(INDEX(tblRegistros[Observação],$L43),"")))</f>
        <v/>
      </c>
      <c r="L43" s="16" t="str">
        <f>IFERROR(MATCH($B$3*100000+COUNTIFS(tblRegistros[ID],$B$3,tblRegistros[Data],"&lt;"&amp;$B$4)+ROWS($L$10:L43),tblRegistros[Chave do cartão],0),"")</f>
        <v/>
      </c>
    </row>
    <row r="44" spans="1:12">
      <c r="A44" s="2" t="str">
        <f>IF($L44="","",IF(INDEX(tblRegistros[Data],$L44)&gt;$D$4,"",IFERROR(INDEX(tblRegistros[Data],$L44),"")))</f>
        <v/>
      </c>
      <c r="B44" t="str">
        <f>IF($L44="","",IF(INDEX(tblRegistros[Data],$L44)&gt;$D$4,"",IFERROR(INDEX(tblRegistros[Projeto],$L44),"")))</f>
        <v/>
      </c>
      <c r="C44" t="str">
        <f>IF($L44="","",IF(INDEX(tblRegistros[Data],$L44)&gt;$D$4,"",IFERROR(INDEX(tblRegistros[Atividade],$L44),"")))</f>
        <v/>
      </c>
      <c r="D44" s="4" t="str">
        <f>IF($L44="","",IF(INDEX(tblRegistros[Data],$L44)&gt;$D$4,"",IFERROR(INDEX(tblRegistros[Início],$L44),"")))</f>
        <v/>
      </c>
      <c r="E44" s="4" t="str">
        <f>IF($L44="","",IF(INDEX(tblRegistros[Data],$L44)&gt;$D$4,"",IFERROR(IF(INDEX(tblRegistros[Status],$L44)="EM ABERTO","",INDEX(tblRegistros[Fim],$L44)),"")))</f>
        <v/>
      </c>
      <c r="F44" s="14" t="str">
        <f>IF($L44="","",IF(INDEX(tblRegistros[Data],$L44)&gt;$D$4,"",IFERROR(IF(INDEX(tblRegistros[Status],$L44)="EM ABERTO","",INDEX(tblRegistros[Horas],$L44)),"")))</f>
        <v/>
      </c>
      <c r="G44" t="str">
        <f>IF($L44="","",IF(INDEX(tblRegistros[Data],$L44)&gt;$D$4,"",IFERROR(INDEX(tblRegistros[Base],$L44),"")))</f>
        <v/>
      </c>
      <c r="H44" s="3" t="str">
        <f>IF($L44="","",IF(INDEX(tblRegistros[Data],$L44)&gt;$D$4,"",IFERROR(INDEX(tblRegistros[Taxa aplicada],$L44),"")))</f>
        <v/>
      </c>
      <c r="I44" s="3" t="str">
        <f>IF($L44="","",IF(INDEX(tblRegistros[Data],$L44)&gt;$D$4,"",IFERROR(IF(INDEX(tblRegistros[Status],$L44)="EM ABERTO","",INDEX(tblRegistros[Valor],$L44)),"")))</f>
        <v/>
      </c>
      <c r="J44" t="str">
        <f>IF($L44="","",IF(INDEX(tblRegistros[Data],$L44)&gt;$D$4,"",IFERROR(INDEX(tblRegistros[Status],$L44),"")))</f>
        <v/>
      </c>
      <c r="K44" t="str">
        <f>IF($L44="","",IF(INDEX(tblRegistros[Data],$L44)&gt;$D$4,"",IFERROR(INDEX(tblRegistros[Observação],$L44),"")))</f>
        <v/>
      </c>
      <c r="L44" s="16" t="str">
        <f>IFERROR(MATCH($B$3*100000+COUNTIFS(tblRegistros[ID],$B$3,tblRegistros[Data],"&lt;"&amp;$B$4)+ROWS($L$10:L44),tblRegistros[Chave do cartão],0),"")</f>
        <v/>
      </c>
    </row>
    <row r="45" spans="1:12">
      <c r="A45" s="2" t="str">
        <f>IF($L45="","",IF(INDEX(tblRegistros[Data],$L45)&gt;$D$4,"",IFERROR(INDEX(tblRegistros[Data],$L45),"")))</f>
        <v/>
      </c>
      <c r="B45" t="str">
        <f>IF($L45="","",IF(INDEX(tblRegistros[Data],$L45)&gt;$D$4,"",IFERROR(INDEX(tblRegistros[Projeto],$L45),"")))</f>
        <v/>
      </c>
      <c r="C45" t="str">
        <f>IF($L45="","",IF(INDEX(tblRegistros[Data],$L45)&gt;$D$4,"",IFERROR(INDEX(tblRegistros[Atividade],$L45),"")))</f>
        <v/>
      </c>
      <c r="D45" s="4" t="str">
        <f>IF($L45="","",IF(INDEX(tblRegistros[Data],$L45)&gt;$D$4,"",IFERROR(INDEX(tblRegistros[Início],$L45),"")))</f>
        <v/>
      </c>
      <c r="E45" s="4" t="str">
        <f>IF($L45="","",IF(INDEX(tblRegistros[Data],$L45)&gt;$D$4,"",IFERROR(IF(INDEX(tblRegistros[Status],$L45)="EM ABERTO","",INDEX(tblRegistros[Fim],$L45)),"")))</f>
        <v/>
      </c>
      <c r="F45" s="14" t="str">
        <f>IF($L45="","",IF(INDEX(tblRegistros[Data],$L45)&gt;$D$4,"",IFERROR(IF(INDEX(tblRegistros[Status],$L45)="EM ABERTO","",INDEX(tblRegistros[Horas],$L45)),"")))</f>
        <v/>
      </c>
      <c r="G45" t="str">
        <f>IF($L45="","",IF(INDEX(tblRegistros[Data],$L45)&gt;$D$4,"",IFERROR(INDEX(tblRegistros[Base],$L45),"")))</f>
        <v/>
      </c>
      <c r="H45" s="3" t="str">
        <f>IF($L45="","",IF(INDEX(tblRegistros[Data],$L45)&gt;$D$4,"",IFERROR(INDEX(tblRegistros[Taxa aplicada],$L45),"")))</f>
        <v/>
      </c>
      <c r="I45" s="3" t="str">
        <f>IF($L45="","",IF(INDEX(tblRegistros[Data],$L45)&gt;$D$4,"",IFERROR(IF(INDEX(tblRegistros[Status],$L45)="EM ABERTO","",INDEX(tblRegistros[Valor],$L45)),"")))</f>
        <v/>
      </c>
      <c r="J45" t="str">
        <f>IF($L45="","",IF(INDEX(tblRegistros[Data],$L45)&gt;$D$4,"",IFERROR(INDEX(tblRegistros[Status],$L45),"")))</f>
        <v/>
      </c>
      <c r="K45" t="str">
        <f>IF($L45="","",IF(INDEX(tblRegistros[Data],$L45)&gt;$D$4,"",IFERROR(INDEX(tblRegistros[Observação],$L45),"")))</f>
        <v/>
      </c>
      <c r="L45" s="16" t="str">
        <f>IFERROR(MATCH($B$3*100000+COUNTIFS(tblRegistros[ID],$B$3,tblRegistros[Data],"&lt;"&amp;$B$4)+ROWS($L$10:L45),tblRegistros[Chave do cartão],0),"")</f>
        <v/>
      </c>
    </row>
    <row r="46" spans="1:12">
      <c r="A46" s="2" t="str">
        <f>IF($L46="","",IF(INDEX(tblRegistros[Data],$L46)&gt;$D$4,"",IFERROR(INDEX(tblRegistros[Data],$L46),"")))</f>
        <v/>
      </c>
      <c r="B46" t="str">
        <f>IF($L46="","",IF(INDEX(tblRegistros[Data],$L46)&gt;$D$4,"",IFERROR(INDEX(tblRegistros[Projeto],$L46),"")))</f>
        <v/>
      </c>
      <c r="C46" t="str">
        <f>IF($L46="","",IF(INDEX(tblRegistros[Data],$L46)&gt;$D$4,"",IFERROR(INDEX(tblRegistros[Atividade],$L46),"")))</f>
        <v/>
      </c>
      <c r="D46" s="4" t="str">
        <f>IF($L46="","",IF(INDEX(tblRegistros[Data],$L46)&gt;$D$4,"",IFERROR(INDEX(tblRegistros[Início],$L46),"")))</f>
        <v/>
      </c>
      <c r="E46" s="4" t="str">
        <f>IF($L46="","",IF(INDEX(tblRegistros[Data],$L46)&gt;$D$4,"",IFERROR(IF(INDEX(tblRegistros[Status],$L46)="EM ABERTO","",INDEX(tblRegistros[Fim],$L46)),"")))</f>
        <v/>
      </c>
      <c r="F46" s="14" t="str">
        <f>IF($L46="","",IF(INDEX(tblRegistros[Data],$L46)&gt;$D$4,"",IFERROR(IF(INDEX(tblRegistros[Status],$L46)="EM ABERTO","",INDEX(tblRegistros[Horas],$L46)),"")))</f>
        <v/>
      </c>
      <c r="G46" t="str">
        <f>IF($L46="","",IF(INDEX(tblRegistros[Data],$L46)&gt;$D$4,"",IFERROR(INDEX(tblRegistros[Base],$L46),"")))</f>
        <v/>
      </c>
      <c r="H46" s="3" t="str">
        <f>IF($L46="","",IF(INDEX(tblRegistros[Data],$L46)&gt;$D$4,"",IFERROR(INDEX(tblRegistros[Taxa aplicada],$L46),"")))</f>
        <v/>
      </c>
      <c r="I46" s="3" t="str">
        <f>IF($L46="","",IF(INDEX(tblRegistros[Data],$L46)&gt;$D$4,"",IFERROR(IF(INDEX(tblRegistros[Status],$L46)="EM ABERTO","",INDEX(tblRegistros[Valor],$L46)),"")))</f>
        <v/>
      </c>
      <c r="J46" t="str">
        <f>IF($L46="","",IF(INDEX(tblRegistros[Data],$L46)&gt;$D$4,"",IFERROR(INDEX(tblRegistros[Status],$L46),"")))</f>
        <v/>
      </c>
      <c r="K46" t="str">
        <f>IF($L46="","",IF(INDEX(tblRegistros[Data],$L46)&gt;$D$4,"",IFERROR(INDEX(tblRegistros[Observação],$L46),"")))</f>
        <v/>
      </c>
      <c r="L46" s="16" t="str">
        <f>IFERROR(MATCH($B$3*100000+COUNTIFS(tblRegistros[ID],$B$3,tblRegistros[Data],"&lt;"&amp;$B$4)+ROWS($L$10:L46),tblRegistros[Chave do cartão],0),"")</f>
        <v/>
      </c>
    </row>
    <row r="47" spans="1:12">
      <c r="A47" s="2" t="str">
        <f>IF($L47="","",IF(INDEX(tblRegistros[Data],$L47)&gt;$D$4,"",IFERROR(INDEX(tblRegistros[Data],$L47),"")))</f>
        <v/>
      </c>
      <c r="B47" t="str">
        <f>IF($L47="","",IF(INDEX(tblRegistros[Data],$L47)&gt;$D$4,"",IFERROR(INDEX(tblRegistros[Projeto],$L47),"")))</f>
        <v/>
      </c>
      <c r="C47" t="str">
        <f>IF($L47="","",IF(INDEX(tblRegistros[Data],$L47)&gt;$D$4,"",IFERROR(INDEX(tblRegistros[Atividade],$L47),"")))</f>
        <v/>
      </c>
      <c r="D47" s="4" t="str">
        <f>IF($L47="","",IF(INDEX(tblRegistros[Data],$L47)&gt;$D$4,"",IFERROR(INDEX(tblRegistros[Início],$L47),"")))</f>
        <v/>
      </c>
      <c r="E47" s="4" t="str">
        <f>IF($L47="","",IF(INDEX(tblRegistros[Data],$L47)&gt;$D$4,"",IFERROR(IF(INDEX(tblRegistros[Status],$L47)="EM ABERTO","",INDEX(tblRegistros[Fim],$L47)),"")))</f>
        <v/>
      </c>
      <c r="F47" s="14" t="str">
        <f>IF($L47="","",IF(INDEX(tblRegistros[Data],$L47)&gt;$D$4,"",IFERROR(IF(INDEX(tblRegistros[Status],$L47)="EM ABERTO","",INDEX(tblRegistros[Horas],$L47)),"")))</f>
        <v/>
      </c>
      <c r="G47" t="str">
        <f>IF($L47="","",IF(INDEX(tblRegistros[Data],$L47)&gt;$D$4,"",IFERROR(INDEX(tblRegistros[Base],$L47),"")))</f>
        <v/>
      </c>
      <c r="H47" s="3" t="str">
        <f>IF($L47="","",IF(INDEX(tblRegistros[Data],$L47)&gt;$D$4,"",IFERROR(INDEX(tblRegistros[Taxa aplicada],$L47),"")))</f>
        <v/>
      </c>
      <c r="I47" s="3" t="str">
        <f>IF($L47="","",IF(INDEX(tblRegistros[Data],$L47)&gt;$D$4,"",IFERROR(IF(INDEX(tblRegistros[Status],$L47)="EM ABERTO","",INDEX(tblRegistros[Valor],$L47)),"")))</f>
        <v/>
      </c>
      <c r="J47" t="str">
        <f>IF($L47="","",IF(INDEX(tblRegistros[Data],$L47)&gt;$D$4,"",IFERROR(INDEX(tblRegistros[Status],$L47),"")))</f>
        <v/>
      </c>
      <c r="K47" t="str">
        <f>IF($L47="","",IF(INDEX(tblRegistros[Data],$L47)&gt;$D$4,"",IFERROR(INDEX(tblRegistros[Observação],$L47),"")))</f>
        <v/>
      </c>
      <c r="L47" s="16" t="str">
        <f>IFERROR(MATCH($B$3*100000+COUNTIFS(tblRegistros[ID],$B$3,tblRegistros[Data],"&lt;"&amp;$B$4)+ROWS($L$10:L47),tblRegistros[Chave do cartão],0),"")</f>
        <v/>
      </c>
    </row>
    <row r="48" spans="1:12">
      <c r="A48" s="2" t="str">
        <f>IF($L48="","",IF(INDEX(tblRegistros[Data],$L48)&gt;$D$4,"",IFERROR(INDEX(tblRegistros[Data],$L48),"")))</f>
        <v/>
      </c>
      <c r="B48" t="str">
        <f>IF($L48="","",IF(INDEX(tblRegistros[Data],$L48)&gt;$D$4,"",IFERROR(INDEX(tblRegistros[Projeto],$L48),"")))</f>
        <v/>
      </c>
      <c r="C48" t="str">
        <f>IF($L48="","",IF(INDEX(tblRegistros[Data],$L48)&gt;$D$4,"",IFERROR(INDEX(tblRegistros[Atividade],$L48),"")))</f>
        <v/>
      </c>
      <c r="D48" s="4" t="str">
        <f>IF($L48="","",IF(INDEX(tblRegistros[Data],$L48)&gt;$D$4,"",IFERROR(INDEX(tblRegistros[Início],$L48),"")))</f>
        <v/>
      </c>
      <c r="E48" s="4" t="str">
        <f>IF($L48="","",IF(INDEX(tblRegistros[Data],$L48)&gt;$D$4,"",IFERROR(IF(INDEX(tblRegistros[Status],$L48)="EM ABERTO","",INDEX(tblRegistros[Fim],$L48)),"")))</f>
        <v/>
      </c>
      <c r="F48" s="14" t="str">
        <f>IF($L48="","",IF(INDEX(tblRegistros[Data],$L48)&gt;$D$4,"",IFERROR(IF(INDEX(tblRegistros[Status],$L48)="EM ABERTO","",INDEX(tblRegistros[Horas],$L48)),"")))</f>
        <v/>
      </c>
      <c r="G48" t="str">
        <f>IF($L48="","",IF(INDEX(tblRegistros[Data],$L48)&gt;$D$4,"",IFERROR(INDEX(tblRegistros[Base],$L48),"")))</f>
        <v/>
      </c>
      <c r="H48" s="3" t="str">
        <f>IF($L48="","",IF(INDEX(tblRegistros[Data],$L48)&gt;$D$4,"",IFERROR(INDEX(tblRegistros[Taxa aplicada],$L48),"")))</f>
        <v/>
      </c>
      <c r="I48" s="3" t="str">
        <f>IF($L48="","",IF(INDEX(tblRegistros[Data],$L48)&gt;$D$4,"",IFERROR(IF(INDEX(tblRegistros[Status],$L48)="EM ABERTO","",INDEX(tblRegistros[Valor],$L48)),"")))</f>
        <v/>
      </c>
      <c r="J48" t="str">
        <f>IF($L48="","",IF(INDEX(tblRegistros[Data],$L48)&gt;$D$4,"",IFERROR(INDEX(tblRegistros[Status],$L48),"")))</f>
        <v/>
      </c>
      <c r="K48" t="str">
        <f>IF($L48="","",IF(INDEX(tblRegistros[Data],$L48)&gt;$D$4,"",IFERROR(INDEX(tblRegistros[Observação],$L48),"")))</f>
        <v/>
      </c>
      <c r="L48" s="16" t="str">
        <f>IFERROR(MATCH($B$3*100000+COUNTIFS(tblRegistros[ID],$B$3,tblRegistros[Data],"&lt;"&amp;$B$4)+ROWS($L$10:L48),tblRegistros[Chave do cartão],0),"")</f>
        <v/>
      </c>
    </row>
    <row r="49" spans="1:12">
      <c r="A49" s="2" t="str">
        <f>IF($L49="","",IF(INDEX(tblRegistros[Data],$L49)&gt;$D$4,"",IFERROR(INDEX(tblRegistros[Data],$L49),"")))</f>
        <v/>
      </c>
      <c r="B49" t="str">
        <f>IF($L49="","",IF(INDEX(tblRegistros[Data],$L49)&gt;$D$4,"",IFERROR(INDEX(tblRegistros[Projeto],$L49),"")))</f>
        <v/>
      </c>
      <c r="C49" t="str">
        <f>IF($L49="","",IF(INDEX(tblRegistros[Data],$L49)&gt;$D$4,"",IFERROR(INDEX(tblRegistros[Atividade],$L49),"")))</f>
        <v/>
      </c>
      <c r="D49" s="4" t="str">
        <f>IF($L49="","",IF(INDEX(tblRegistros[Data],$L49)&gt;$D$4,"",IFERROR(INDEX(tblRegistros[Início],$L49),"")))</f>
        <v/>
      </c>
      <c r="E49" s="4" t="str">
        <f>IF($L49="","",IF(INDEX(tblRegistros[Data],$L49)&gt;$D$4,"",IFERROR(IF(INDEX(tblRegistros[Status],$L49)="EM ABERTO","",INDEX(tblRegistros[Fim],$L49)),"")))</f>
        <v/>
      </c>
      <c r="F49" s="14" t="str">
        <f>IF($L49="","",IF(INDEX(tblRegistros[Data],$L49)&gt;$D$4,"",IFERROR(IF(INDEX(tblRegistros[Status],$L49)="EM ABERTO","",INDEX(tblRegistros[Horas],$L49)),"")))</f>
        <v/>
      </c>
      <c r="G49" t="str">
        <f>IF($L49="","",IF(INDEX(tblRegistros[Data],$L49)&gt;$D$4,"",IFERROR(INDEX(tblRegistros[Base],$L49),"")))</f>
        <v/>
      </c>
      <c r="H49" s="3" t="str">
        <f>IF($L49="","",IF(INDEX(tblRegistros[Data],$L49)&gt;$D$4,"",IFERROR(INDEX(tblRegistros[Taxa aplicada],$L49),"")))</f>
        <v/>
      </c>
      <c r="I49" s="3" t="str">
        <f>IF($L49="","",IF(INDEX(tblRegistros[Data],$L49)&gt;$D$4,"",IFERROR(IF(INDEX(tblRegistros[Status],$L49)="EM ABERTO","",INDEX(tblRegistros[Valor],$L49)),"")))</f>
        <v/>
      </c>
      <c r="J49" t="str">
        <f>IF($L49="","",IF(INDEX(tblRegistros[Data],$L49)&gt;$D$4,"",IFERROR(INDEX(tblRegistros[Status],$L49),"")))</f>
        <v/>
      </c>
      <c r="K49" t="str">
        <f>IF($L49="","",IF(INDEX(tblRegistros[Data],$L49)&gt;$D$4,"",IFERROR(INDEX(tblRegistros[Observação],$L49),"")))</f>
        <v/>
      </c>
      <c r="L49" s="16" t="str">
        <f>IFERROR(MATCH($B$3*100000+COUNTIFS(tblRegistros[ID],$B$3,tblRegistros[Data],"&lt;"&amp;$B$4)+ROWS($L$10:L49),tblRegistros[Chave do cartão],0),"")</f>
        <v/>
      </c>
    </row>
    <row r="50" spans="1:12">
      <c r="A50" s="2" t="str">
        <f>IF($L50="","",IF(INDEX(tblRegistros[Data],$L50)&gt;$D$4,"",IFERROR(INDEX(tblRegistros[Data],$L50),"")))</f>
        <v/>
      </c>
      <c r="B50" t="str">
        <f>IF($L50="","",IF(INDEX(tblRegistros[Data],$L50)&gt;$D$4,"",IFERROR(INDEX(tblRegistros[Projeto],$L50),"")))</f>
        <v/>
      </c>
      <c r="C50" t="str">
        <f>IF($L50="","",IF(INDEX(tblRegistros[Data],$L50)&gt;$D$4,"",IFERROR(INDEX(tblRegistros[Atividade],$L50),"")))</f>
        <v/>
      </c>
      <c r="D50" s="4" t="str">
        <f>IF($L50="","",IF(INDEX(tblRegistros[Data],$L50)&gt;$D$4,"",IFERROR(INDEX(tblRegistros[Início],$L50),"")))</f>
        <v/>
      </c>
      <c r="E50" s="4" t="str">
        <f>IF($L50="","",IF(INDEX(tblRegistros[Data],$L50)&gt;$D$4,"",IFERROR(IF(INDEX(tblRegistros[Status],$L50)="EM ABERTO","",INDEX(tblRegistros[Fim],$L50)),"")))</f>
        <v/>
      </c>
      <c r="F50" s="14" t="str">
        <f>IF($L50="","",IF(INDEX(tblRegistros[Data],$L50)&gt;$D$4,"",IFERROR(IF(INDEX(tblRegistros[Status],$L50)="EM ABERTO","",INDEX(tblRegistros[Horas],$L50)),"")))</f>
        <v/>
      </c>
      <c r="G50" t="str">
        <f>IF($L50="","",IF(INDEX(tblRegistros[Data],$L50)&gt;$D$4,"",IFERROR(INDEX(tblRegistros[Base],$L50),"")))</f>
        <v/>
      </c>
      <c r="H50" s="3" t="str">
        <f>IF($L50="","",IF(INDEX(tblRegistros[Data],$L50)&gt;$D$4,"",IFERROR(INDEX(tblRegistros[Taxa aplicada],$L50),"")))</f>
        <v/>
      </c>
      <c r="I50" s="3" t="str">
        <f>IF($L50="","",IF(INDEX(tblRegistros[Data],$L50)&gt;$D$4,"",IFERROR(IF(INDEX(tblRegistros[Status],$L50)="EM ABERTO","",INDEX(tblRegistros[Valor],$L50)),"")))</f>
        <v/>
      </c>
      <c r="J50" t="str">
        <f>IF($L50="","",IF(INDEX(tblRegistros[Data],$L50)&gt;$D$4,"",IFERROR(INDEX(tblRegistros[Status],$L50),"")))</f>
        <v/>
      </c>
      <c r="K50" t="str">
        <f>IF($L50="","",IF(INDEX(tblRegistros[Data],$L50)&gt;$D$4,"",IFERROR(INDEX(tblRegistros[Observação],$L50),"")))</f>
        <v/>
      </c>
      <c r="L50" s="16" t="str">
        <f>IFERROR(MATCH($B$3*100000+COUNTIFS(tblRegistros[ID],$B$3,tblRegistros[Data],"&lt;"&amp;$B$4)+ROWS($L$10:L50),tblRegistros[Chave do cartão],0),"")</f>
        <v/>
      </c>
    </row>
    <row r="51" spans="1:12">
      <c r="A51" s="2" t="str">
        <f>IF($L51="","",IF(INDEX(tblRegistros[Data],$L51)&gt;$D$4,"",IFERROR(INDEX(tblRegistros[Data],$L51),"")))</f>
        <v/>
      </c>
      <c r="B51" t="str">
        <f>IF($L51="","",IF(INDEX(tblRegistros[Data],$L51)&gt;$D$4,"",IFERROR(INDEX(tblRegistros[Projeto],$L51),"")))</f>
        <v/>
      </c>
      <c r="C51" t="str">
        <f>IF($L51="","",IF(INDEX(tblRegistros[Data],$L51)&gt;$D$4,"",IFERROR(INDEX(tblRegistros[Atividade],$L51),"")))</f>
        <v/>
      </c>
      <c r="D51" s="4" t="str">
        <f>IF($L51="","",IF(INDEX(tblRegistros[Data],$L51)&gt;$D$4,"",IFERROR(INDEX(tblRegistros[Início],$L51),"")))</f>
        <v/>
      </c>
      <c r="E51" s="4" t="str">
        <f>IF($L51="","",IF(INDEX(tblRegistros[Data],$L51)&gt;$D$4,"",IFERROR(IF(INDEX(tblRegistros[Status],$L51)="EM ABERTO","",INDEX(tblRegistros[Fim],$L51)),"")))</f>
        <v/>
      </c>
      <c r="F51" s="14" t="str">
        <f>IF($L51="","",IF(INDEX(tblRegistros[Data],$L51)&gt;$D$4,"",IFERROR(IF(INDEX(tblRegistros[Status],$L51)="EM ABERTO","",INDEX(tblRegistros[Horas],$L51)),"")))</f>
        <v/>
      </c>
      <c r="G51" t="str">
        <f>IF($L51="","",IF(INDEX(tblRegistros[Data],$L51)&gt;$D$4,"",IFERROR(INDEX(tblRegistros[Base],$L51),"")))</f>
        <v/>
      </c>
      <c r="H51" s="3" t="str">
        <f>IF($L51="","",IF(INDEX(tblRegistros[Data],$L51)&gt;$D$4,"",IFERROR(INDEX(tblRegistros[Taxa aplicada],$L51),"")))</f>
        <v/>
      </c>
      <c r="I51" s="3" t="str">
        <f>IF($L51="","",IF(INDEX(tblRegistros[Data],$L51)&gt;$D$4,"",IFERROR(IF(INDEX(tblRegistros[Status],$L51)="EM ABERTO","",INDEX(tblRegistros[Valor],$L51)),"")))</f>
        <v/>
      </c>
      <c r="J51" t="str">
        <f>IF($L51="","",IF(INDEX(tblRegistros[Data],$L51)&gt;$D$4,"",IFERROR(INDEX(tblRegistros[Status],$L51),"")))</f>
        <v/>
      </c>
      <c r="K51" t="str">
        <f>IF($L51="","",IF(INDEX(tblRegistros[Data],$L51)&gt;$D$4,"",IFERROR(INDEX(tblRegistros[Observação],$L51),"")))</f>
        <v/>
      </c>
      <c r="L51" s="16" t="str">
        <f>IFERROR(MATCH($B$3*100000+COUNTIFS(tblRegistros[ID],$B$3,tblRegistros[Data],"&lt;"&amp;$B$4)+ROWS($L$10:L51),tblRegistros[Chave do cartão],0),"")</f>
        <v/>
      </c>
    </row>
    <row r="52" spans="1:12">
      <c r="A52" s="2" t="str">
        <f>IF($L52="","",IF(INDEX(tblRegistros[Data],$L52)&gt;$D$4,"",IFERROR(INDEX(tblRegistros[Data],$L52),"")))</f>
        <v/>
      </c>
      <c r="B52" t="str">
        <f>IF($L52="","",IF(INDEX(tblRegistros[Data],$L52)&gt;$D$4,"",IFERROR(INDEX(tblRegistros[Projeto],$L52),"")))</f>
        <v/>
      </c>
      <c r="C52" t="str">
        <f>IF($L52="","",IF(INDEX(tblRegistros[Data],$L52)&gt;$D$4,"",IFERROR(INDEX(tblRegistros[Atividade],$L52),"")))</f>
        <v/>
      </c>
      <c r="D52" s="4" t="str">
        <f>IF($L52="","",IF(INDEX(tblRegistros[Data],$L52)&gt;$D$4,"",IFERROR(INDEX(tblRegistros[Início],$L52),"")))</f>
        <v/>
      </c>
      <c r="E52" s="4" t="str">
        <f>IF($L52="","",IF(INDEX(tblRegistros[Data],$L52)&gt;$D$4,"",IFERROR(IF(INDEX(tblRegistros[Status],$L52)="EM ABERTO","",INDEX(tblRegistros[Fim],$L52)),"")))</f>
        <v/>
      </c>
      <c r="F52" s="14" t="str">
        <f>IF($L52="","",IF(INDEX(tblRegistros[Data],$L52)&gt;$D$4,"",IFERROR(IF(INDEX(tblRegistros[Status],$L52)="EM ABERTO","",INDEX(tblRegistros[Horas],$L52)),"")))</f>
        <v/>
      </c>
      <c r="G52" t="str">
        <f>IF($L52="","",IF(INDEX(tblRegistros[Data],$L52)&gt;$D$4,"",IFERROR(INDEX(tblRegistros[Base],$L52),"")))</f>
        <v/>
      </c>
      <c r="H52" s="3" t="str">
        <f>IF($L52="","",IF(INDEX(tblRegistros[Data],$L52)&gt;$D$4,"",IFERROR(INDEX(tblRegistros[Taxa aplicada],$L52),"")))</f>
        <v/>
      </c>
      <c r="I52" s="3" t="str">
        <f>IF($L52="","",IF(INDEX(tblRegistros[Data],$L52)&gt;$D$4,"",IFERROR(IF(INDEX(tblRegistros[Status],$L52)="EM ABERTO","",INDEX(tblRegistros[Valor],$L52)),"")))</f>
        <v/>
      </c>
      <c r="J52" t="str">
        <f>IF($L52="","",IF(INDEX(tblRegistros[Data],$L52)&gt;$D$4,"",IFERROR(INDEX(tblRegistros[Status],$L52),"")))</f>
        <v/>
      </c>
      <c r="K52" t="str">
        <f>IF($L52="","",IF(INDEX(tblRegistros[Data],$L52)&gt;$D$4,"",IFERROR(INDEX(tblRegistros[Observação],$L52),"")))</f>
        <v/>
      </c>
      <c r="L52" s="16" t="str">
        <f>IFERROR(MATCH($B$3*100000+COUNTIFS(tblRegistros[ID],$B$3,tblRegistros[Data],"&lt;"&amp;$B$4)+ROWS($L$10:L52),tblRegistros[Chave do cartão],0),"")</f>
        <v/>
      </c>
    </row>
    <row r="53" spans="1:12">
      <c r="A53" s="2" t="str">
        <f>IF($L53="","",IF(INDEX(tblRegistros[Data],$L53)&gt;$D$4,"",IFERROR(INDEX(tblRegistros[Data],$L53),"")))</f>
        <v/>
      </c>
      <c r="B53" t="str">
        <f>IF($L53="","",IF(INDEX(tblRegistros[Data],$L53)&gt;$D$4,"",IFERROR(INDEX(tblRegistros[Projeto],$L53),"")))</f>
        <v/>
      </c>
      <c r="C53" t="str">
        <f>IF($L53="","",IF(INDEX(tblRegistros[Data],$L53)&gt;$D$4,"",IFERROR(INDEX(tblRegistros[Atividade],$L53),"")))</f>
        <v/>
      </c>
      <c r="D53" s="4" t="str">
        <f>IF($L53="","",IF(INDEX(tblRegistros[Data],$L53)&gt;$D$4,"",IFERROR(INDEX(tblRegistros[Início],$L53),"")))</f>
        <v/>
      </c>
      <c r="E53" s="4" t="str">
        <f>IF($L53="","",IF(INDEX(tblRegistros[Data],$L53)&gt;$D$4,"",IFERROR(IF(INDEX(tblRegistros[Status],$L53)="EM ABERTO","",INDEX(tblRegistros[Fim],$L53)),"")))</f>
        <v/>
      </c>
      <c r="F53" s="14" t="str">
        <f>IF($L53="","",IF(INDEX(tblRegistros[Data],$L53)&gt;$D$4,"",IFERROR(IF(INDEX(tblRegistros[Status],$L53)="EM ABERTO","",INDEX(tblRegistros[Horas],$L53)),"")))</f>
        <v/>
      </c>
      <c r="G53" t="str">
        <f>IF($L53="","",IF(INDEX(tblRegistros[Data],$L53)&gt;$D$4,"",IFERROR(INDEX(tblRegistros[Base],$L53),"")))</f>
        <v/>
      </c>
      <c r="H53" s="3" t="str">
        <f>IF($L53="","",IF(INDEX(tblRegistros[Data],$L53)&gt;$D$4,"",IFERROR(INDEX(tblRegistros[Taxa aplicada],$L53),"")))</f>
        <v/>
      </c>
      <c r="I53" s="3" t="str">
        <f>IF($L53="","",IF(INDEX(tblRegistros[Data],$L53)&gt;$D$4,"",IFERROR(IF(INDEX(tblRegistros[Status],$L53)="EM ABERTO","",INDEX(tblRegistros[Valor],$L53)),"")))</f>
        <v/>
      </c>
      <c r="J53" t="str">
        <f>IF($L53="","",IF(INDEX(tblRegistros[Data],$L53)&gt;$D$4,"",IFERROR(INDEX(tblRegistros[Status],$L53),"")))</f>
        <v/>
      </c>
      <c r="K53" t="str">
        <f>IF($L53="","",IF(INDEX(tblRegistros[Data],$L53)&gt;$D$4,"",IFERROR(INDEX(tblRegistros[Observação],$L53),"")))</f>
        <v/>
      </c>
      <c r="L53" s="16" t="str">
        <f>IFERROR(MATCH($B$3*100000+COUNTIFS(tblRegistros[ID],$B$3,tblRegistros[Data],"&lt;"&amp;$B$4)+ROWS($L$10:L53),tblRegistros[Chave do cartão],0),"")</f>
        <v/>
      </c>
    </row>
    <row r="54" spans="1:12">
      <c r="A54" s="2" t="str">
        <f>IF($L54="","",IF(INDEX(tblRegistros[Data],$L54)&gt;$D$4,"",IFERROR(INDEX(tblRegistros[Data],$L54),"")))</f>
        <v/>
      </c>
      <c r="B54" t="str">
        <f>IF($L54="","",IF(INDEX(tblRegistros[Data],$L54)&gt;$D$4,"",IFERROR(INDEX(tblRegistros[Projeto],$L54),"")))</f>
        <v/>
      </c>
      <c r="C54" t="str">
        <f>IF($L54="","",IF(INDEX(tblRegistros[Data],$L54)&gt;$D$4,"",IFERROR(INDEX(tblRegistros[Atividade],$L54),"")))</f>
        <v/>
      </c>
      <c r="D54" s="4" t="str">
        <f>IF($L54="","",IF(INDEX(tblRegistros[Data],$L54)&gt;$D$4,"",IFERROR(INDEX(tblRegistros[Início],$L54),"")))</f>
        <v/>
      </c>
      <c r="E54" s="4" t="str">
        <f>IF($L54="","",IF(INDEX(tblRegistros[Data],$L54)&gt;$D$4,"",IFERROR(IF(INDEX(tblRegistros[Status],$L54)="EM ABERTO","",INDEX(tblRegistros[Fim],$L54)),"")))</f>
        <v/>
      </c>
      <c r="F54" s="14" t="str">
        <f>IF($L54="","",IF(INDEX(tblRegistros[Data],$L54)&gt;$D$4,"",IFERROR(IF(INDEX(tblRegistros[Status],$L54)="EM ABERTO","",INDEX(tblRegistros[Horas],$L54)),"")))</f>
        <v/>
      </c>
      <c r="G54" t="str">
        <f>IF($L54="","",IF(INDEX(tblRegistros[Data],$L54)&gt;$D$4,"",IFERROR(INDEX(tblRegistros[Base],$L54),"")))</f>
        <v/>
      </c>
      <c r="H54" s="3" t="str">
        <f>IF($L54="","",IF(INDEX(tblRegistros[Data],$L54)&gt;$D$4,"",IFERROR(INDEX(tblRegistros[Taxa aplicada],$L54),"")))</f>
        <v/>
      </c>
      <c r="I54" s="3" t="str">
        <f>IF($L54="","",IF(INDEX(tblRegistros[Data],$L54)&gt;$D$4,"",IFERROR(IF(INDEX(tblRegistros[Status],$L54)="EM ABERTO","",INDEX(tblRegistros[Valor],$L54)),"")))</f>
        <v/>
      </c>
      <c r="J54" t="str">
        <f>IF($L54="","",IF(INDEX(tblRegistros[Data],$L54)&gt;$D$4,"",IFERROR(INDEX(tblRegistros[Status],$L54),"")))</f>
        <v/>
      </c>
      <c r="K54" t="str">
        <f>IF($L54="","",IF(INDEX(tblRegistros[Data],$L54)&gt;$D$4,"",IFERROR(INDEX(tblRegistros[Observação],$L54),"")))</f>
        <v/>
      </c>
      <c r="L54" s="16" t="str">
        <f>IFERROR(MATCH($B$3*100000+COUNTIFS(tblRegistros[ID],$B$3,tblRegistros[Data],"&lt;"&amp;$B$4)+ROWS($L$10:L54),tblRegistros[Chave do cartão],0),"")</f>
        <v/>
      </c>
    </row>
    <row r="55" spans="1:12">
      <c r="A55" s="2" t="str">
        <f>IF($L55="","",IF(INDEX(tblRegistros[Data],$L55)&gt;$D$4,"",IFERROR(INDEX(tblRegistros[Data],$L55),"")))</f>
        <v/>
      </c>
      <c r="B55" t="str">
        <f>IF($L55="","",IF(INDEX(tblRegistros[Data],$L55)&gt;$D$4,"",IFERROR(INDEX(tblRegistros[Projeto],$L55),"")))</f>
        <v/>
      </c>
      <c r="C55" t="str">
        <f>IF($L55="","",IF(INDEX(tblRegistros[Data],$L55)&gt;$D$4,"",IFERROR(INDEX(tblRegistros[Atividade],$L55),"")))</f>
        <v/>
      </c>
      <c r="D55" s="4" t="str">
        <f>IF($L55="","",IF(INDEX(tblRegistros[Data],$L55)&gt;$D$4,"",IFERROR(INDEX(tblRegistros[Início],$L55),"")))</f>
        <v/>
      </c>
      <c r="E55" s="4" t="str">
        <f>IF($L55="","",IF(INDEX(tblRegistros[Data],$L55)&gt;$D$4,"",IFERROR(IF(INDEX(tblRegistros[Status],$L55)="EM ABERTO","",INDEX(tblRegistros[Fim],$L55)),"")))</f>
        <v/>
      </c>
      <c r="F55" s="14" t="str">
        <f>IF($L55="","",IF(INDEX(tblRegistros[Data],$L55)&gt;$D$4,"",IFERROR(IF(INDEX(tblRegistros[Status],$L55)="EM ABERTO","",INDEX(tblRegistros[Horas],$L55)),"")))</f>
        <v/>
      </c>
      <c r="G55" t="str">
        <f>IF($L55="","",IF(INDEX(tblRegistros[Data],$L55)&gt;$D$4,"",IFERROR(INDEX(tblRegistros[Base],$L55),"")))</f>
        <v/>
      </c>
      <c r="H55" s="3" t="str">
        <f>IF($L55="","",IF(INDEX(tblRegistros[Data],$L55)&gt;$D$4,"",IFERROR(INDEX(tblRegistros[Taxa aplicada],$L55),"")))</f>
        <v/>
      </c>
      <c r="I55" s="3" t="str">
        <f>IF($L55="","",IF(INDEX(tblRegistros[Data],$L55)&gt;$D$4,"",IFERROR(IF(INDEX(tblRegistros[Status],$L55)="EM ABERTO","",INDEX(tblRegistros[Valor],$L55)),"")))</f>
        <v/>
      </c>
      <c r="J55" t="str">
        <f>IF($L55="","",IF(INDEX(tblRegistros[Data],$L55)&gt;$D$4,"",IFERROR(INDEX(tblRegistros[Status],$L55),"")))</f>
        <v/>
      </c>
      <c r="K55" t="str">
        <f>IF($L55="","",IF(INDEX(tblRegistros[Data],$L55)&gt;$D$4,"",IFERROR(INDEX(tblRegistros[Observação],$L55),"")))</f>
        <v/>
      </c>
      <c r="L55" s="16" t="str">
        <f>IFERROR(MATCH($B$3*100000+COUNTIFS(tblRegistros[ID],$B$3,tblRegistros[Data],"&lt;"&amp;$B$4)+ROWS($L$10:L55),tblRegistros[Chave do cartão],0),"")</f>
        <v/>
      </c>
    </row>
    <row r="56" spans="1:12">
      <c r="A56" s="2" t="str">
        <f>IF($L56="","",IF(INDEX(tblRegistros[Data],$L56)&gt;$D$4,"",IFERROR(INDEX(tblRegistros[Data],$L56),"")))</f>
        <v/>
      </c>
      <c r="B56" t="str">
        <f>IF($L56="","",IF(INDEX(tblRegistros[Data],$L56)&gt;$D$4,"",IFERROR(INDEX(tblRegistros[Projeto],$L56),"")))</f>
        <v/>
      </c>
      <c r="C56" t="str">
        <f>IF($L56="","",IF(INDEX(tblRegistros[Data],$L56)&gt;$D$4,"",IFERROR(INDEX(tblRegistros[Atividade],$L56),"")))</f>
        <v/>
      </c>
      <c r="D56" s="4" t="str">
        <f>IF($L56="","",IF(INDEX(tblRegistros[Data],$L56)&gt;$D$4,"",IFERROR(INDEX(tblRegistros[Início],$L56),"")))</f>
        <v/>
      </c>
      <c r="E56" s="4" t="str">
        <f>IF($L56="","",IF(INDEX(tblRegistros[Data],$L56)&gt;$D$4,"",IFERROR(IF(INDEX(tblRegistros[Status],$L56)="EM ABERTO","",INDEX(tblRegistros[Fim],$L56)),"")))</f>
        <v/>
      </c>
      <c r="F56" s="14" t="str">
        <f>IF($L56="","",IF(INDEX(tblRegistros[Data],$L56)&gt;$D$4,"",IFERROR(IF(INDEX(tblRegistros[Status],$L56)="EM ABERTO","",INDEX(tblRegistros[Horas],$L56)),"")))</f>
        <v/>
      </c>
      <c r="G56" t="str">
        <f>IF($L56="","",IF(INDEX(tblRegistros[Data],$L56)&gt;$D$4,"",IFERROR(INDEX(tblRegistros[Base],$L56),"")))</f>
        <v/>
      </c>
      <c r="H56" s="3" t="str">
        <f>IF($L56="","",IF(INDEX(tblRegistros[Data],$L56)&gt;$D$4,"",IFERROR(INDEX(tblRegistros[Taxa aplicada],$L56),"")))</f>
        <v/>
      </c>
      <c r="I56" s="3" t="str">
        <f>IF($L56="","",IF(INDEX(tblRegistros[Data],$L56)&gt;$D$4,"",IFERROR(IF(INDEX(tblRegistros[Status],$L56)="EM ABERTO","",INDEX(tblRegistros[Valor],$L56)),"")))</f>
        <v/>
      </c>
      <c r="J56" t="str">
        <f>IF($L56="","",IF(INDEX(tblRegistros[Data],$L56)&gt;$D$4,"",IFERROR(INDEX(tblRegistros[Status],$L56),"")))</f>
        <v/>
      </c>
      <c r="K56" t="str">
        <f>IF($L56="","",IF(INDEX(tblRegistros[Data],$L56)&gt;$D$4,"",IFERROR(INDEX(tblRegistros[Observação],$L56),"")))</f>
        <v/>
      </c>
      <c r="L56" s="16" t="str">
        <f>IFERROR(MATCH($B$3*100000+COUNTIFS(tblRegistros[ID],$B$3,tblRegistros[Data],"&lt;"&amp;$B$4)+ROWS($L$10:L56),tblRegistros[Chave do cartão],0),"")</f>
        <v/>
      </c>
    </row>
    <row r="57" spans="1:12">
      <c r="A57" s="2" t="str">
        <f>IF($L57="","",IF(INDEX(tblRegistros[Data],$L57)&gt;$D$4,"",IFERROR(INDEX(tblRegistros[Data],$L57),"")))</f>
        <v/>
      </c>
      <c r="B57" t="str">
        <f>IF($L57="","",IF(INDEX(tblRegistros[Data],$L57)&gt;$D$4,"",IFERROR(INDEX(tblRegistros[Projeto],$L57),"")))</f>
        <v/>
      </c>
      <c r="C57" t="str">
        <f>IF($L57="","",IF(INDEX(tblRegistros[Data],$L57)&gt;$D$4,"",IFERROR(INDEX(tblRegistros[Atividade],$L57),"")))</f>
        <v/>
      </c>
      <c r="D57" s="4" t="str">
        <f>IF($L57="","",IF(INDEX(tblRegistros[Data],$L57)&gt;$D$4,"",IFERROR(INDEX(tblRegistros[Início],$L57),"")))</f>
        <v/>
      </c>
      <c r="E57" s="4" t="str">
        <f>IF($L57="","",IF(INDEX(tblRegistros[Data],$L57)&gt;$D$4,"",IFERROR(IF(INDEX(tblRegistros[Status],$L57)="EM ABERTO","",INDEX(tblRegistros[Fim],$L57)),"")))</f>
        <v/>
      </c>
      <c r="F57" s="14" t="str">
        <f>IF($L57="","",IF(INDEX(tblRegistros[Data],$L57)&gt;$D$4,"",IFERROR(IF(INDEX(tblRegistros[Status],$L57)="EM ABERTO","",INDEX(tblRegistros[Horas],$L57)),"")))</f>
        <v/>
      </c>
      <c r="G57" t="str">
        <f>IF($L57="","",IF(INDEX(tblRegistros[Data],$L57)&gt;$D$4,"",IFERROR(INDEX(tblRegistros[Base],$L57),"")))</f>
        <v/>
      </c>
      <c r="H57" s="3" t="str">
        <f>IF($L57="","",IF(INDEX(tblRegistros[Data],$L57)&gt;$D$4,"",IFERROR(INDEX(tblRegistros[Taxa aplicada],$L57),"")))</f>
        <v/>
      </c>
      <c r="I57" s="3" t="str">
        <f>IF($L57="","",IF(INDEX(tblRegistros[Data],$L57)&gt;$D$4,"",IFERROR(IF(INDEX(tblRegistros[Status],$L57)="EM ABERTO","",INDEX(tblRegistros[Valor],$L57)),"")))</f>
        <v/>
      </c>
      <c r="J57" t="str">
        <f>IF($L57="","",IF(INDEX(tblRegistros[Data],$L57)&gt;$D$4,"",IFERROR(INDEX(tblRegistros[Status],$L57),"")))</f>
        <v/>
      </c>
      <c r="K57" t="str">
        <f>IF($L57="","",IF(INDEX(tblRegistros[Data],$L57)&gt;$D$4,"",IFERROR(INDEX(tblRegistros[Observação],$L57),"")))</f>
        <v/>
      </c>
      <c r="L57" s="16" t="str">
        <f>IFERROR(MATCH($B$3*100000+COUNTIFS(tblRegistros[ID],$B$3,tblRegistros[Data],"&lt;"&amp;$B$4)+ROWS($L$10:L57),tblRegistros[Chave do cartão],0),"")</f>
        <v/>
      </c>
    </row>
    <row r="58" spans="1:12">
      <c r="A58" s="2" t="str">
        <f>IF($L58="","",IF(INDEX(tblRegistros[Data],$L58)&gt;$D$4,"",IFERROR(INDEX(tblRegistros[Data],$L58),"")))</f>
        <v/>
      </c>
      <c r="B58" t="str">
        <f>IF($L58="","",IF(INDEX(tblRegistros[Data],$L58)&gt;$D$4,"",IFERROR(INDEX(tblRegistros[Projeto],$L58),"")))</f>
        <v/>
      </c>
      <c r="C58" t="str">
        <f>IF($L58="","",IF(INDEX(tblRegistros[Data],$L58)&gt;$D$4,"",IFERROR(INDEX(tblRegistros[Atividade],$L58),"")))</f>
        <v/>
      </c>
      <c r="D58" s="4" t="str">
        <f>IF($L58="","",IF(INDEX(tblRegistros[Data],$L58)&gt;$D$4,"",IFERROR(INDEX(tblRegistros[Início],$L58),"")))</f>
        <v/>
      </c>
      <c r="E58" s="4" t="str">
        <f>IF($L58="","",IF(INDEX(tblRegistros[Data],$L58)&gt;$D$4,"",IFERROR(IF(INDEX(tblRegistros[Status],$L58)="EM ABERTO","",INDEX(tblRegistros[Fim],$L58)),"")))</f>
        <v/>
      </c>
      <c r="F58" s="14" t="str">
        <f>IF($L58="","",IF(INDEX(tblRegistros[Data],$L58)&gt;$D$4,"",IFERROR(IF(INDEX(tblRegistros[Status],$L58)="EM ABERTO","",INDEX(tblRegistros[Horas],$L58)),"")))</f>
        <v/>
      </c>
      <c r="G58" t="str">
        <f>IF($L58="","",IF(INDEX(tblRegistros[Data],$L58)&gt;$D$4,"",IFERROR(INDEX(tblRegistros[Base],$L58),"")))</f>
        <v/>
      </c>
      <c r="H58" s="3" t="str">
        <f>IF($L58="","",IF(INDEX(tblRegistros[Data],$L58)&gt;$D$4,"",IFERROR(INDEX(tblRegistros[Taxa aplicada],$L58),"")))</f>
        <v/>
      </c>
      <c r="I58" s="3" t="str">
        <f>IF($L58="","",IF(INDEX(tblRegistros[Data],$L58)&gt;$D$4,"",IFERROR(IF(INDEX(tblRegistros[Status],$L58)="EM ABERTO","",INDEX(tblRegistros[Valor],$L58)),"")))</f>
        <v/>
      </c>
      <c r="J58" t="str">
        <f>IF($L58="","",IF(INDEX(tblRegistros[Data],$L58)&gt;$D$4,"",IFERROR(INDEX(tblRegistros[Status],$L58),"")))</f>
        <v/>
      </c>
      <c r="K58" t="str">
        <f>IF($L58="","",IF(INDEX(tblRegistros[Data],$L58)&gt;$D$4,"",IFERROR(INDEX(tblRegistros[Observação],$L58),"")))</f>
        <v/>
      </c>
      <c r="L58" s="16" t="str">
        <f>IFERROR(MATCH($B$3*100000+COUNTIFS(tblRegistros[ID],$B$3,tblRegistros[Data],"&lt;"&amp;$B$4)+ROWS($L$10:L58),tblRegistros[Chave do cartão],0),"")</f>
        <v/>
      </c>
    </row>
    <row r="59" spans="1:12">
      <c r="A59" s="2" t="str">
        <f>IF($L59="","",IF(INDEX(tblRegistros[Data],$L59)&gt;$D$4,"",IFERROR(INDEX(tblRegistros[Data],$L59),"")))</f>
        <v/>
      </c>
      <c r="B59" t="str">
        <f>IF($L59="","",IF(INDEX(tblRegistros[Data],$L59)&gt;$D$4,"",IFERROR(INDEX(tblRegistros[Projeto],$L59),"")))</f>
        <v/>
      </c>
      <c r="C59" t="str">
        <f>IF($L59="","",IF(INDEX(tblRegistros[Data],$L59)&gt;$D$4,"",IFERROR(INDEX(tblRegistros[Atividade],$L59),"")))</f>
        <v/>
      </c>
      <c r="D59" s="4" t="str">
        <f>IF($L59="","",IF(INDEX(tblRegistros[Data],$L59)&gt;$D$4,"",IFERROR(INDEX(tblRegistros[Início],$L59),"")))</f>
        <v/>
      </c>
      <c r="E59" s="4" t="str">
        <f>IF($L59="","",IF(INDEX(tblRegistros[Data],$L59)&gt;$D$4,"",IFERROR(IF(INDEX(tblRegistros[Status],$L59)="EM ABERTO","",INDEX(tblRegistros[Fim],$L59)),"")))</f>
        <v/>
      </c>
      <c r="F59" s="14" t="str">
        <f>IF($L59="","",IF(INDEX(tblRegistros[Data],$L59)&gt;$D$4,"",IFERROR(IF(INDEX(tblRegistros[Status],$L59)="EM ABERTO","",INDEX(tblRegistros[Horas],$L59)),"")))</f>
        <v/>
      </c>
      <c r="G59" t="str">
        <f>IF($L59="","",IF(INDEX(tblRegistros[Data],$L59)&gt;$D$4,"",IFERROR(INDEX(tblRegistros[Base],$L59),"")))</f>
        <v/>
      </c>
      <c r="H59" s="3" t="str">
        <f>IF($L59="","",IF(INDEX(tblRegistros[Data],$L59)&gt;$D$4,"",IFERROR(INDEX(tblRegistros[Taxa aplicada],$L59),"")))</f>
        <v/>
      </c>
      <c r="I59" s="3" t="str">
        <f>IF($L59="","",IF(INDEX(tblRegistros[Data],$L59)&gt;$D$4,"",IFERROR(IF(INDEX(tblRegistros[Status],$L59)="EM ABERTO","",INDEX(tblRegistros[Valor],$L59)),"")))</f>
        <v/>
      </c>
      <c r="J59" t="str">
        <f>IF($L59="","",IF(INDEX(tblRegistros[Data],$L59)&gt;$D$4,"",IFERROR(INDEX(tblRegistros[Status],$L59),"")))</f>
        <v/>
      </c>
      <c r="K59" t="str">
        <f>IF($L59="","",IF(INDEX(tblRegistros[Data],$L59)&gt;$D$4,"",IFERROR(INDEX(tblRegistros[Observação],$L59),"")))</f>
        <v/>
      </c>
      <c r="L59" s="16" t="str">
        <f>IFERROR(MATCH($B$3*100000+COUNTIFS(tblRegistros[ID],$B$3,tblRegistros[Data],"&lt;"&amp;$B$4)+ROWS($L$10:L59),tblRegistros[Chave do cartão],0),"")</f>
        <v/>
      </c>
    </row>
    <row r="60" spans="1:12">
      <c r="A60" s="2" t="str">
        <f>IF($L60="","",IF(INDEX(tblRegistros[Data],$L60)&gt;$D$4,"",IFERROR(INDEX(tblRegistros[Data],$L60),"")))</f>
        <v/>
      </c>
      <c r="B60" t="str">
        <f>IF($L60="","",IF(INDEX(tblRegistros[Data],$L60)&gt;$D$4,"",IFERROR(INDEX(tblRegistros[Projeto],$L60),"")))</f>
        <v/>
      </c>
      <c r="C60" t="str">
        <f>IF($L60="","",IF(INDEX(tblRegistros[Data],$L60)&gt;$D$4,"",IFERROR(INDEX(tblRegistros[Atividade],$L60),"")))</f>
        <v/>
      </c>
      <c r="D60" s="4" t="str">
        <f>IF($L60="","",IF(INDEX(tblRegistros[Data],$L60)&gt;$D$4,"",IFERROR(INDEX(tblRegistros[Início],$L60),"")))</f>
        <v/>
      </c>
      <c r="E60" s="4" t="str">
        <f>IF($L60="","",IF(INDEX(tblRegistros[Data],$L60)&gt;$D$4,"",IFERROR(IF(INDEX(tblRegistros[Status],$L60)="EM ABERTO","",INDEX(tblRegistros[Fim],$L60)),"")))</f>
        <v/>
      </c>
      <c r="F60" s="14" t="str">
        <f>IF($L60="","",IF(INDEX(tblRegistros[Data],$L60)&gt;$D$4,"",IFERROR(IF(INDEX(tblRegistros[Status],$L60)="EM ABERTO","",INDEX(tblRegistros[Horas],$L60)),"")))</f>
        <v/>
      </c>
      <c r="G60" t="str">
        <f>IF($L60="","",IF(INDEX(tblRegistros[Data],$L60)&gt;$D$4,"",IFERROR(INDEX(tblRegistros[Base],$L60),"")))</f>
        <v/>
      </c>
      <c r="H60" s="3" t="str">
        <f>IF($L60="","",IF(INDEX(tblRegistros[Data],$L60)&gt;$D$4,"",IFERROR(INDEX(tblRegistros[Taxa aplicada],$L60),"")))</f>
        <v/>
      </c>
      <c r="I60" s="3" t="str">
        <f>IF($L60="","",IF(INDEX(tblRegistros[Data],$L60)&gt;$D$4,"",IFERROR(IF(INDEX(tblRegistros[Status],$L60)="EM ABERTO","",INDEX(tblRegistros[Valor],$L60)),"")))</f>
        <v/>
      </c>
      <c r="J60" t="str">
        <f>IF($L60="","",IF(INDEX(tblRegistros[Data],$L60)&gt;$D$4,"",IFERROR(INDEX(tblRegistros[Status],$L60),"")))</f>
        <v/>
      </c>
      <c r="K60" t="str">
        <f>IF($L60="","",IF(INDEX(tblRegistros[Data],$L60)&gt;$D$4,"",IFERROR(INDEX(tblRegistros[Observação],$L60),"")))</f>
        <v/>
      </c>
      <c r="L60" s="16" t="str">
        <f>IFERROR(MATCH($B$3*100000+COUNTIFS(tblRegistros[ID],$B$3,tblRegistros[Data],"&lt;"&amp;$B$4)+ROWS($L$10:L60),tblRegistros[Chave do cartão],0),"")</f>
        <v/>
      </c>
    </row>
    <row r="61" spans="1:12">
      <c r="A61" s="2" t="str">
        <f>IF($L61="","",IF(INDEX(tblRegistros[Data],$L61)&gt;$D$4,"",IFERROR(INDEX(tblRegistros[Data],$L61),"")))</f>
        <v/>
      </c>
      <c r="B61" t="str">
        <f>IF($L61="","",IF(INDEX(tblRegistros[Data],$L61)&gt;$D$4,"",IFERROR(INDEX(tblRegistros[Projeto],$L61),"")))</f>
        <v/>
      </c>
      <c r="C61" t="str">
        <f>IF($L61="","",IF(INDEX(tblRegistros[Data],$L61)&gt;$D$4,"",IFERROR(INDEX(tblRegistros[Atividade],$L61),"")))</f>
        <v/>
      </c>
      <c r="D61" s="4" t="str">
        <f>IF($L61="","",IF(INDEX(tblRegistros[Data],$L61)&gt;$D$4,"",IFERROR(INDEX(tblRegistros[Início],$L61),"")))</f>
        <v/>
      </c>
      <c r="E61" s="4" t="str">
        <f>IF($L61="","",IF(INDEX(tblRegistros[Data],$L61)&gt;$D$4,"",IFERROR(IF(INDEX(tblRegistros[Status],$L61)="EM ABERTO","",INDEX(tblRegistros[Fim],$L61)),"")))</f>
        <v/>
      </c>
      <c r="F61" s="14" t="str">
        <f>IF($L61="","",IF(INDEX(tblRegistros[Data],$L61)&gt;$D$4,"",IFERROR(IF(INDEX(tblRegistros[Status],$L61)="EM ABERTO","",INDEX(tblRegistros[Horas],$L61)),"")))</f>
        <v/>
      </c>
      <c r="G61" t="str">
        <f>IF($L61="","",IF(INDEX(tblRegistros[Data],$L61)&gt;$D$4,"",IFERROR(INDEX(tblRegistros[Base],$L61),"")))</f>
        <v/>
      </c>
      <c r="H61" s="3" t="str">
        <f>IF($L61="","",IF(INDEX(tblRegistros[Data],$L61)&gt;$D$4,"",IFERROR(INDEX(tblRegistros[Taxa aplicada],$L61),"")))</f>
        <v/>
      </c>
      <c r="I61" s="3" t="str">
        <f>IF($L61="","",IF(INDEX(tblRegistros[Data],$L61)&gt;$D$4,"",IFERROR(IF(INDEX(tblRegistros[Status],$L61)="EM ABERTO","",INDEX(tblRegistros[Valor],$L61)),"")))</f>
        <v/>
      </c>
      <c r="J61" t="str">
        <f>IF($L61="","",IF(INDEX(tblRegistros[Data],$L61)&gt;$D$4,"",IFERROR(INDEX(tblRegistros[Status],$L61),"")))</f>
        <v/>
      </c>
      <c r="K61" t="str">
        <f>IF($L61="","",IF(INDEX(tblRegistros[Data],$L61)&gt;$D$4,"",IFERROR(INDEX(tblRegistros[Observação],$L61),"")))</f>
        <v/>
      </c>
      <c r="L61" s="16" t="str">
        <f>IFERROR(MATCH($B$3*100000+COUNTIFS(tblRegistros[ID],$B$3,tblRegistros[Data],"&lt;"&amp;$B$4)+ROWS($L$10:L61),tblRegistros[Chave do cartão],0),"")</f>
        <v/>
      </c>
    </row>
    <row r="62" spans="1:12">
      <c r="A62" s="2" t="str">
        <f>IF($L62="","",IF(INDEX(tblRegistros[Data],$L62)&gt;$D$4,"",IFERROR(INDEX(tblRegistros[Data],$L62),"")))</f>
        <v/>
      </c>
      <c r="B62" t="str">
        <f>IF($L62="","",IF(INDEX(tblRegistros[Data],$L62)&gt;$D$4,"",IFERROR(INDEX(tblRegistros[Projeto],$L62),"")))</f>
        <v/>
      </c>
      <c r="C62" t="str">
        <f>IF($L62="","",IF(INDEX(tblRegistros[Data],$L62)&gt;$D$4,"",IFERROR(INDEX(tblRegistros[Atividade],$L62),"")))</f>
        <v/>
      </c>
      <c r="D62" s="4" t="str">
        <f>IF($L62="","",IF(INDEX(tblRegistros[Data],$L62)&gt;$D$4,"",IFERROR(INDEX(tblRegistros[Início],$L62),"")))</f>
        <v/>
      </c>
      <c r="E62" s="4" t="str">
        <f>IF($L62="","",IF(INDEX(tblRegistros[Data],$L62)&gt;$D$4,"",IFERROR(IF(INDEX(tblRegistros[Status],$L62)="EM ABERTO","",INDEX(tblRegistros[Fim],$L62)),"")))</f>
        <v/>
      </c>
      <c r="F62" s="14" t="str">
        <f>IF($L62="","",IF(INDEX(tblRegistros[Data],$L62)&gt;$D$4,"",IFERROR(IF(INDEX(tblRegistros[Status],$L62)="EM ABERTO","",INDEX(tblRegistros[Horas],$L62)),"")))</f>
        <v/>
      </c>
      <c r="G62" t="str">
        <f>IF($L62="","",IF(INDEX(tblRegistros[Data],$L62)&gt;$D$4,"",IFERROR(INDEX(tblRegistros[Base],$L62),"")))</f>
        <v/>
      </c>
      <c r="H62" s="3" t="str">
        <f>IF($L62="","",IF(INDEX(tblRegistros[Data],$L62)&gt;$D$4,"",IFERROR(INDEX(tblRegistros[Taxa aplicada],$L62),"")))</f>
        <v/>
      </c>
      <c r="I62" s="3" t="str">
        <f>IF($L62="","",IF(INDEX(tblRegistros[Data],$L62)&gt;$D$4,"",IFERROR(IF(INDEX(tblRegistros[Status],$L62)="EM ABERTO","",INDEX(tblRegistros[Valor],$L62)),"")))</f>
        <v/>
      </c>
      <c r="J62" t="str">
        <f>IF($L62="","",IF(INDEX(tblRegistros[Data],$L62)&gt;$D$4,"",IFERROR(INDEX(tblRegistros[Status],$L62),"")))</f>
        <v/>
      </c>
      <c r="K62" t="str">
        <f>IF($L62="","",IF(INDEX(tblRegistros[Data],$L62)&gt;$D$4,"",IFERROR(INDEX(tblRegistros[Observação],$L62),"")))</f>
        <v/>
      </c>
      <c r="L62" s="16" t="str">
        <f>IFERROR(MATCH($B$3*100000+COUNTIFS(tblRegistros[ID],$B$3,tblRegistros[Data],"&lt;"&amp;$B$4)+ROWS($L$10:L62),tblRegistros[Chave do cartão],0),"")</f>
        <v/>
      </c>
    </row>
    <row r="63" spans="1:12">
      <c r="A63" s="2" t="str">
        <f>IF($L63="","",IF(INDEX(tblRegistros[Data],$L63)&gt;$D$4,"",IFERROR(INDEX(tblRegistros[Data],$L63),"")))</f>
        <v/>
      </c>
      <c r="B63" t="str">
        <f>IF($L63="","",IF(INDEX(tblRegistros[Data],$L63)&gt;$D$4,"",IFERROR(INDEX(tblRegistros[Projeto],$L63),"")))</f>
        <v/>
      </c>
      <c r="C63" t="str">
        <f>IF($L63="","",IF(INDEX(tblRegistros[Data],$L63)&gt;$D$4,"",IFERROR(INDEX(tblRegistros[Atividade],$L63),"")))</f>
        <v/>
      </c>
      <c r="D63" s="4" t="str">
        <f>IF($L63="","",IF(INDEX(tblRegistros[Data],$L63)&gt;$D$4,"",IFERROR(INDEX(tblRegistros[Início],$L63),"")))</f>
        <v/>
      </c>
      <c r="E63" s="4" t="str">
        <f>IF($L63="","",IF(INDEX(tblRegistros[Data],$L63)&gt;$D$4,"",IFERROR(IF(INDEX(tblRegistros[Status],$L63)="EM ABERTO","",INDEX(tblRegistros[Fim],$L63)),"")))</f>
        <v/>
      </c>
      <c r="F63" s="14" t="str">
        <f>IF($L63="","",IF(INDEX(tblRegistros[Data],$L63)&gt;$D$4,"",IFERROR(IF(INDEX(tblRegistros[Status],$L63)="EM ABERTO","",INDEX(tblRegistros[Horas],$L63)),"")))</f>
        <v/>
      </c>
      <c r="G63" t="str">
        <f>IF($L63="","",IF(INDEX(tblRegistros[Data],$L63)&gt;$D$4,"",IFERROR(INDEX(tblRegistros[Base],$L63),"")))</f>
        <v/>
      </c>
      <c r="H63" s="3" t="str">
        <f>IF($L63="","",IF(INDEX(tblRegistros[Data],$L63)&gt;$D$4,"",IFERROR(INDEX(tblRegistros[Taxa aplicada],$L63),"")))</f>
        <v/>
      </c>
      <c r="I63" s="3" t="str">
        <f>IF($L63="","",IF(INDEX(tblRegistros[Data],$L63)&gt;$D$4,"",IFERROR(IF(INDEX(tblRegistros[Status],$L63)="EM ABERTO","",INDEX(tblRegistros[Valor],$L63)),"")))</f>
        <v/>
      </c>
      <c r="J63" t="str">
        <f>IF($L63="","",IF(INDEX(tblRegistros[Data],$L63)&gt;$D$4,"",IFERROR(INDEX(tblRegistros[Status],$L63),"")))</f>
        <v/>
      </c>
      <c r="K63" t="str">
        <f>IF($L63="","",IF(INDEX(tblRegistros[Data],$L63)&gt;$D$4,"",IFERROR(INDEX(tblRegistros[Observação],$L63),"")))</f>
        <v/>
      </c>
      <c r="L63" s="16" t="str">
        <f>IFERROR(MATCH($B$3*100000+COUNTIFS(tblRegistros[ID],$B$3,tblRegistros[Data],"&lt;"&amp;$B$4)+ROWS($L$10:L63),tblRegistros[Chave do cartão],0),"")</f>
        <v/>
      </c>
    </row>
    <row r="64" spans="1:12">
      <c r="A64" s="2" t="str">
        <f>IF($L64="","",IF(INDEX(tblRegistros[Data],$L64)&gt;$D$4,"",IFERROR(INDEX(tblRegistros[Data],$L64),"")))</f>
        <v/>
      </c>
      <c r="B64" t="str">
        <f>IF($L64="","",IF(INDEX(tblRegistros[Data],$L64)&gt;$D$4,"",IFERROR(INDEX(tblRegistros[Projeto],$L64),"")))</f>
        <v/>
      </c>
      <c r="C64" t="str">
        <f>IF($L64="","",IF(INDEX(tblRegistros[Data],$L64)&gt;$D$4,"",IFERROR(INDEX(tblRegistros[Atividade],$L64),"")))</f>
        <v/>
      </c>
      <c r="D64" s="4" t="str">
        <f>IF($L64="","",IF(INDEX(tblRegistros[Data],$L64)&gt;$D$4,"",IFERROR(INDEX(tblRegistros[Início],$L64),"")))</f>
        <v/>
      </c>
      <c r="E64" s="4" t="str">
        <f>IF($L64="","",IF(INDEX(tblRegistros[Data],$L64)&gt;$D$4,"",IFERROR(IF(INDEX(tblRegistros[Status],$L64)="EM ABERTO","",INDEX(tblRegistros[Fim],$L64)),"")))</f>
        <v/>
      </c>
      <c r="F64" s="14" t="str">
        <f>IF($L64="","",IF(INDEX(tblRegistros[Data],$L64)&gt;$D$4,"",IFERROR(IF(INDEX(tblRegistros[Status],$L64)="EM ABERTO","",INDEX(tblRegistros[Horas],$L64)),"")))</f>
        <v/>
      </c>
      <c r="G64" t="str">
        <f>IF($L64="","",IF(INDEX(tblRegistros[Data],$L64)&gt;$D$4,"",IFERROR(INDEX(tblRegistros[Base],$L64),"")))</f>
        <v/>
      </c>
      <c r="H64" s="3" t="str">
        <f>IF($L64="","",IF(INDEX(tblRegistros[Data],$L64)&gt;$D$4,"",IFERROR(INDEX(tblRegistros[Taxa aplicada],$L64),"")))</f>
        <v/>
      </c>
      <c r="I64" s="3" t="str">
        <f>IF($L64="","",IF(INDEX(tblRegistros[Data],$L64)&gt;$D$4,"",IFERROR(IF(INDEX(tblRegistros[Status],$L64)="EM ABERTO","",INDEX(tblRegistros[Valor],$L64)),"")))</f>
        <v/>
      </c>
      <c r="J64" t="str">
        <f>IF($L64="","",IF(INDEX(tblRegistros[Data],$L64)&gt;$D$4,"",IFERROR(INDEX(tblRegistros[Status],$L64),"")))</f>
        <v/>
      </c>
      <c r="K64" t="str">
        <f>IF($L64="","",IF(INDEX(tblRegistros[Data],$L64)&gt;$D$4,"",IFERROR(INDEX(tblRegistros[Observação],$L64),"")))</f>
        <v/>
      </c>
      <c r="L64" s="16" t="str">
        <f>IFERROR(MATCH($B$3*100000+COUNTIFS(tblRegistros[ID],$B$3,tblRegistros[Data],"&lt;"&amp;$B$4)+ROWS($L$10:L64),tblRegistros[Chave do cartão],0),"")</f>
        <v/>
      </c>
    </row>
    <row r="65" spans="1:12">
      <c r="A65" s="2" t="str">
        <f>IF($L65="","",IF(INDEX(tblRegistros[Data],$L65)&gt;$D$4,"",IFERROR(INDEX(tblRegistros[Data],$L65),"")))</f>
        <v/>
      </c>
      <c r="B65" t="str">
        <f>IF($L65="","",IF(INDEX(tblRegistros[Data],$L65)&gt;$D$4,"",IFERROR(INDEX(tblRegistros[Projeto],$L65),"")))</f>
        <v/>
      </c>
      <c r="C65" t="str">
        <f>IF($L65="","",IF(INDEX(tblRegistros[Data],$L65)&gt;$D$4,"",IFERROR(INDEX(tblRegistros[Atividade],$L65),"")))</f>
        <v/>
      </c>
      <c r="D65" s="4" t="str">
        <f>IF($L65="","",IF(INDEX(tblRegistros[Data],$L65)&gt;$D$4,"",IFERROR(INDEX(tblRegistros[Início],$L65),"")))</f>
        <v/>
      </c>
      <c r="E65" s="4" t="str">
        <f>IF($L65="","",IF(INDEX(tblRegistros[Data],$L65)&gt;$D$4,"",IFERROR(IF(INDEX(tblRegistros[Status],$L65)="EM ABERTO","",INDEX(tblRegistros[Fim],$L65)),"")))</f>
        <v/>
      </c>
      <c r="F65" s="14" t="str">
        <f>IF($L65="","",IF(INDEX(tblRegistros[Data],$L65)&gt;$D$4,"",IFERROR(IF(INDEX(tblRegistros[Status],$L65)="EM ABERTO","",INDEX(tblRegistros[Horas],$L65)),"")))</f>
        <v/>
      </c>
      <c r="G65" t="str">
        <f>IF($L65="","",IF(INDEX(tblRegistros[Data],$L65)&gt;$D$4,"",IFERROR(INDEX(tblRegistros[Base],$L65),"")))</f>
        <v/>
      </c>
      <c r="H65" s="3" t="str">
        <f>IF($L65="","",IF(INDEX(tblRegistros[Data],$L65)&gt;$D$4,"",IFERROR(INDEX(tblRegistros[Taxa aplicada],$L65),"")))</f>
        <v/>
      </c>
      <c r="I65" s="3" t="str">
        <f>IF($L65="","",IF(INDEX(tblRegistros[Data],$L65)&gt;$D$4,"",IFERROR(IF(INDEX(tblRegistros[Status],$L65)="EM ABERTO","",INDEX(tblRegistros[Valor],$L65)),"")))</f>
        <v/>
      </c>
      <c r="J65" t="str">
        <f>IF($L65="","",IF(INDEX(tblRegistros[Data],$L65)&gt;$D$4,"",IFERROR(INDEX(tblRegistros[Status],$L65),"")))</f>
        <v/>
      </c>
      <c r="K65" t="str">
        <f>IF($L65="","",IF(INDEX(tblRegistros[Data],$L65)&gt;$D$4,"",IFERROR(INDEX(tblRegistros[Observação],$L65),"")))</f>
        <v/>
      </c>
      <c r="L65" s="16" t="str">
        <f>IFERROR(MATCH($B$3*100000+COUNTIFS(tblRegistros[ID],$B$3,tblRegistros[Data],"&lt;"&amp;$B$4)+ROWS($L$10:L65),tblRegistros[Chave do cartão],0),"")</f>
        <v/>
      </c>
    </row>
    <row r="66" spans="1:12">
      <c r="A66" s="2" t="str">
        <f>IF($L66="","",IF(INDEX(tblRegistros[Data],$L66)&gt;$D$4,"",IFERROR(INDEX(tblRegistros[Data],$L66),"")))</f>
        <v/>
      </c>
      <c r="B66" t="str">
        <f>IF($L66="","",IF(INDEX(tblRegistros[Data],$L66)&gt;$D$4,"",IFERROR(INDEX(tblRegistros[Projeto],$L66),"")))</f>
        <v/>
      </c>
      <c r="C66" t="str">
        <f>IF($L66="","",IF(INDEX(tblRegistros[Data],$L66)&gt;$D$4,"",IFERROR(INDEX(tblRegistros[Atividade],$L66),"")))</f>
        <v/>
      </c>
      <c r="D66" s="4" t="str">
        <f>IF($L66="","",IF(INDEX(tblRegistros[Data],$L66)&gt;$D$4,"",IFERROR(INDEX(tblRegistros[Início],$L66),"")))</f>
        <v/>
      </c>
      <c r="E66" s="4" t="str">
        <f>IF($L66="","",IF(INDEX(tblRegistros[Data],$L66)&gt;$D$4,"",IFERROR(IF(INDEX(tblRegistros[Status],$L66)="EM ABERTO","",INDEX(tblRegistros[Fim],$L66)),"")))</f>
        <v/>
      </c>
      <c r="F66" s="14" t="str">
        <f>IF($L66="","",IF(INDEX(tblRegistros[Data],$L66)&gt;$D$4,"",IFERROR(IF(INDEX(tblRegistros[Status],$L66)="EM ABERTO","",INDEX(tblRegistros[Horas],$L66)),"")))</f>
        <v/>
      </c>
      <c r="G66" t="str">
        <f>IF($L66="","",IF(INDEX(tblRegistros[Data],$L66)&gt;$D$4,"",IFERROR(INDEX(tblRegistros[Base],$L66),"")))</f>
        <v/>
      </c>
      <c r="H66" s="3" t="str">
        <f>IF($L66="","",IF(INDEX(tblRegistros[Data],$L66)&gt;$D$4,"",IFERROR(INDEX(tblRegistros[Taxa aplicada],$L66),"")))</f>
        <v/>
      </c>
      <c r="I66" s="3" t="str">
        <f>IF($L66="","",IF(INDEX(tblRegistros[Data],$L66)&gt;$D$4,"",IFERROR(IF(INDEX(tblRegistros[Status],$L66)="EM ABERTO","",INDEX(tblRegistros[Valor],$L66)),"")))</f>
        <v/>
      </c>
      <c r="J66" t="str">
        <f>IF($L66="","",IF(INDEX(tblRegistros[Data],$L66)&gt;$D$4,"",IFERROR(INDEX(tblRegistros[Status],$L66),"")))</f>
        <v/>
      </c>
      <c r="K66" t="str">
        <f>IF($L66="","",IF(INDEX(tblRegistros[Data],$L66)&gt;$D$4,"",IFERROR(INDEX(tblRegistros[Observação],$L66),"")))</f>
        <v/>
      </c>
      <c r="L66" s="16" t="str">
        <f>IFERROR(MATCH($B$3*100000+COUNTIFS(tblRegistros[ID],$B$3,tblRegistros[Data],"&lt;"&amp;$B$4)+ROWS($L$10:L66),tblRegistros[Chave do cartão],0),"")</f>
        <v/>
      </c>
    </row>
    <row r="67" spans="1:12">
      <c r="A67" s="2" t="str">
        <f>IF($L67="","",IF(INDEX(tblRegistros[Data],$L67)&gt;$D$4,"",IFERROR(INDEX(tblRegistros[Data],$L67),"")))</f>
        <v/>
      </c>
      <c r="B67" t="str">
        <f>IF($L67="","",IF(INDEX(tblRegistros[Data],$L67)&gt;$D$4,"",IFERROR(INDEX(tblRegistros[Projeto],$L67),"")))</f>
        <v/>
      </c>
      <c r="C67" t="str">
        <f>IF($L67="","",IF(INDEX(tblRegistros[Data],$L67)&gt;$D$4,"",IFERROR(INDEX(tblRegistros[Atividade],$L67),"")))</f>
        <v/>
      </c>
      <c r="D67" s="4" t="str">
        <f>IF($L67="","",IF(INDEX(tblRegistros[Data],$L67)&gt;$D$4,"",IFERROR(INDEX(tblRegistros[Início],$L67),"")))</f>
        <v/>
      </c>
      <c r="E67" s="4" t="str">
        <f>IF($L67="","",IF(INDEX(tblRegistros[Data],$L67)&gt;$D$4,"",IFERROR(IF(INDEX(tblRegistros[Status],$L67)="EM ABERTO","",INDEX(tblRegistros[Fim],$L67)),"")))</f>
        <v/>
      </c>
      <c r="F67" s="14" t="str">
        <f>IF($L67="","",IF(INDEX(tblRegistros[Data],$L67)&gt;$D$4,"",IFERROR(IF(INDEX(tblRegistros[Status],$L67)="EM ABERTO","",INDEX(tblRegistros[Horas],$L67)),"")))</f>
        <v/>
      </c>
      <c r="G67" t="str">
        <f>IF($L67="","",IF(INDEX(tblRegistros[Data],$L67)&gt;$D$4,"",IFERROR(INDEX(tblRegistros[Base],$L67),"")))</f>
        <v/>
      </c>
      <c r="H67" s="3" t="str">
        <f>IF($L67="","",IF(INDEX(tblRegistros[Data],$L67)&gt;$D$4,"",IFERROR(INDEX(tblRegistros[Taxa aplicada],$L67),"")))</f>
        <v/>
      </c>
      <c r="I67" s="3" t="str">
        <f>IF($L67="","",IF(INDEX(tblRegistros[Data],$L67)&gt;$D$4,"",IFERROR(IF(INDEX(tblRegistros[Status],$L67)="EM ABERTO","",INDEX(tblRegistros[Valor],$L67)),"")))</f>
        <v/>
      </c>
      <c r="J67" t="str">
        <f>IF($L67="","",IF(INDEX(tblRegistros[Data],$L67)&gt;$D$4,"",IFERROR(INDEX(tblRegistros[Status],$L67),"")))</f>
        <v/>
      </c>
      <c r="K67" t="str">
        <f>IF($L67="","",IF(INDEX(tblRegistros[Data],$L67)&gt;$D$4,"",IFERROR(INDEX(tblRegistros[Observação],$L67),"")))</f>
        <v/>
      </c>
      <c r="L67" s="16" t="str">
        <f>IFERROR(MATCH($B$3*100000+COUNTIFS(tblRegistros[ID],$B$3,tblRegistros[Data],"&lt;"&amp;$B$4)+ROWS($L$10:L67),tblRegistros[Chave do cartão],0),"")</f>
        <v/>
      </c>
    </row>
    <row r="68" spans="1:12">
      <c r="A68" s="2" t="str">
        <f>IF($L68="","",IF(INDEX(tblRegistros[Data],$L68)&gt;$D$4,"",IFERROR(INDEX(tblRegistros[Data],$L68),"")))</f>
        <v/>
      </c>
      <c r="B68" t="str">
        <f>IF($L68="","",IF(INDEX(tblRegistros[Data],$L68)&gt;$D$4,"",IFERROR(INDEX(tblRegistros[Projeto],$L68),"")))</f>
        <v/>
      </c>
      <c r="C68" t="str">
        <f>IF($L68="","",IF(INDEX(tblRegistros[Data],$L68)&gt;$D$4,"",IFERROR(INDEX(tblRegistros[Atividade],$L68),"")))</f>
        <v/>
      </c>
      <c r="D68" s="4" t="str">
        <f>IF($L68="","",IF(INDEX(tblRegistros[Data],$L68)&gt;$D$4,"",IFERROR(INDEX(tblRegistros[Início],$L68),"")))</f>
        <v/>
      </c>
      <c r="E68" s="4" t="str">
        <f>IF($L68="","",IF(INDEX(tblRegistros[Data],$L68)&gt;$D$4,"",IFERROR(IF(INDEX(tblRegistros[Status],$L68)="EM ABERTO","",INDEX(tblRegistros[Fim],$L68)),"")))</f>
        <v/>
      </c>
      <c r="F68" s="14" t="str">
        <f>IF($L68="","",IF(INDEX(tblRegistros[Data],$L68)&gt;$D$4,"",IFERROR(IF(INDEX(tblRegistros[Status],$L68)="EM ABERTO","",INDEX(tblRegistros[Horas],$L68)),"")))</f>
        <v/>
      </c>
      <c r="G68" t="str">
        <f>IF($L68="","",IF(INDEX(tblRegistros[Data],$L68)&gt;$D$4,"",IFERROR(INDEX(tblRegistros[Base],$L68),"")))</f>
        <v/>
      </c>
      <c r="H68" s="3" t="str">
        <f>IF($L68="","",IF(INDEX(tblRegistros[Data],$L68)&gt;$D$4,"",IFERROR(INDEX(tblRegistros[Taxa aplicada],$L68),"")))</f>
        <v/>
      </c>
      <c r="I68" s="3" t="str">
        <f>IF($L68="","",IF(INDEX(tblRegistros[Data],$L68)&gt;$D$4,"",IFERROR(IF(INDEX(tblRegistros[Status],$L68)="EM ABERTO","",INDEX(tblRegistros[Valor],$L68)),"")))</f>
        <v/>
      </c>
      <c r="J68" t="str">
        <f>IF($L68="","",IF(INDEX(tblRegistros[Data],$L68)&gt;$D$4,"",IFERROR(INDEX(tblRegistros[Status],$L68),"")))</f>
        <v/>
      </c>
      <c r="K68" t="str">
        <f>IF($L68="","",IF(INDEX(tblRegistros[Data],$L68)&gt;$D$4,"",IFERROR(INDEX(tblRegistros[Observação],$L68),"")))</f>
        <v/>
      </c>
      <c r="L68" s="16" t="str">
        <f>IFERROR(MATCH($B$3*100000+COUNTIFS(tblRegistros[ID],$B$3,tblRegistros[Data],"&lt;"&amp;$B$4)+ROWS($L$10:L68),tblRegistros[Chave do cartão],0),"")</f>
        <v/>
      </c>
    </row>
    <row r="69" spans="1:12">
      <c r="A69" s="2" t="str">
        <f>IF($L69="","",IF(INDEX(tblRegistros[Data],$L69)&gt;$D$4,"",IFERROR(INDEX(tblRegistros[Data],$L69),"")))</f>
        <v/>
      </c>
      <c r="B69" t="str">
        <f>IF($L69="","",IF(INDEX(tblRegistros[Data],$L69)&gt;$D$4,"",IFERROR(INDEX(tblRegistros[Projeto],$L69),"")))</f>
        <v/>
      </c>
      <c r="C69" t="str">
        <f>IF($L69="","",IF(INDEX(tblRegistros[Data],$L69)&gt;$D$4,"",IFERROR(INDEX(tblRegistros[Atividade],$L69),"")))</f>
        <v/>
      </c>
      <c r="D69" s="4" t="str">
        <f>IF($L69="","",IF(INDEX(tblRegistros[Data],$L69)&gt;$D$4,"",IFERROR(INDEX(tblRegistros[Início],$L69),"")))</f>
        <v/>
      </c>
      <c r="E69" s="4" t="str">
        <f>IF($L69="","",IF(INDEX(tblRegistros[Data],$L69)&gt;$D$4,"",IFERROR(IF(INDEX(tblRegistros[Status],$L69)="EM ABERTO","",INDEX(tblRegistros[Fim],$L69)),"")))</f>
        <v/>
      </c>
      <c r="F69" s="14" t="str">
        <f>IF($L69="","",IF(INDEX(tblRegistros[Data],$L69)&gt;$D$4,"",IFERROR(IF(INDEX(tblRegistros[Status],$L69)="EM ABERTO","",INDEX(tblRegistros[Horas],$L69)),"")))</f>
        <v/>
      </c>
      <c r="G69" t="str">
        <f>IF($L69="","",IF(INDEX(tblRegistros[Data],$L69)&gt;$D$4,"",IFERROR(INDEX(tblRegistros[Base],$L69),"")))</f>
        <v/>
      </c>
      <c r="H69" s="3" t="str">
        <f>IF($L69="","",IF(INDEX(tblRegistros[Data],$L69)&gt;$D$4,"",IFERROR(INDEX(tblRegistros[Taxa aplicada],$L69),"")))</f>
        <v/>
      </c>
      <c r="I69" s="3" t="str">
        <f>IF($L69="","",IF(INDEX(tblRegistros[Data],$L69)&gt;$D$4,"",IFERROR(IF(INDEX(tblRegistros[Status],$L69)="EM ABERTO","",INDEX(tblRegistros[Valor],$L69)),"")))</f>
        <v/>
      </c>
      <c r="J69" t="str">
        <f>IF($L69="","",IF(INDEX(tblRegistros[Data],$L69)&gt;$D$4,"",IFERROR(INDEX(tblRegistros[Status],$L69),"")))</f>
        <v/>
      </c>
      <c r="K69" t="str">
        <f>IF($L69="","",IF(INDEX(tblRegistros[Data],$L69)&gt;$D$4,"",IFERROR(INDEX(tblRegistros[Observação],$L69),"")))</f>
        <v/>
      </c>
      <c r="L69" s="16" t="str">
        <f>IFERROR(MATCH($B$3*100000+COUNTIFS(tblRegistros[ID],$B$3,tblRegistros[Data],"&lt;"&amp;$B$4)+ROWS($L$10:L69),tblRegistros[Chave do cartão],0),"")</f>
        <v/>
      </c>
    </row>
    <row r="70" spans="1:12">
      <c r="A70" s="2" t="str">
        <f>IF($L70="","",IF(INDEX(tblRegistros[Data],$L70)&gt;$D$4,"",IFERROR(INDEX(tblRegistros[Data],$L70),"")))</f>
        <v/>
      </c>
      <c r="B70" t="str">
        <f>IF($L70="","",IF(INDEX(tblRegistros[Data],$L70)&gt;$D$4,"",IFERROR(INDEX(tblRegistros[Projeto],$L70),"")))</f>
        <v/>
      </c>
      <c r="C70" t="str">
        <f>IF($L70="","",IF(INDEX(tblRegistros[Data],$L70)&gt;$D$4,"",IFERROR(INDEX(tblRegistros[Atividade],$L70),"")))</f>
        <v/>
      </c>
      <c r="D70" s="4" t="str">
        <f>IF($L70="","",IF(INDEX(tblRegistros[Data],$L70)&gt;$D$4,"",IFERROR(INDEX(tblRegistros[Início],$L70),"")))</f>
        <v/>
      </c>
      <c r="E70" s="4" t="str">
        <f>IF($L70="","",IF(INDEX(tblRegistros[Data],$L70)&gt;$D$4,"",IFERROR(IF(INDEX(tblRegistros[Status],$L70)="EM ABERTO","",INDEX(tblRegistros[Fim],$L70)),"")))</f>
        <v/>
      </c>
      <c r="F70" s="14" t="str">
        <f>IF($L70="","",IF(INDEX(tblRegistros[Data],$L70)&gt;$D$4,"",IFERROR(IF(INDEX(tblRegistros[Status],$L70)="EM ABERTO","",INDEX(tblRegistros[Horas],$L70)),"")))</f>
        <v/>
      </c>
      <c r="G70" t="str">
        <f>IF($L70="","",IF(INDEX(tblRegistros[Data],$L70)&gt;$D$4,"",IFERROR(INDEX(tblRegistros[Base],$L70),"")))</f>
        <v/>
      </c>
      <c r="H70" s="3" t="str">
        <f>IF($L70="","",IF(INDEX(tblRegistros[Data],$L70)&gt;$D$4,"",IFERROR(INDEX(tblRegistros[Taxa aplicada],$L70),"")))</f>
        <v/>
      </c>
      <c r="I70" s="3" t="str">
        <f>IF($L70="","",IF(INDEX(tblRegistros[Data],$L70)&gt;$D$4,"",IFERROR(IF(INDEX(tblRegistros[Status],$L70)="EM ABERTO","",INDEX(tblRegistros[Valor],$L70)),"")))</f>
        <v/>
      </c>
      <c r="J70" t="str">
        <f>IF($L70="","",IF(INDEX(tblRegistros[Data],$L70)&gt;$D$4,"",IFERROR(INDEX(tblRegistros[Status],$L70),"")))</f>
        <v/>
      </c>
      <c r="K70" t="str">
        <f>IF($L70="","",IF(INDEX(tblRegistros[Data],$L70)&gt;$D$4,"",IFERROR(INDEX(tblRegistros[Observação],$L70),"")))</f>
        <v/>
      </c>
      <c r="L70" s="16" t="str">
        <f>IFERROR(MATCH($B$3*100000+COUNTIFS(tblRegistros[ID],$B$3,tblRegistros[Data],"&lt;"&amp;$B$4)+ROWS($L$10:L70),tblRegistros[Chave do cartão],0),"")</f>
        <v/>
      </c>
    </row>
    <row r="71" spans="1:12">
      <c r="A71" s="2" t="str">
        <f>IF($L71="","",IF(INDEX(tblRegistros[Data],$L71)&gt;$D$4,"",IFERROR(INDEX(tblRegistros[Data],$L71),"")))</f>
        <v/>
      </c>
      <c r="B71" t="str">
        <f>IF($L71="","",IF(INDEX(tblRegistros[Data],$L71)&gt;$D$4,"",IFERROR(INDEX(tblRegistros[Projeto],$L71),"")))</f>
        <v/>
      </c>
      <c r="C71" t="str">
        <f>IF($L71="","",IF(INDEX(tblRegistros[Data],$L71)&gt;$D$4,"",IFERROR(INDEX(tblRegistros[Atividade],$L71),"")))</f>
        <v/>
      </c>
      <c r="D71" s="4" t="str">
        <f>IF($L71="","",IF(INDEX(tblRegistros[Data],$L71)&gt;$D$4,"",IFERROR(INDEX(tblRegistros[Início],$L71),"")))</f>
        <v/>
      </c>
      <c r="E71" s="4" t="str">
        <f>IF($L71="","",IF(INDEX(tblRegistros[Data],$L71)&gt;$D$4,"",IFERROR(IF(INDEX(tblRegistros[Status],$L71)="EM ABERTO","",INDEX(tblRegistros[Fim],$L71)),"")))</f>
        <v/>
      </c>
      <c r="F71" s="14" t="str">
        <f>IF($L71="","",IF(INDEX(tblRegistros[Data],$L71)&gt;$D$4,"",IFERROR(IF(INDEX(tblRegistros[Status],$L71)="EM ABERTO","",INDEX(tblRegistros[Horas],$L71)),"")))</f>
        <v/>
      </c>
      <c r="G71" t="str">
        <f>IF($L71="","",IF(INDEX(tblRegistros[Data],$L71)&gt;$D$4,"",IFERROR(INDEX(tblRegistros[Base],$L71),"")))</f>
        <v/>
      </c>
      <c r="H71" s="3" t="str">
        <f>IF($L71="","",IF(INDEX(tblRegistros[Data],$L71)&gt;$D$4,"",IFERROR(INDEX(tblRegistros[Taxa aplicada],$L71),"")))</f>
        <v/>
      </c>
      <c r="I71" s="3" t="str">
        <f>IF($L71="","",IF(INDEX(tblRegistros[Data],$L71)&gt;$D$4,"",IFERROR(IF(INDEX(tblRegistros[Status],$L71)="EM ABERTO","",INDEX(tblRegistros[Valor],$L71)),"")))</f>
        <v/>
      </c>
      <c r="J71" t="str">
        <f>IF($L71="","",IF(INDEX(tblRegistros[Data],$L71)&gt;$D$4,"",IFERROR(INDEX(tblRegistros[Status],$L71),"")))</f>
        <v/>
      </c>
      <c r="K71" t="str">
        <f>IF($L71="","",IF(INDEX(tblRegistros[Data],$L71)&gt;$D$4,"",IFERROR(INDEX(tblRegistros[Observação],$L71),"")))</f>
        <v/>
      </c>
      <c r="L71" s="16" t="str">
        <f>IFERROR(MATCH($B$3*100000+COUNTIFS(tblRegistros[ID],$B$3,tblRegistros[Data],"&lt;"&amp;$B$4)+ROWS($L$10:L71),tblRegistros[Chave do cartão],0),"")</f>
        <v/>
      </c>
    </row>
    <row r="72" spans="1:12">
      <c r="A72" s="2" t="str">
        <f>IF($L72="","",IF(INDEX(tblRegistros[Data],$L72)&gt;$D$4,"",IFERROR(INDEX(tblRegistros[Data],$L72),"")))</f>
        <v/>
      </c>
      <c r="B72" t="str">
        <f>IF($L72="","",IF(INDEX(tblRegistros[Data],$L72)&gt;$D$4,"",IFERROR(INDEX(tblRegistros[Projeto],$L72),"")))</f>
        <v/>
      </c>
      <c r="C72" t="str">
        <f>IF($L72="","",IF(INDEX(tblRegistros[Data],$L72)&gt;$D$4,"",IFERROR(INDEX(tblRegistros[Atividade],$L72),"")))</f>
        <v/>
      </c>
      <c r="D72" s="4" t="str">
        <f>IF($L72="","",IF(INDEX(tblRegistros[Data],$L72)&gt;$D$4,"",IFERROR(INDEX(tblRegistros[Início],$L72),"")))</f>
        <v/>
      </c>
      <c r="E72" s="4" t="str">
        <f>IF($L72="","",IF(INDEX(tblRegistros[Data],$L72)&gt;$D$4,"",IFERROR(IF(INDEX(tblRegistros[Status],$L72)="EM ABERTO","",INDEX(tblRegistros[Fim],$L72)),"")))</f>
        <v/>
      </c>
      <c r="F72" s="14" t="str">
        <f>IF($L72="","",IF(INDEX(tblRegistros[Data],$L72)&gt;$D$4,"",IFERROR(IF(INDEX(tblRegistros[Status],$L72)="EM ABERTO","",INDEX(tblRegistros[Horas],$L72)),"")))</f>
        <v/>
      </c>
      <c r="G72" t="str">
        <f>IF($L72="","",IF(INDEX(tblRegistros[Data],$L72)&gt;$D$4,"",IFERROR(INDEX(tblRegistros[Base],$L72),"")))</f>
        <v/>
      </c>
      <c r="H72" s="3" t="str">
        <f>IF($L72="","",IF(INDEX(tblRegistros[Data],$L72)&gt;$D$4,"",IFERROR(INDEX(tblRegistros[Taxa aplicada],$L72),"")))</f>
        <v/>
      </c>
      <c r="I72" s="3" t="str">
        <f>IF($L72="","",IF(INDEX(tblRegistros[Data],$L72)&gt;$D$4,"",IFERROR(IF(INDEX(tblRegistros[Status],$L72)="EM ABERTO","",INDEX(tblRegistros[Valor],$L72)),"")))</f>
        <v/>
      </c>
      <c r="J72" t="str">
        <f>IF($L72="","",IF(INDEX(tblRegistros[Data],$L72)&gt;$D$4,"",IFERROR(INDEX(tblRegistros[Status],$L72),"")))</f>
        <v/>
      </c>
      <c r="K72" t="str">
        <f>IF($L72="","",IF(INDEX(tblRegistros[Data],$L72)&gt;$D$4,"",IFERROR(INDEX(tblRegistros[Observação],$L72),"")))</f>
        <v/>
      </c>
      <c r="L72" s="16" t="str">
        <f>IFERROR(MATCH($B$3*100000+COUNTIFS(tblRegistros[ID],$B$3,tblRegistros[Data],"&lt;"&amp;$B$4)+ROWS($L$10:L72),tblRegistros[Chave do cartão],0),"")</f>
        <v/>
      </c>
    </row>
    <row r="73" spans="1:12">
      <c r="A73" s="2" t="str">
        <f>IF($L73="","",IF(INDEX(tblRegistros[Data],$L73)&gt;$D$4,"",IFERROR(INDEX(tblRegistros[Data],$L73),"")))</f>
        <v/>
      </c>
      <c r="B73" t="str">
        <f>IF($L73="","",IF(INDEX(tblRegistros[Data],$L73)&gt;$D$4,"",IFERROR(INDEX(tblRegistros[Projeto],$L73),"")))</f>
        <v/>
      </c>
      <c r="C73" t="str">
        <f>IF($L73="","",IF(INDEX(tblRegistros[Data],$L73)&gt;$D$4,"",IFERROR(INDEX(tblRegistros[Atividade],$L73),"")))</f>
        <v/>
      </c>
      <c r="D73" s="4" t="str">
        <f>IF($L73="","",IF(INDEX(tblRegistros[Data],$L73)&gt;$D$4,"",IFERROR(INDEX(tblRegistros[Início],$L73),"")))</f>
        <v/>
      </c>
      <c r="E73" s="4" t="str">
        <f>IF($L73="","",IF(INDEX(tblRegistros[Data],$L73)&gt;$D$4,"",IFERROR(IF(INDEX(tblRegistros[Status],$L73)="EM ABERTO","",INDEX(tblRegistros[Fim],$L73)),"")))</f>
        <v/>
      </c>
      <c r="F73" s="14" t="str">
        <f>IF($L73="","",IF(INDEX(tblRegistros[Data],$L73)&gt;$D$4,"",IFERROR(IF(INDEX(tblRegistros[Status],$L73)="EM ABERTO","",INDEX(tblRegistros[Horas],$L73)),"")))</f>
        <v/>
      </c>
      <c r="G73" t="str">
        <f>IF($L73="","",IF(INDEX(tblRegistros[Data],$L73)&gt;$D$4,"",IFERROR(INDEX(tblRegistros[Base],$L73),"")))</f>
        <v/>
      </c>
      <c r="H73" s="3" t="str">
        <f>IF($L73="","",IF(INDEX(tblRegistros[Data],$L73)&gt;$D$4,"",IFERROR(INDEX(tblRegistros[Taxa aplicada],$L73),"")))</f>
        <v/>
      </c>
      <c r="I73" s="3" t="str">
        <f>IF($L73="","",IF(INDEX(tblRegistros[Data],$L73)&gt;$D$4,"",IFERROR(IF(INDEX(tblRegistros[Status],$L73)="EM ABERTO","",INDEX(tblRegistros[Valor],$L73)),"")))</f>
        <v/>
      </c>
      <c r="J73" t="str">
        <f>IF($L73="","",IF(INDEX(tblRegistros[Data],$L73)&gt;$D$4,"",IFERROR(INDEX(tblRegistros[Status],$L73),"")))</f>
        <v/>
      </c>
      <c r="K73" t="str">
        <f>IF($L73="","",IF(INDEX(tblRegistros[Data],$L73)&gt;$D$4,"",IFERROR(INDEX(tblRegistros[Observação],$L73),"")))</f>
        <v/>
      </c>
      <c r="L73" s="16" t="str">
        <f>IFERROR(MATCH($B$3*100000+COUNTIFS(tblRegistros[ID],$B$3,tblRegistros[Data],"&lt;"&amp;$B$4)+ROWS($L$10:L73),tblRegistros[Chave do cartão],0),"")</f>
        <v/>
      </c>
    </row>
    <row r="74" spans="1:12">
      <c r="A74" s="2" t="str">
        <f>IF($L74="","",IF(INDEX(tblRegistros[Data],$L74)&gt;$D$4,"",IFERROR(INDEX(tblRegistros[Data],$L74),"")))</f>
        <v/>
      </c>
      <c r="B74" t="str">
        <f>IF($L74="","",IF(INDEX(tblRegistros[Data],$L74)&gt;$D$4,"",IFERROR(INDEX(tblRegistros[Projeto],$L74),"")))</f>
        <v/>
      </c>
      <c r="C74" t="str">
        <f>IF($L74="","",IF(INDEX(tblRegistros[Data],$L74)&gt;$D$4,"",IFERROR(INDEX(tblRegistros[Atividade],$L74),"")))</f>
        <v/>
      </c>
      <c r="D74" s="4" t="str">
        <f>IF($L74="","",IF(INDEX(tblRegistros[Data],$L74)&gt;$D$4,"",IFERROR(INDEX(tblRegistros[Início],$L74),"")))</f>
        <v/>
      </c>
      <c r="E74" s="4" t="str">
        <f>IF($L74="","",IF(INDEX(tblRegistros[Data],$L74)&gt;$D$4,"",IFERROR(IF(INDEX(tblRegistros[Status],$L74)="EM ABERTO","",INDEX(tblRegistros[Fim],$L74)),"")))</f>
        <v/>
      </c>
      <c r="F74" s="14" t="str">
        <f>IF($L74="","",IF(INDEX(tblRegistros[Data],$L74)&gt;$D$4,"",IFERROR(IF(INDEX(tblRegistros[Status],$L74)="EM ABERTO","",INDEX(tblRegistros[Horas],$L74)),"")))</f>
        <v/>
      </c>
      <c r="G74" t="str">
        <f>IF($L74="","",IF(INDEX(tblRegistros[Data],$L74)&gt;$D$4,"",IFERROR(INDEX(tblRegistros[Base],$L74),"")))</f>
        <v/>
      </c>
      <c r="H74" s="3" t="str">
        <f>IF($L74="","",IF(INDEX(tblRegistros[Data],$L74)&gt;$D$4,"",IFERROR(INDEX(tblRegistros[Taxa aplicada],$L74),"")))</f>
        <v/>
      </c>
      <c r="I74" s="3" t="str">
        <f>IF($L74="","",IF(INDEX(tblRegistros[Data],$L74)&gt;$D$4,"",IFERROR(IF(INDEX(tblRegistros[Status],$L74)="EM ABERTO","",INDEX(tblRegistros[Valor],$L74)),"")))</f>
        <v/>
      </c>
      <c r="J74" t="str">
        <f>IF($L74="","",IF(INDEX(tblRegistros[Data],$L74)&gt;$D$4,"",IFERROR(INDEX(tblRegistros[Status],$L74),"")))</f>
        <v/>
      </c>
      <c r="K74" t="str">
        <f>IF($L74="","",IF(INDEX(tblRegistros[Data],$L74)&gt;$D$4,"",IFERROR(INDEX(tblRegistros[Observação],$L74),"")))</f>
        <v/>
      </c>
      <c r="L74" s="16" t="str">
        <f>IFERROR(MATCH($B$3*100000+COUNTIFS(tblRegistros[ID],$B$3,tblRegistros[Data],"&lt;"&amp;$B$4)+ROWS($L$10:L74),tblRegistros[Chave do cartão],0),"")</f>
        <v/>
      </c>
    </row>
    <row r="75" spans="1:12">
      <c r="A75" s="2" t="str">
        <f>IF($L75="","",IF(INDEX(tblRegistros[Data],$L75)&gt;$D$4,"",IFERROR(INDEX(tblRegistros[Data],$L75),"")))</f>
        <v/>
      </c>
      <c r="B75" t="str">
        <f>IF($L75="","",IF(INDEX(tblRegistros[Data],$L75)&gt;$D$4,"",IFERROR(INDEX(tblRegistros[Projeto],$L75),"")))</f>
        <v/>
      </c>
      <c r="C75" t="str">
        <f>IF($L75="","",IF(INDEX(tblRegistros[Data],$L75)&gt;$D$4,"",IFERROR(INDEX(tblRegistros[Atividade],$L75),"")))</f>
        <v/>
      </c>
      <c r="D75" s="4" t="str">
        <f>IF($L75="","",IF(INDEX(tblRegistros[Data],$L75)&gt;$D$4,"",IFERROR(INDEX(tblRegistros[Início],$L75),"")))</f>
        <v/>
      </c>
      <c r="E75" s="4" t="str">
        <f>IF($L75="","",IF(INDEX(tblRegistros[Data],$L75)&gt;$D$4,"",IFERROR(IF(INDEX(tblRegistros[Status],$L75)="EM ABERTO","",INDEX(tblRegistros[Fim],$L75)),"")))</f>
        <v/>
      </c>
      <c r="F75" s="14" t="str">
        <f>IF($L75="","",IF(INDEX(tblRegistros[Data],$L75)&gt;$D$4,"",IFERROR(IF(INDEX(tblRegistros[Status],$L75)="EM ABERTO","",INDEX(tblRegistros[Horas],$L75)),"")))</f>
        <v/>
      </c>
      <c r="G75" t="str">
        <f>IF($L75="","",IF(INDEX(tblRegistros[Data],$L75)&gt;$D$4,"",IFERROR(INDEX(tblRegistros[Base],$L75),"")))</f>
        <v/>
      </c>
      <c r="H75" s="3" t="str">
        <f>IF($L75="","",IF(INDEX(tblRegistros[Data],$L75)&gt;$D$4,"",IFERROR(INDEX(tblRegistros[Taxa aplicada],$L75),"")))</f>
        <v/>
      </c>
      <c r="I75" s="3" t="str">
        <f>IF($L75="","",IF(INDEX(tblRegistros[Data],$L75)&gt;$D$4,"",IFERROR(IF(INDEX(tblRegistros[Status],$L75)="EM ABERTO","",INDEX(tblRegistros[Valor],$L75)),"")))</f>
        <v/>
      </c>
      <c r="J75" t="str">
        <f>IF($L75="","",IF(INDEX(tblRegistros[Data],$L75)&gt;$D$4,"",IFERROR(INDEX(tblRegistros[Status],$L75),"")))</f>
        <v/>
      </c>
      <c r="K75" t="str">
        <f>IF($L75="","",IF(INDEX(tblRegistros[Data],$L75)&gt;$D$4,"",IFERROR(INDEX(tblRegistros[Observação],$L75),"")))</f>
        <v/>
      </c>
      <c r="L75" s="16" t="str">
        <f>IFERROR(MATCH($B$3*100000+COUNTIFS(tblRegistros[ID],$B$3,tblRegistros[Data],"&lt;"&amp;$B$4)+ROWS($L$10:L75),tblRegistros[Chave do cartão],0),"")</f>
        <v/>
      </c>
    </row>
    <row r="76" spans="1:12">
      <c r="A76" s="2" t="str">
        <f>IF($L76="","",IF(INDEX(tblRegistros[Data],$L76)&gt;$D$4,"",IFERROR(INDEX(tblRegistros[Data],$L76),"")))</f>
        <v/>
      </c>
      <c r="B76" t="str">
        <f>IF($L76="","",IF(INDEX(tblRegistros[Data],$L76)&gt;$D$4,"",IFERROR(INDEX(tblRegistros[Projeto],$L76),"")))</f>
        <v/>
      </c>
      <c r="C76" t="str">
        <f>IF($L76="","",IF(INDEX(tblRegistros[Data],$L76)&gt;$D$4,"",IFERROR(INDEX(tblRegistros[Atividade],$L76),"")))</f>
        <v/>
      </c>
      <c r="D76" s="4" t="str">
        <f>IF($L76="","",IF(INDEX(tblRegistros[Data],$L76)&gt;$D$4,"",IFERROR(INDEX(tblRegistros[Início],$L76),"")))</f>
        <v/>
      </c>
      <c r="E76" s="4" t="str">
        <f>IF($L76="","",IF(INDEX(tblRegistros[Data],$L76)&gt;$D$4,"",IFERROR(IF(INDEX(tblRegistros[Status],$L76)="EM ABERTO","",INDEX(tblRegistros[Fim],$L76)),"")))</f>
        <v/>
      </c>
      <c r="F76" s="14" t="str">
        <f>IF($L76="","",IF(INDEX(tblRegistros[Data],$L76)&gt;$D$4,"",IFERROR(IF(INDEX(tblRegistros[Status],$L76)="EM ABERTO","",INDEX(tblRegistros[Horas],$L76)),"")))</f>
        <v/>
      </c>
      <c r="G76" t="str">
        <f>IF($L76="","",IF(INDEX(tblRegistros[Data],$L76)&gt;$D$4,"",IFERROR(INDEX(tblRegistros[Base],$L76),"")))</f>
        <v/>
      </c>
      <c r="H76" s="3" t="str">
        <f>IF($L76="","",IF(INDEX(tblRegistros[Data],$L76)&gt;$D$4,"",IFERROR(INDEX(tblRegistros[Taxa aplicada],$L76),"")))</f>
        <v/>
      </c>
      <c r="I76" s="3" t="str">
        <f>IF($L76="","",IF(INDEX(tblRegistros[Data],$L76)&gt;$D$4,"",IFERROR(IF(INDEX(tblRegistros[Status],$L76)="EM ABERTO","",INDEX(tblRegistros[Valor],$L76)),"")))</f>
        <v/>
      </c>
      <c r="J76" t="str">
        <f>IF($L76="","",IF(INDEX(tblRegistros[Data],$L76)&gt;$D$4,"",IFERROR(INDEX(tblRegistros[Status],$L76),"")))</f>
        <v/>
      </c>
      <c r="K76" t="str">
        <f>IF($L76="","",IF(INDEX(tblRegistros[Data],$L76)&gt;$D$4,"",IFERROR(INDEX(tblRegistros[Observação],$L76),"")))</f>
        <v/>
      </c>
      <c r="L76" s="16" t="str">
        <f>IFERROR(MATCH($B$3*100000+COUNTIFS(tblRegistros[ID],$B$3,tblRegistros[Data],"&lt;"&amp;$B$4)+ROWS($L$10:L76),tblRegistros[Chave do cartão],0),"")</f>
        <v/>
      </c>
    </row>
    <row r="77" spans="1:12">
      <c r="A77" s="2" t="str">
        <f>IF($L77="","",IF(INDEX(tblRegistros[Data],$L77)&gt;$D$4,"",IFERROR(INDEX(tblRegistros[Data],$L77),"")))</f>
        <v/>
      </c>
      <c r="B77" t="str">
        <f>IF($L77="","",IF(INDEX(tblRegistros[Data],$L77)&gt;$D$4,"",IFERROR(INDEX(tblRegistros[Projeto],$L77),"")))</f>
        <v/>
      </c>
      <c r="C77" t="str">
        <f>IF($L77="","",IF(INDEX(tblRegistros[Data],$L77)&gt;$D$4,"",IFERROR(INDEX(tblRegistros[Atividade],$L77),"")))</f>
        <v/>
      </c>
      <c r="D77" s="4" t="str">
        <f>IF($L77="","",IF(INDEX(tblRegistros[Data],$L77)&gt;$D$4,"",IFERROR(INDEX(tblRegistros[Início],$L77),"")))</f>
        <v/>
      </c>
      <c r="E77" s="4" t="str">
        <f>IF($L77="","",IF(INDEX(tblRegistros[Data],$L77)&gt;$D$4,"",IFERROR(IF(INDEX(tblRegistros[Status],$L77)="EM ABERTO","",INDEX(tblRegistros[Fim],$L77)),"")))</f>
        <v/>
      </c>
      <c r="F77" s="14" t="str">
        <f>IF($L77="","",IF(INDEX(tblRegistros[Data],$L77)&gt;$D$4,"",IFERROR(IF(INDEX(tblRegistros[Status],$L77)="EM ABERTO","",INDEX(tblRegistros[Horas],$L77)),"")))</f>
        <v/>
      </c>
      <c r="G77" t="str">
        <f>IF($L77="","",IF(INDEX(tblRegistros[Data],$L77)&gt;$D$4,"",IFERROR(INDEX(tblRegistros[Base],$L77),"")))</f>
        <v/>
      </c>
      <c r="H77" s="3" t="str">
        <f>IF($L77="","",IF(INDEX(tblRegistros[Data],$L77)&gt;$D$4,"",IFERROR(INDEX(tblRegistros[Taxa aplicada],$L77),"")))</f>
        <v/>
      </c>
      <c r="I77" s="3" t="str">
        <f>IF($L77="","",IF(INDEX(tblRegistros[Data],$L77)&gt;$D$4,"",IFERROR(IF(INDEX(tblRegistros[Status],$L77)="EM ABERTO","",INDEX(tblRegistros[Valor],$L77)),"")))</f>
        <v/>
      </c>
      <c r="J77" t="str">
        <f>IF($L77="","",IF(INDEX(tblRegistros[Data],$L77)&gt;$D$4,"",IFERROR(INDEX(tblRegistros[Status],$L77),"")))</f>
        <v/>
      </c>
      <c r="K77" t="str">
        <f>IF($L77="","",IF(INDEX(tblRegistros[Data],$L77)&gt;$D$4,"",IFERROR(INDEX(tblRegistros[Observação],$L77),"")))</f>
        <v/>
      </c>
      <c r="L77" s="16" t="str">
        <f>IFERROR(MATCH($B$3*100000+COUNTIFS(tblRegistros[ID],$B$3,tblRegistros[Data],"&lt;"&amp;$B$4)+ROWS($L$10:L77),tblRegistros[Chave do cartão],0),"")</f>
        <v/>
      </c>
    </row>
    <row r="78" spans="1:12">
      <c r="A78" s="2" t="str">
        <f>IF($L78="","",IF(INDEX(tblRegistros[Data],$L78)&gt;$D$4,"",IFERROR(INDEX(tblRegistros[Data],$L78),"")))</f>
        <v/>
      </c>
      <c r="B78" t="str">
        <f>IF($L78="","",IF(INDEX(tblRegistros[Data],$L78)&gt;$D$4,"",IFERROR(INDEX(tblRegistros[Projeto],$L78),"")))</f>
        <v/>
      </c>
      <c r="C78" t="str">
        <f>IF($L78="","",IF(INDEX(tblRegistros[Data],$L78)&gt;$D$4,"",IFERROR(INDEX(tblRegistros[Atividade],$L78),"")))</f>
        <v/>
      </c>
      <c r="D78" s="4" t="str">
        <f>IF($L78="","",IF(INDEX(tblRegistros[Data],$L78)&gt;$D$4,"",IFERROR(INDEX(tblRegistros[Início],$L78),"")))</f>
        <v/>
      </c>
      <c r="E78" s="4" t="str">
        <f>IF($L78="","",IF(INDEX(tblRegistros[Data],$L78)&gt;$D$4,"",IFERROR(IF(INDEX(tblRegistros[Status],$L78)="EM ABERTO","",INDEX(tblRegistros[Fim],$L78)),"")))</f>
        <v/>
      </c>
      <c r="F78" s="14" t="str">
        <f>IF($L78="","",IF(INDEX(tblRegistros[Data],$L78)&gt;$D$4,"",IFERROR(IF(INDEX(tblRegistros[Status],$L78)="EM ABERTO","",INDEX(tblRegistros[Horas],$L78)),"")))</f>
        <v/>
      </c>
      <c r="G78" t="str">
        <f>IF($L78="","",IF(INDEX(tblRegistros[Data],$L78)&gt;$D$4,"",IFERROR(INDEX(tblRegistros[Base],$L78),"")))</f>
        <v/>
      </c>
      <c r="H78" s="3" t="str">
        <f>IF($L78="","",IF(INDEX(tblRegistros[Data],$L78)&gt;$D$4,"",IFERROR(INDEX(tblRegistros[Taxa aplicada],$L78),"")))</f>
        <v/>
      </c>
      <c r="I78" s="3" t="str">
        <f>IF($L78="","",IF(INDEX(tblRegistros[Data],$L78)&gt;$D$4,"",IFERROR(IF(INDEX(tblRegistros[Status],$L78)="EM ABERTO","",INDEX(tblRegistros[Valor],$L78)),"")))</f>
        <v/>
      </c>
      <c r="J78" t="str">
        <f>IF($L78="","",IF(INDEX(tblRegistros[Data],$L78)&gt;$D$4,"",IFERROR(INDEX(tblRegistros[Status],$L78),"")))</f>
        <v/>
      </c>
      <c r="K78" t="str">
        <f>IF($L78="","",IF(INDEX(tblRegistros[Data],$L78)&gt;$D$4,"",IFERROR(INDEX(tblRegistros[Observação],$L78),"")))</f>
        <v/>
      </c>
      <c r="L78" s="16" t="str">
        <f>IFERROR(MATCH($B$3*100000+COUNTIFS(tblRegistros[ID],$B$3,tblRegistros[Data],"&lt;"&amp;$B$4)+ROWS($L$10:L78),tblRegistros[Chave do cartão],0),"")</f>
        <v/>
      </c>
    </row>
    <row r="79" spans="1:12">
      <c r="A79" s="2" t="str">
        <f>IF($L79="","",IF(INDEX(tblRegistros[Data],$L79)&gt;$D$4,"",IFERROR(INDEX(tblRegistros[Data],$L79),"")))</f>
        <v/>
      </c>
      <c r="B79" t="str">
        <f>IF($L79="","",IF(INDEX(tblRegistros[Data],$L79)&gt;$D$4,"",IFERROR(INDEX(tblRegistros[Projeto],$L79),"")))</f>
        <v/>
      </c>
      <c r="C79" t="str">
        <f>IF($L79="","",IF(INDEX(tblRegistros[Data],$L79)&gt;$D$4,"",IFERROR(INDEX(tblRegistros[Atividade],$L79),"")))</f>
        <v/>
      </c>
      <c r="D79" s="4" t="str">
        <f>IF($L79="","",IF(INDEX(tblRegistros[Data],$L79)&gt;$D$4,"",IFERROR(INDEX(tblRegistros[Início],$L79),"")))</f>
        <v/>
      </c>
      <c r="E79" s="4" t="str">
        <f>IF($L79="","",IF(INDEX(tblRegistros[Data],$L79)&gt;$D$4,"",IFERROR(IF(INDEX(tblRegistros[Status],$L79)="EM ABERTO","",INDEX(tblRegistros[Fim],$L79)),"")))</f>
        <v/>
      </c>
      <c r="F79" s="14" t="str">
        <f>IF($L79="","",IF(INDEX(tblRegistros[Data],$L79)&gt;$D$4,"",IFERROR(IF(INDEX(tblRegistros[Status],$L79)="EM ABERTO","",INDEX(tblRegistros[Horas],$L79)),"")))</f>
        <v/>
      </c>
      <c r="G79" t="str">
        <f>IF($L79="","",IF(INDEX(tblRegistros[Data],$L79)&gt;$D$4,"",IFERROR(INDEX(tblRegistros[Base],$L79),"")))</f>
        <v/>
      </c>
      <c r="H79" s="3" t="str">
        <f>IF($L79="","",IF(INDEX(tblRegistros[Data],$L79)&gt;$D$4,"",IFERROR(INDEX(tblRegistros[Taxa aplicada],$L79),"")))</f>
        <v/>
      </c>
      <c r="I79" s="3" t="str">
        <f>IF($L79="","",IF(INDEX(tblRegistros[Data],$L79)&gt;$D$4,"",IFERROR(IF(INDEX(tblRegistros[Status],$L79)="EM ABERTO","",INDEX(tblRegistros[Valor],$L79)),"")))</f>
        <v/>
      </c>
      <c r="J79" t="str">
        <f>IF($L79="","",IF(INDEX(tblRegistros[Data],$L79)&gt;$D$4,"",IFERROR(INDEX(tblRegistros[Status],$L79),"")))</f>
        <v/>
      </c>
      <c r="K79" t="str">
        <f>IF($L79="","",IF(INDEX(tblRegistros[Data],$L79)&gt;$D$4,"",IFERROR(INDEX(tblRegistros[Observação],$L79),"")))</f>
        <v/>
      </c>
      <c r="L79" s="16" t="str">
        <f>IFERROR(MATCH($B$3*100000+COUNTIFS(tblRegistros[ID],$B$3,tblRegistros[Data],"&lt;"&amp;$B$4)+ROWS($L$10:L79),tblRegistros[Chave do cartão],0),"")</f>
        <v/>
      </c>
    </row>
    <row r="80" spans="1:12">
      <c r="A80" s="2" t="str">
        <f>IF($L80="","",IF(INDEX(tblRegistros[Data],$L80)&gt;$D$4,"",IFERROR(INDEX(tblRegistros[Data],$L80),"")))</f>
        <v/>
      </c>
      <c r="B80" t="str">
        <f>IF($L80="","",IF(INDEX(tblRegistros[Data],$L80)&gt;$D$4,"",IFERROR(INDEX(tblRegistros[Projeto],$L80),"")))</f>
        <v/>
      </c>
      <c r="C80" t="str">
        <f>IF($L80="","",IF(INDEX(tblRegistros[Data],$L80)&gt;$D$4,"",IFERROR(INDEX(tblRegistros[Atividade],$L80),"")))</f>
        <v/>
      </c>
      <c r="D80" s="4" t="str">
        <f>IF($L80="","",IF(INDEX(tblRegistros[Data],$L80)&gt;$D$4,"",IFERROR(INDEX(tblRegistros[Início],$L80),"")))</f>
        <v/>
      </c>
      <c r="E80" s="4" t="str">
        <f>IF($L80="","",IF(INDEX(tblRegistros[Data],$L80)&gt;$D$4,"",IFERROR(IF(INDEX(tblRegistros[Status],$L80)="EM ABERTO","",INDEX(tblRegistros[Fim],$L80)),"")))</f>
        <v/>
      </c>
      <c r="F80" s="14" t="str">
        <f>IF($L80="","",IF(INDEX(tblRegistros[Data],$L80)&gt;$D$4,"",IFERROR(IF(INDEX(tblRegistros[Status],$L80)="EM ABERTO","",INDEX(tblRegistros[Horas],$L80)),"")))</f>
        <v/>
      </c>
      <c r="G80" t="str">
        <f>IF($L80="","",IF(INDEX(tblRegistros[Data],$L80)&gt;$D$4,"",IFERROR(INDEX(tblRegistros[Base],$L80),"")))</f>
        <v/>
      </c>
      <c r="H80" s="3" t="str">
        <f>IF($L80="","",IF(INDEX(tblRegistros[Data],$L80)&gt;$D$4,"",IFERROR(INDEX(tblRegistros[Taxa aplicada],$L80),"")))</f>
        <v/>
      </c>
      <c r="I80" s="3" t="str">
        <f>IF($L80="","",IF(INDEX(tblRegistros[Data],$L80)&gt;$D$4,"",IFERROR(IF(INDEX(tblRegistros[Status],$L80)="EM ABERTO","",INDEX(tblRegistros[Valor],$L80)),"")))</f>
        <v/>
      </c>
      <c r="J80" t="str">
        <f>IF($L80="","",IF(INDEX(tblRegistros[Data],$L80)&gt;$D$4,"",IFERROR(INDEX(tblRegistros[Status],$L80),"")))</f>
        <v/>
      </c>
      <c r="K80" t="str">
        <f>IF($L80="","",IF(INDEX(tblRegistros[Data],$L80)&gt;$D$4,"",IFERROR(INDEX(tblRegistros[Observação],$L80),"")))</f>
        <v/>
      </c>
      <c r="L80" s="16" t="str">
        <f>IFERROR(MATCH($B$3*100000+COUNTIFS(tblRegistros[ID],$B$3,tblRegistros[Data],"&lt;"&amp;$B$4)+ROWS($L$10:L80),tblRegistros[Chave do cartão],0),"")</f>
        <v/>
      </c>
    </row>
    <row r="81" spans="1:12">
      <c r="A81" s="2" t="str">
        <f>IF($L81="","",IF(INDEX(tblRegistros[Data],$L81)&gt;$D$4,"",IFERROR(INDEX(tblRegistros[Data],$L81),"")))</f>
        <v/>
      </c>
      <c r="B81" t="str">
        <f>IF($L81="","",IF(INDEX(tblRegistros[Data],$L81)&gt;$D$4,"",IFERROR(INDEX(tblRegistros[Projeto],$L81),"")))</f>
        <v/>
      </c>
      <c r="C81" t="str">
        <f>IF($L81="","",IF(INDEX(tblRegistros[Data],$L81)&gt;$D$4,"",IFERROR(INDEX(tblRegistros[Atividade],$L81),"")))</f>
        <v/>
      </c>
      <c r="D81" s="4" t="str">
        <f>IF($L81="","",IF(INDEX(tblRegistros[Data],$L81)&gt;$D$4,"",IFERROR(INDEX(tblRegistros[Início],$L81),"")))</f>
        <v/>
      </c>
      <c r="E81" s="4" t="str">
        <f>IF($L81="","",IF(INDEX(tblRegistros[Data],$L81)&gt;$D$4,"",IFERROR(IF(INDEX(tblRegistros[Status],$L81)="EM ABERTO","",INDEX(tblRegistros[Fim],$L81)),"")))</f>
        <v/>
      </c>
      <c r="F81" s="14" t="str">
        <f>IF($L81="","",IF(INDEX(tblRegistros[Data],$L81)&gt;$D$4,"",IFERROR(IF(INDEX(tblRegistros[Status],$L81)="EM ABERTO","",INDEX(tblRegistros[Horas],$L81)),"")))</f>
        <v/>
      </c>
      <c r="G81" t="str">
        <f>IF($L81="","",IF(INDEX(tblRegistros[Data],$L81)&gt;$D$4,"",IFERROR(INDEX(tblRegistros[Base],$L81),"")))</f>
        <v/>
      </c>
      <c r="H81" s="3" t="str">
        <f>IF($L81="","",IF(INDEX(tblRegistros[Data],$L81)&gt;$D$4,"",IFERROR(INDEX(tblRegistros[Taxa aplicada],$L81),"")))</f>
        <v/>
      </c>
      <c r="I81" s="3" t="str">
        <f>IF($L81="","",IF(INDEX(tblRegistros[Data],$L81)&gt;$D$4,"",IFERROR(IF(INDEX(tblRegistros[Status],$L81)="EM ABERTO","",INDEX(tblRegistros[Valor],$L81)),"")))</f>
        <v/>
      </c>
      <c r="J81" t="str">
        <f>IF($L81="","",IF(INDEX(tblRegistros[Data],$L81)&gt;$D$4,"",IFERROR(INDEX(tblRegistros[Status],$L81),"")))</f>
        <v/>
      </c>
      <c r="K81" t="str">
        <f>IF($L81="","",IF(INDEX(tblRegistros[Data],$L81)&gt;$D$4,"",IFERROR(INDEX(tblRegistros[Observação],$L81),"")))</f>
        <v/>
      </c>
      <c r="L81" s="16" t="str">
        <f>IFERROR(MATCH($B$3*100000+COUNTIFS(tblRegistros[ID],$B$3,tblRegistros[Data],"&lt;"&amp;$B$4)+ROWS($L$10:L81),tblRegistros[Chave do cartão],0),"")</f>
        <v/>
      </c>
    </row>
    <row r="82" spans="1:12">
      <c r="A82" s="2" t="str">
        <f>IF($L82="","",IF(INDEX(tblRegistros[Data],$L82)&gt;$D$4,"",IFERROR(INDEX(tblRegistros[Data],$L82),"")))</f>
        <v/>
      </c>
      <c r="B82" t="str">
        <f>IF($L82="","",IF(INDEX(tblRegistros[Data],$L82)&gt;$D$4,"",IFERROR(INDEX(tblRegistros[Projeto],$L82),"")))</f>
        <v/>
      </c>
      <c r="C82" t="str">
        <f>IF($L82="","",IF(INDEX(tblRegistros[Data],$L82)&gt;$D$4,"",IFERROR(INDEX(tblRegistros[Atividade],$L82),"")))</f>
        <v/>
      </c>
      <c r="D82" s="4" t="str">
        <f>IF($L82="","",IF(INDEX(tblRegistros[Data],$L82)&gt;$D$4,"",IFERROR(INDEX(tblRegistros[Início],$L82),"")))</f>
        <v/>
      </c>
      <c r="E82" s="4" t="str">
        <f>IF($L82="","",IF(INDEX(tblRegistros[Data],$L82)&gt;$D$4,"",IFERROR(IF(INDEX(tblRegistros[Status],$L82)="EM ABERTO","",INDEX(tblRegistros[Fim],$L82)),"")))</f>
        <v/>
      </c>
      <c r="F82" s="14" t="str">
        <f>IF($L82="","",IF(INDEX(tblRegistros[Data],$L82)&gt;$D$4,"",IFERROR(IF(INDEX(tblRegistros[Status],$L82)="EM ABERTO","",INDEX(tblRegistros[Horas],$L82)),"")))</f>
        <v/>
      </c>
      <c r="G82" t="str">
        <f>IF($L82="","",IF(INDEX(tblRegistros[Data],$L82)&gt;$D$4,"",IFERROR(INDEX(tblRegistros[Base],$L82),"")))</f>
        <v/>
      </c>
      <c r="H82" s="3" t="str">
        <f>IF($L82="","",IF(INDEX(tblRegistros[Data],$L82)&gt;$D$4,"",IFERROR(INDEX(tblRegistros[Taxa aplicada],$L82),"")))</f>
        <v/>
      </c>
      <c r="I82" s="3" t="str">
        <f>IF($L82="","",IF(INDEX(tblRegistros[Data],$L82)&gt;$D$4,"",IFERROR(IF(INDEX(tblRegistros[Status],$L82)="EM ABERTO","",INDEX(tblRegistros[Valor],$L82)),"")))</f>
        <v/>
      </c>
      <c r="J82" t="str">
        <f>IF($L82="","",IF(INDEX(tblRegistros[Data],$L82)&gt;$D$4,"",IFERROR(INDEX(tblRegistros[Status],$L82),"")))</f>
        <v/>
      </c>
      <c r="K82" t="str">
        <f>IF($L82="","",IF(INDEX(tblRegistros[Data],$L82)&gt;$D$4,"",IFERROR(INDEX(tblRegistros[Observação],$L82),"")))</f>
        <v/>
      </c>
      <c r="L82" s="16" t="str">
        <f>IFERROR(MATCH($B$3*100000+COUNTIFS(tblRegistros[ID],$B$3,tblRegistros[Data],"&lt;"&amp;$B$4)+ROWS($L$10:L82),tblRegistros[Chave do cartão],0),"")</f>
        <v/>
      </c>
    </row>
    <row r="83" spans="1:12">
      <c r="A83" s="2" t="str">
        <f>IF($L83="","",IF(INDEX(tblRegistros[Data],$L83)&gt;$D$4,"",IFERROR(INDEX(tblRegistros[Data],$L83),"")))</f>
        <v/>
      </c>
      <c r="B83" t="str">
        <f>IF($L83="","",IF(INDEX(tblRegistros[Data],$L83)&gt;$D$4,"",IFERROR(INDEX(tblRegistros[Projeto],$L83),"")))</f>
        <v/>
      </c>
      <c r="C83" t="str">
        <f>IF($L83="","",IF(INDEX(tblRegistros[Data],$L83)&gt;$D$4,"",IFERROR(INDEX(tblRegistros[Atividade],$L83),"")))</f>
        <v/>
      </c>
      <c r="D83" s="4" t="str">
        <f>IF($L83="","",IF(INDEX(tblRegistros[Data],$L83)&gt;$D$4,"",IFERROR(INDEX(tblRegistros[Início],$L83),"")))</f>
        <v/>
      </c>
      <c r="E83" s="4" t="str">
        <f>IF($L83="","",IF(INDEX(tblRegistros[Data],$L83)&gt;$D$4,"",IFERROR(IF(INDEX(tblRegistros[Status],$L83)="EM ABERTO","",INDEX(tblRegistros[Fim],$L83)),"")))</f>
        <v/>
      </c>
      <c r="F83" s="14" t="str">
        <f>IF($L83="","",IF(INDEX(tblRegistros[Data],$L83)&gt;$D$4,"",IFERROR(IF(INDEX(tblRegistros[Status],$L83)="EM ABERTO","",INDEX(tblRegistros[Horas],$L83)),"")))</f>
        <v/>
      </c>
      <c r="G83" t="str">
        <f>IF($L83="","",IF(INDEX(tblRegistros[Data],$L83)&gt;$D$4,"",IFERROR(INDEX(tblRegistros[Base],$L83),"")))</f>
        <v/>
      </c>
      <c r="H83" s="3" t="str">
        <f>IF($L83="","",IF(INDEX(tblRegistros[Data],$L83)&gt;$D$4,"",IFERROR(INDEX(tblRegistros[Taxa aplicada],$L83),"")))</f>
        <v/>
      </c>
      <c r="I83" s="3" t="str">
        <f>IF($L83="","",IF(INDEX(tblRegistros[Data],$L83)&gt;$D$4,"",IFERROR(IF(INDEX(tblRegistros[Status],$L83)="EM ABERTO","",INDEX(tblRegistros[Valor],$L83)),"")))</f>
        <v/>
      </c>
      <c r="J83" t="str">
        <f>IF($L83="","",IF(INDEX(tblRegistros[Data],$L83)&gt;$D$4,"",IFERROR(INDEX(tblRegistros[Status],$L83),"")))</f>
        <v/>
      </c>
      <c r="K83" t="str">
        <f>IF($L83="","",IF(INDEX(tblRegistros[Data],$L83)&gt;$D$4,"",IFERROR(INDEX(tblRegistros[Observação],$L83),"")))</f>
        <v/>
      </c>
      <c r="L83" s="16" t="str">
        <f>IFERROR(MATCH($B$3*100000+COUNTIFS(tblRegistros[ID],$B$3,tblRegistros[Data],"&lt;"&amp;$B$4)+ROWS($L$10:L83),tblRegistros[Chave do cartão],0),"")</f>
        <v/>
      </c>
    </row>
    <row r="84" spans="1:12">
      <c r="A84" s="2" t="str">
        <f>IF($L84="","",IF(INDEX(tblRegistros[Data],$L84)&gt;$D$4,"",IFERROR(INDEX(tblRegistros[Data],$L84),"")))</f>
        <v/>
      </c>
      <c r="B84" t="str">
        <f>IF($L84="","",IF(INDEX(tblRegistros[Data],$L84)&gt;$D$4,"",IFERROR(INDEX(tblRegistros[Projeto],$L84),"")))</f>
        <v/>
      </c>
      <c r="C84" t="str">
        <f>IF($L84="","",IF(INDEX(tblRegistros[Data],$L84)&gt;$D$4,"",IFERROR(INDEX(tblRegistros[Atividade],$L84),"")))</f>
        <v/>
      </c>
      <c r="D84" s="4" t="str">
        <f>IF($L84="","",IF(INDEX(tblRegistros[Data],$L84)&gt;$D$4,"",IFERROR(INDEX(tblRegistros[Início],$L84),"")))</f>
        <v/>
      </c>
      <c r="E84" s="4" t="str">
        <f>IF($L84="","",IF(INDEX(tblRegistros[Data],$L84)&gt;$D$4,"",IFERROR(IF(INDEX(tblRegistros[Status],$L84)="EM ABERTO","",INDEX(tblRegistros[Fim],$L84)),"")))</f>
        <v/>
      </c>
      <c r="F84" s="14" t="str">
        <f>IF($L84="","",IF(INDEX(tblRegistros[Data],$L84)&gt;$D$4,"",IFERROR(IF(INDEX(tblRegistros[Status],$L84)="EM ABERTO","",INDEX(tblRegistros[Horas],$L84)),"")))</f>
        <v/>
      </c>
      <c r="G84" t="str">
        <f>IF($L84="","",IF(INDEX(tblRegistros[Data],$L84)&gt;$D$4,"",IFERROR(INDEX(tblRegistros[Base],$L84),"")))</f>
        <v/>
      </c>
      <c r="H84" s="3" t="str">
        <f>IF($L84="","",IF(INDEX(tblRegistros[Data],$L84)&gt;$D$4,"",IFERROR(INDEX(tblRegistros[Taxa aplicada],$L84),"")))</f>
        <v/>
      </c>
      <c r="I84" s="3" t="str">
        <f>IF($L84="","",IF(INDEX(tblRegistros[Data],$L84)&gt;$D$4,"",IFERROR(IF(INDEX(tblRegistros[Status],$L84)="EM ABERTO","",INDEX(tblRegistros[Valor],$L84)),"")))</f>
        <v/>
      </c>
      <c r="J84" t="str">
        <f>IF($L84="","",IF(INDEX(tblRegistros[Data],$L84)&gt;$D$4,"",IFERROR(INDEX(tblRegistros[Status],$L84),"")))</f>
        <v/>
      </c>
      <c r="K84" t="str">
        <f>IF($L84="","",IF(INDEX(tblRegistros[Data],$L84)&gt;$D$4,"",IFERROR(INDEX(tblRegistros[Observação],$L84),"")))</f>
        <v/>
      </c>
      <c r="L84" s="16" t="str">
        <f>IFERROR(MATCH($B$3*100000+COUNTIFS(tblRegistros[ID],$B$3,tblRegistros[Data],"&lt;"&amp;$B$4)+ROWS($L$10:L84),tblRegistros[Chave do cartão],0),"")</f>
        <v/>
      </c>
    </row>
    <row r="85" spans="1:12">
      <c r="A85" s="2" t="str">
        <f>IF($L85="","",IF(INDEX(tblRegistros[Data],$L85)&gt;$D$4,"",IFERROR(INDEX(tblRegistros[Data],$L85),"")))</f>
        <v/>
      </c>
      <c r="B85" t="str">
        <f>IF($L85="","",IF(INDEX(tblRegistros[Data],$L85)&gt;$D$4,"",IFERROR(INDEX(tblRegistros[Projeto],$L85),"")))</f>
        <v/>
      </c>
      <c r="C85" t="str">
        <f>IF($L85="","",IF(INDEX(tblRegistros[Data],$L85)&gt;$D$4,"",IFERROR(INDEX(tblRegistros[Atividade],$L85),"")))</f>
        <v/>
      </c>
      <c r="D85" s="4" t="str">
        <f>IF($L85="","",IF(INDEX(tblRegistros[Data],$L85)&gt;$D$4,"",IFERROR(INDEX(tblRegistros[Início],$L85),"")))</f>
        <v/>
      </c>
      <c r="E85" s="4" t="str">
        <f>IF($L85="","",IF(INDEX(tblRegistros[Data],$L85)&gt;$D$4,"",IFERROR(IF(INDEX(tblRegistros[Status],$L85)="EM ABERTO","",INDEX(tblRegistros[Fim],$L85)),"")))</f>
        <v/>
      </c>
      <c r="F85" s="14" t="str">
        <f>IF($L85="","",IF(INDEX(tblRegistros[Data],$L85)&gt;$D$4,"",IFERROR(IF(INDEX(tblRegistros[Status],$L85)="EM ABERTO","",INDEX(tblRegistros[Horas],$L85)),"")))</f>
        <v/>
      </c>
      <c r="G85" t="str">
        <f>IF($L85="","",IF(INDEX(tblRegistros[Data],$L85)&gt;$D$4,"",IFERROR(INDEX(tblRegistros[Base],$L85),"")))</f>
        <v/>
      </c>
      <c r="H85" s="3" t="str">
        <f>IF($L85="","",IF(INDEX(tblRegistros[Data],$L85)&gt;$D$4,"",IFERROR(INDEX(tblRegistros[Taxa aplicada],$L85),"")))</f>
        <v/>
      </c>
      <c r="I85" s="3" t="str">
        <f>IF($L85="","",IF(INDEX(tblRegistros[Data],$L85)&gt;$D$4,"",IFERROR(IF(INDEX(tblRegistros[Status],$L85)="EM ABERTO","",INDEX(tblRegistros[Valor],$L85)),"")))</f>
        <v/>
      </c>
      <c r="J85" t="str">
        <f>IF($L85="","",IF(INDEX(tblRegistros[Data],$L85)&gt;$D$4,"",IFERROR(INDEX(tblRegistros[Status],$L85),"")))</f>
        <v/>
      </c>
      <c r="K85" t="str">
        <f>IF($L85="","",IF(INDEX(tblRegistros[Data],$L85)&gt;$D$4,"",IFERROR(INDEX(tblRegistros[Observação],$L85),"")))</f>
        <v/>
      </c>
      <c r="L85" s="16" t="str">
        <f>IFERROR(MATCH($B$3*100000+COUNTIFS(tblRegistros[ID],$B$3,tblRegistros[Data],"&lt;"&amp;$B$4)+ROWS($L$10:L85),tblRegistros[Chave do cartão],0),"")</f>
        <v/>
      </c>
    </row>
    <row r="86" spans="1:12">
      <c r="A86" s="2" t="str">
        <f>IF($L86="","",IF(INDEX(tblRegistros[Data],$L86)&gt;$D$4,"",IFERROR(INDEX(tblRegistros[Data],$L86),"")))</f>
        <v/>
      </c>
      <c r="B86" t="str">
        <f>IF($L86="","",IF(INDEX(tblRegistros[Data],$L86)&gt;$D$4,"",IFERROR(INDEX(tblRegistros[Projeto],$L86),"")))</f>
        <v/>
      </c>
      <c r="C86" t="str">
        <f>IF($L86="","",IF(INDEX(tblRegistros[Data],$L86)&gt;$D$4,"",IFERROR(INDEX(tblRegistros[Atividade],$L86),"")))</f>
        <v/>
      </c>
      <c r="D86" s="4" t="str">
        <f>IF($L86="","",IF(INDEX(tblRegistros[Data],$L86)&gt;$D$4,"",IFERROR(INDEX(tblRegistros[Início],$L86),"")))</f>
        <v/>
      </c>
      <c r="E86" s="4" t="str">
        <f>IF($L86="","",IF(INDEX(tblRegistros[Data],$L86)&gt;$D$4,"",IFERROR(IF(INDEX(tblRegistros[Status],$L86)="EM ABERTO","",INDEX(tblRegistros[Fim],$L86)),"")))</f>
        <v/>
      </c>
      <c r="F86" s="14" t="str">
        <f>IF($L86="","",IF(INDEX(tblRegistros[Data],$L86)&gt;$D$4,"",IFERROR(IF(INDEX(tblRegistros[Status],$L86)="EM ABERTO","",INDEX(tblRegistros[Horas],$L86)),"")))</f>
        <v/>
      </c>
      <c r="G86" t="str">
        <f>IF($L86="","",IF(INDEX(tblRegistros[Data],$L86)&gt;$D$4,"",IFERROR(INDEX(tblRegistros[Base],$L86),"")))</f>
        <v/>
      </c>
      <c r="H86" s="3" t="str">
        <f>IF($L86="","",IF(INDEX(tblRegistros[Data],$L86)&gt;$D$4,"",IFERROR(INDEX(tblRegistros[Taxa aplicada],$L86),"")))</f>
        <v/>
      </c>
      <c r="I86" s="3" t="str">
        <f>IF($L86="","",IF(INDEX(tblRegistros[Data],$L86)&gt;$D$4,"",IFERROR(IF(INDEX(tblRegistros[Status],$L86)="EM ABERTO","",INDEX(tblRegistros[Valor],$L86)),"")))</f>
        <v/>
      </c>
      <c r="J86" t="str">
        <f>IF($L86="","",IF(INDEX(tblRegistros[Data],$L86)&gt;$D$4,"",IFERROR(INDEX(tblRegistros[Status],$L86),"")))</f>
        <v/>
      </c>
      <c r="K86" t="str">
        <f>IF($L86="","",IF(INDEX(tblRegistros[Data],$L86)&gt;$D$4,"",IFERROR(INDEX(tblRegistros[Observação],$L86),"")))</f>
        <v/>
      </c>
      <c r="L86" s="16" t="str">
        <f>IFERROR(MATCH($B$3*100000+COUNTIFS(tblRegistros[ID],$B$3,tblRegistros[Data],"&lt;"&amp;$B$4)+ROWS($L$10:L86),tblRegistros[Chave do cartão],0),"")</f>
        <v/>
      </c>
    </row>
    <row r="87" spans="1:12">
      <c r="A87" s="2" t="str">
        <f>IF($L87="","",IF(INDEX(tblRegistros[Data],$L87)&gt;$D$4,"",IFERROR(INDEX(tblRegistros[Data],$L87),"")))</f>
        <v/>
      </c>
      <c r="B87" t="str">
        <f>IF($L87="","",IF(INDEX(tblRegistros[Data],$L87)&gt;$D$4,"",IFERROR(INDEX(tblRegistros[Projeto],$L87),"")))</f>
        <v/>
      </c>
      <c r="C87" t="str">
        <f>IF($L87="","",IF(INDEX(tblRegistros[Data],$L87)&gt;$D$4,"",IFERROR(INDEX(tblRegistros[Atividade],$L87),"")))</f>
        <v/>
      </c>
      <c r="D87" s="4" t="str">
        <f>IF($L87="","",IF(INDEX(tblRegistros[Data],$L87)&gt;$D$4,"",IFERROR(INDEX(tblRegistros[Início],$L87),"")))</f>
        <v/>
      </c>
      <c r="E87" s="4" t="str">
        <f>IF($L87="","",IF(INDEX(tblRegistros[Data],$L87)&gt;$D$4,"",IFERROR(IF(INDEX(tblRegistros[Status],$L87)="EM ABERTO","",INDEX(tblRegistros[Fim],$L87)),"")))</f>
        <v/>
      </c>
      <c r="F87" s="14" t="str">
        <f>IF($L87="","",IF(INDEX(tblRegistros[Data],$L87)&gt;$D$4,"",IFERROR(IF(INDEX(tblRegistros[Status],$L87)="EM ABERTO","",INDEX(tblRegistros[Horas],$L87)),"")))</f>
        <v/>
      </c>
      <c r="G87" t="str">
        <f>IF($L87="","",IF(INDEX(tblRegistros[Data],$L87)&gt;$D$4,"",IFERROR(INDEX(tblRegistros[Base],$L87),"")))</f>
        <v/>
      </c>
      <c r="H87" s="3" t="str">
        <f>IF($L87="","",IF(INDEX(tblRegistros[Data],$L87)&gt;$D$4,"",IFERROR(INDEX(tblRegistros[Taxa aplicada],$L87),"")))</f>
        <v/>
      </c>
      <c r="I87" s="3" t="str">
        <f>IF($L87="","",IF(INDEX(tblRegistros[Data],$L87)&gt;$D$4,"",IFERROR(IF(INDEX(tblRegistros[Status],$L87)="EM ABERTO","",INDEX(tblRegistros[Valor],$L87)),"")))</f>
        <v/>
      </c>
      <c r="J87" t="str">
        <f>IF($L87="","",IF(INDEX(tblRegistros[Data],$L87)&gt;$D$4,"",IFERROR(INDEX(tblRegistros[Status],$L87),"")))</f>
        <v/>
      </c>
      <c r="K87" t="str">
        <f>IF($L87="","",IF(INDEX(tblRegistros[Data],$L87)&gt;$D$4,"",IFERROR(INDEX(tblRegistros[Observação],$L87),"")))</f>
        <v/>
      </c>
      <c r="L87" s="16" t="str">
        <f>IFERROR(MATCH($B$3*100000+COUNTIFS(tblRegistros[ID],$B$3,tblRegistros[Data],"&lt;"&amp;$B$4)+ROWS($L$10:L87),tblRegistros[Chave do cartão],0),"")</f>
        <v/>
      </c>
    </row>
    <row r="88" spans="1:12">
      <c r="A88" s="2" t="str">
        <f>IF($L88="","",IF(INDEX(tblRegistros[Data],$L88)&gt;$D$4,"",IFERROR(INDEX(tblRegistros[Data],$L88),"")))</f>
        <v/>
      </c>
      <c r="B88" t="str">
        <f>IF($L88="","",IF(INDEX(tblRegistros[Data],$L88)&gt;$D$4,"",IFERROR(INDEX(tblRegistros[Projeto],$L88),"")))</f>
        <v/>
      </c>
      <c r="C88" t="str">
        <f>IF($L88="","",IF(INDEX(tblRegistros[Data],$L88)&gt;$D$4,"",IFERROR(INDEX(tblRegistros[Atividade],$L88),"")))</f>
        <v/>
      </c>
      <c r="D88" s="4" t="str">
        <f>IF($L88="","",IF(INDEX(tblRegistros[Data],$L88)&gt;$D$4,"",IFERROR(INDEX(tblRegistros[Início],$L88),"")))</f>
        <v/>
      </c>
      <c r="E88" s="4" t="str">
        <f>IF($L88="","",IF(INDEX(tblRegistros[Data],$L88)&gt;$D$4,"",IFERROR(IF(INDEX(tblRegistros[Status],$L88)="EM ABERTO","",INDEX(tblRegistros[Fim],$L88)),"")))</f>
        <v/>
      </c>
      <c r="F88" s="14" t="str">
        <f>IF($L88="","",IF(INDEX(tblRegistros[Data],$L88)&gt;$D$4,"",IFERROR(IF(INDEX(tblRegistros[Status],$L88)="EM ABERTO","",INDEX(tblRegistros[Horas],$L88)),"")))</f>
        <v/>
      </c>
      <c r="G88" t="str">
        <f>IF($L88="","",IF(INDEX(tblRegistros[Data],$L88)&gt;$D$4,"",IFERROR(INDEX(tblRegistros[Base],$L88),"")))</f>
        <v/>
      </c>
      <c r="H88" s="3" t="str">
        <f>IF($L88="","",IF(INDEX(tblRegistros[Data],$L88)&gt;$D$4,"",IFERROR(INDEX(tblRegistros[Taxa aplicada],$L88),"")))</f>
        <v/>
      </c>
      <c r="I88" s="3" t="str">
        <f>IF($L88="","",IF(INDEX(tblRegistros[Data],$L88)&gt;$D$4,"",IFERROR(IF(INDEX(tblRegistros[Status],$L88)="EM ABERTO","",INDEX(tblRegistros[Valor],$L88)),"")))</f>
        <v/>
      </c>
      <c r="J88" t="str">
        <f>IF($L88="","",IF(INDEX(tblRegistros[Data],$L88)&gt;$D$4,"",IFERROR(INDEX(tblRegistros[Status],$L88),"")))</f>
        <v/>
      </c>
      <c r="K88" t="str">
        <f>IF($L88="","",IF(INDEX(tblRegistros[Data],$L88)&gt;$D$4,"",IFERROR(INDEX(tblRegistros[Observação],$L88),"")))</f>
        <v/>
      </c>
      <c r="L88" s="16" t="str">
        <f>IFERROR(MATCH($B$3*100000+COUNTIFS(tblRegistros[ID],$B$3,tblRegistros[Data],"&lt;"&amp;$B$4)+ROWS($L$10:L88),tblRegistros[Chave do cartão],0),"")</f>
        <v/>
      </c>
    </row>
    <row r="89" spans="1:12">
      <c r="A89" s="2" t="str">
        <f>IF($L89="","",IF(INDEX(tblRegistros[Data],$L89)&gt;$D$4,"",IFERROR(INDEX(tblRegistros[Data],$L89),"")))</f>
        <v/>
      </c>
      <c r="B89" t="str">
        <f>IF($L89="","",IF(INDEX(tblRegistros[Data],$L89)&gt;$D$4,"",IFERROR(INDEX(tblRegistros[Projeto],$L89),"")))</f>
        <v/>
      </c>
      <c r="C89" t="str">
        <f>IF($L89="","",IF(INDEX(tblRegistros[Data],$L89)&gt;$D$4,"",IFERROR(INDEX(tblRegistros[Atividade],$L89),"")))</f>
        <v/>
      </c>
      <c r="D89" s="4" t="str">
        <f>IF($L89="","",IF(INDEX(tblRegistros[Data],$L89)&gt;$D$4,"",IFERROR(INDEX(tblRegistros[Início],$L89),"")))</f>
        <v/>
      </c>
      <c r="E89" s="4" t="str">
        <f>IF($L89="","",IF(INDEX(tblRegistros[Data],$L89)&gt;$D$4,"",IFERROR(IF(INDEX(tblRegistros[Status],$L89)="EM ABERTO","",INDEX(tblRegistros[Fim],$L89)),"")))</f>
        <v/>
      </c>
      <c r="F89" s="14" t="str">
        <f>IF($L89="","",IF(INDEX(tblRegistros[Data],$L89)&gt;$D$4,"",IFERROR(IF(INDEX(tblRegistros[Status],$L89)="EM ABERTO","",INDEX(tblRegistros[Horas],$L89)),"")))</f>
        <v/>
      </c>
      <c r="G89" t="str">
        <f>IF($L89="","",IF(INDEX(tblRegistros[Data],$L89)&gt;$D$4,"",IFERROR(INDEX(tblRegistros[Base],$L89),"")))</f>
        <v/>
      </c>
      <c r="H89" s="3" t="str">
        <f>IF($L89="","",IF(INDEX(tblRegistros[Data],$L89)&gt;$D$4,"",IFERROR(INDEX(tblRegistros[Taxa aplicada],$L89),"")))</f>
        <v/>
      </c>
      <c r="I89" s="3" t="str">
        <f>IF($L89="","",IF(INDEX(tblRegistros[Data],$L89)&gt;$D$4,"",IFERROR(IF(INDEX(tblRegistros[Status],$L89)="EM ABERTO","",INDEX(tblRegistros[Valor],$L89)),"")))</f>
        <v/>
      </c>
      <c r="J89" t="str">
        <f>IF($L89="","",IF(INDEX(tblRegistros[Data],$L89)&gt;$D$4,"",IFERROR(INDEX(tblRegistros[Status],$L89),"")))</f>
        <v/>
      </c>
      <c r="K89" t="str">
        <f>IF($L89="","",IF(INDEX(tblRegistros[Data],$L89)&gt;$D$4,"",IFERROR(INDEX(tblRegistros[Observação],$L89),"")))</f>
        <v/>
      </c>
      <c r="L89" s="16" t="str">
        <f>IFERROR(MATCH($B$3*100000+COUNTIFS(tblRegistros[ID],$B$3,tblRegistros[Data],"&lt;"&amp;$B$4)+ROWS($L$10:L89),tblRegistros[Chave do cartão],0),"")</f>
        <v/>
      </c>
    </row>
    <row r="90" spans="1:12">
      <c r="A90" s="2" t="str">
        <f>IF($L90="","",IF(INDEX(tblRegistros[Data],$L90)&gt;$D$4,"",IFERROR(INDEX(tblRegistros[Data],$L90),"")))</f>
        <v/>
      </c>
      <c r="B90" t="str">
        <f>IF($L90="","",IF(INDEX(tblRegistros[Data],$L90)&gt;$D$4,"",IFERROR(INDEX(tblRegistros[Projeto],$L90),"")))</f>
        <v/>
      </c>
      <c r="C90" t="str">
        <f>IF($L90="","",IF(INDEX(tblRegistros[Data],$L90)&gt;$D$4,"",IFERROR(INDEX(tblRegistros[Atividade],$L90),"")))</f>
        <v/>
      </c>
      <c r="D90" s="4" t="str">
        <f>IF($L90="","",IF(INDEX(tblRegistros[Data],$L90)&gt;$D$4,"",IFERROR(INDEX(tblRegistros[Início],$L90),"")))</f>
        <v/>
      </c>
      <c r="E90" s="4" t="str">
        <f>IF($L90="","",IF(INDEX(tblRegistros[Data],$L90)&gt;$D$4,"",IFERROR(IF(INDEX(tblRegistros[Status],$L90)="EM ABERTO","",INDEX(tblRegistros[Fim],$L90)),"")))</f>
        <v/>
      </c>
      <c r="F90" s="14" t="str">
        <f>IF($L90="","",IF(INDEX(tblRegistros[Data],$L90)&gt;$D$4,"",IFERROR(IF(INDEX(tblRegistros[Status],$L90)="EM ABERTO","",INDEX(tblRegistros[Horas],$L90)),"")))</f>
        <v/>
      </c>
      <c r="G90" t="str">
        <f>IF($L90="","",IF(INDEX(tblRegistros[Data],$L90)&gt;$D$4,"",IFERROR(INDEX(tblRegistros[Base],$L90),"")))</f>
        <v/>
      </c>
      <c r="H90" s="3" t="str">
        <f>IF($L90="","",IF(INDEX(tblRegistros[Data],$L90)&gt;$D$4,"",IFERROR(INDEX(tblRegistros[Taxa aplicada],$L90),"")))</f>
        <v/>
      </c>
      <c r="I90" s="3" t="str">
        <f>IF($L90="","",IF(INDEX(tblRegistros[Data],$L90)&gt;$D$4,"",IFERROR(IF(INDEX(tblRegistros[Status],$L90)="EM ABERTO","",INDEX(tblRegistros[Valor],$L90)),"")))</f>
        <v/>
      </c>
      <c r="J90" t="str">
        <f>IF($L90="","",IF(INDEX(tblRegistros[Data],$L90)&gt;$D$4,"",IFERROR(INDEX(tblRegistros[Status],$L90),"")))</f>
        <v/>
      </c>
      <c r="K90" t="str">
        <f>IF($L90="","",IF(INDEX(tblRegistros[Data],$L90)&gt;$D$4,"",IFERROR(INDEX(tblRegistros[Observação],$L90),"")))</f>
        <v/>
      </c>
      <c r="L90" s="16" t="str">
        <f>IFERROR(MATCH($B$3*100000+COUNTIFS(tblRegistros[ID],$B$3,tblRegistros[Data],"&lt;"&amp;$B$4)+ROWS($L$10:L90),tblRegistros[Chave do cartão],0),"")</f>
        <v/>
      </c>
    </row>
    <row r="91" spans="1:12">
      <c r="A91" s="2" t="str">
        <f>IF($L91="","",IF(INDEX(tblRegistros[Data],$L91)&gt;$D$4,"",IFERROR(INDEX(tblRegistros[Data],$L91),"")))</f>
        <v/>
      </c>
      <c r="B91" t="str">
        <f>IF($L91="","",IF(INDEX(tblRegistros[Data],$L91)&gt;$D$4,"",IFERROR(INDEX(tblRegistros[Projeto],$L91),"")))</f>
        <v/>
      </c>
      <c r="C91" t="str">
        <f>IF($L91="","",IF(INDEX(tblRegistros[Data],$L91)&gt;$D$4,"",IFERROR(INDEX(tblRegistros[Atividade],$L91),"")))</f>
        <v/>
      </c>
      <c r="D91" s="4" t="str">
        <f>IF($L91="","",IF(INDEX(tblRegistros[Data],$L91)&gt;$D$4,"",IFERROR(INDEX(tblRegistros[Início],$L91),"")))</f>
        <v/>
      </c>
      <c r="E91" s="4" t="str">
        <f>IF($L91="","",IF(INDEX(tblRegistros[Data],$L91)&gt;$D$4,"",IFERROR(IF(INDEX(tblRegistros[Status],$L91)="EM ABERTO","",INDEX(tblRegistros[Fim],$L91)),"")))</f>
        <v/>
      </c>
      <c r="F91" s="14" t="str">
        <f>IF($L91="","",IF(INDEX(tblRegistros[Data],$L91)&gt;$D$4,"",IFERROR(IF(INDEX(tblRegistros[Status],$L91)="EM ABERTO","",INDEX(tblRegistros[Horas],$L91)),"")))</f>
        <v/>
      </c>
      <c r="G91" t="str">
        <f>IF($L91="","",IF(INDEX(tblRegistros[Data],$L91)&gt;$D$4,"",IFERROR(INDEX(tblRegistros[Base],$L91),"")))</f>
        <v/>
      </c>
      <c r="H91" s="3" t="str">
        <f>IF($L91="","",IF(INDEX(tblRegistros[Data],$L91)&gt;$D$4,"",IFERROR(INDEX(tblRegistros[Taxa aplicada],$L91),"")))</f>
        <v/>
      </c>
      <c r="I91" s="3" t="str">
        <f>IF($L91="","",IF(INDEX(tblRegistros[Data],$L91)&gt;$D$4,"",IFERROR(IF(INDEX(tblRegistros[Status],$L91)="EM ABERTO","",INDEX(tblRegistros[Valor],$L91)),"")))</f>
        <v/>
      </c>
      <c r="J91" t="str">
        <f>IF($L91="","",IF(INDEX(tblRegistros[Data],$L91)&gt;$D$4,"",IFERROR(INDEX(tblRegistros[Status],$L91),"")))</f>
        <v/>
      </c>
      <c r="K91" t="str">
        <f>IF($L91="","",IF(INDEX(tblRegistros[Data],$L91)&gt;$D$4,"",IFERROR(INDEX(tblRegistros[Observação],$L91),"")))</f>
        <v/>
      </c>
      <c r="L91" s="16" t="str">
        <f>IFERROR(MATCH($B$3*100000+COUNTIFS(tblRegistros[ID],$B$3,tblRegistros[Data],"&lt;"&amp;$B$4)+ROWS($L$10:L91),tblRegistros[Chave do cartão],0),"")</f>
        <v/>
      </c>
    </row>
    <row r="92" spans="1:12">
      <c r="A92" s="2" t="str">
        <f>IF($L92="","",IF(INDEX(tblRegistros[Data],$L92)&gt;$D$4,"",IFERROR(INDEX(tblRegistros[Data],$L92),"")))</f>
        <v/>
      </c>
      <c r="B92" t="str">
        <f>IF($L92="","",IF(INDEX(tblRegistros[Data],$L92)&gt;$D$4,"",IFERROR(INDEX(tblRegistros[Projeto],$L92),"")))</f>
        <v/>
      </c>
      <c r="C92" t="str">
        <f>IF($L92="","",IF(INDEX(tblRegistros[Data],$L92)&gt;$D$4,"",IFERROR(INDEX(tblRegistros[Atividade],$L92),"")))</f>
        <v/>
      </c>
      <c r="D92" s="4" t="str">
        <f>IF($L92="","",IF(INDEX(tblRegistros[Data],$L92)&gt;$D$4,"",IFERROR(INDEX(tblRegistros[Início],$L92),"")))</f>
        <v/>
      </c>
      <c r="E92" s="4" t="str">
        <f>IF($L92="","",IF(INDEX(tblRegistros[Data],$L92)&gt;$D$4,"",IFERROR(IF(INDEX(tblRegistros[Status],$L92)="EM ABERTO","",INDEX(tblRegistros[Fim],$L92)),"")))</f>
        <v/>
      </c>
      <c r="F92" s="14" t="str">
        <f>IF($L92="","",IF(INDEX(tblRegistros[Data],$L92)&gt;$D$4,"",IFERROR(IF(INDEX(tblRegistros[Status],$L92)="EM ABERTO","",INDEX(tblRegistros[Horas],$L92)),"")))</f>
        <v/>
      </c>
      <c r="G92" t="str">
        <f>IF($L92="","",IF(INDEX(tblRegistros[Data],$L92)&gt;$D$4,"",IFERROR(INDEX(tblRegistros[Base],$L92),"")))</f>
        <v/>
      </c>
      <c r="H92" s="3" t="str">
        <f>IF($L92="","",IF(INDEX(tblRegistros[Data],$L92)&gt;$D$4,"",IFERROR(INDEX(tblRegistros[Taxa aplicada],$L92),"")))</f>
        <v/>
      </c>
      <c r="I92" s="3" t="str">
        <f>IF($L92="","",IF(INDEX(tblRegistros[Data],$L92)&gt;$D$4,"",IFERROR(IF(INDEX(tblRegistros[Status],$L92)="EM ABERTO","",INDEX(tblRegistros[Valor],$L92)),"")))</f>
        <v/>
      </c>
      <c r="J92" t="str">
        <f>IF($L92="","",IF(INDEX(tblRegistros[Data],$L92)&gt;$D$4,"",IFERROR(INDEX(tblRegistros[Status],$L92),"")))</f>
        <v/>
      </c>
      <c r="K92" t="str">
        <f>IF($L92="","",IF(INDEX(tblRegistros[Data],$L92)&gt;$D$4,"",IFERROR(INDEX(tblRegistros[Observação],$L92),"")))</f>
        <v/>
      </c>
      <c r="L92" s="16" t="str">
        <f>IFERROR(MATCH($B$3*100000+COUNTIFS(tblRegistros[ID],$B$3,tblRegistros[Data],"&lt;"&amp;$B$4)+ROWS($L$10:L92),tblRegistros[Chave do cartão],0),"")</f>
        <v/>
      </c>
    </row>
    <row r="93" spans="1:12">
      <c r="A93" s="2" t="str">
        <f>IF($L93="","",IF(INDEX(tblRegistros[Data],$L93)&gt;$D$4,"",IFERROR(INDEX(tblRegistros[Data],$L93),"")))</f>
        <v/>
      </c>
      <c r="B93" t="str">
        <f>IF($L93="","",IF(INDEX(tblRegistros[Data],$L93)&gt;$D$4,"",IFERROR(INDEX(tblRegistros[Projeto],$L93),"")))</f>
        <v/>
      </c>
      <c r="C93" t="str">
        <f>IF($L93="","",IF(INDEX(tblRegistros[Data],$L93)&gt;$D$4,"",IFERROR(INDEX(tblRegistros[Atividade],$L93),"")))</f>
        <v/>
      </c>
      <c r="D93" s="4" t="str">
        <f>IF($L93="","",IF(INDEX(tblRegistros[Data],$L93)&gt;$D$4,"",IFERROR(INDEX(tblRegistros[Início],$L93),"")))</f>
        <v/>
      </c>
      <c r="E93" s="4" t="str">
        <f>IF($L93="","",IF(INDEX(tblRegistros[Data],$L93)&gt;$D$4,"",IFERROR(IF(INDEX(tblRegistros[Status],$L93)="EM ABERTO","",INDEX(tblRegistros[Fim],$L93)),"")))</f>
        <v/>
      </c>
      <c r="F93" s="14" t="str">
        <f>IF($L93="","",IF(INDEX(tblRegistros[Data],$L93)&gt;$D$4,"",IFERROR(IF(INDEX(tblRegistros[Status],$L93)="EM ABERTO","",INDEX(tblRegistros[Horas],$L93)),"")))</f>
        <v/>
      </c>
      <c r="G93" t="str">
        <f>IF($L93="","",IF(INDEX(tblRegistros[Data],$L93)&gt;$D$4,"",IFERROR(INDEX(tblRegistros[Base],$L93),"")))</f>
        <v/>
      </c>
      <c r="H93" s="3" t="str">
        <f>IF($L93="","",IF(INDEX(tblRegistros[Data],$L93)&gt;$D$4,"",IFERROR(INDEX(tblRegistros[Taxa aplicada],$L93),"")))</f>
        <v/>
      </c>
      <c r="I93" s="3" t="str">
        <f>IF($L93="","",IF(INDEX(tblRegistros[Data],$L93)&gt;$D$4,"",IFERROR(IF(INDEX(tblRegistros[Status],$L93)="EM ABERTO","",INDEX(tblRegistros[Valor],$L93)),"")))</f>
        <v/>
      </c>
      <c r="J93" t="str">
        <f>IF($L93="","",IF(INDEX(tblRegistros[Data],$L93)&gt;$D$4,"",IFERROR(INDEX(tblRegistros[Status],$L93),"")))</f>
        <v/>
      </c>
      <c r="K93" t="str">
        <f>IF($L93="","",IF(INDEX(tblRegistros[Data],$L93)&gt;$D$4,"",IFERROR(INDEX(tblRegistros[Observação],$L93),"")))</f>
        <v/>
      </c>
      <c r="L93" s="16" t="str">
        <f>IFERROR(MATCH($B$3*100000+COUNTIFS(tblRegistros[ID],$B$3,tblRegistros[Data],"&lt;"&amp;$B$4)+ROWS($L$10:L93),tblRegistros[Chave do cartão],0),"")</f>
        <v/>
      </c>
    </row>
    <row r="94" spans="1:12">
      <c r="A94" s="2" t="str">
        <f>IF($L94="","",IF(INDEX(tblRegistros[Data],$L94)&gt;$D$4,"",IFERROR(INDEX(tblRegistros[Data],$L94),"")))</f>
        <v/>
      </c>
      <c r="B94" t="str">
        <f>IF($L94="","",IF(INDEX(tblRegistros[Data],$L94)&gt;$D$4,"",IFERROR(INDEX(tblRegistros[Projeto],$L94),"")))</f>
        <v/>
      </c>
      <c r="C94" t="str">
        <f>IF($L94="","",IF(INDEX(tblRegistros[Data],$L94)&gt;$D$4,"",IFERROR(INDEX(tblRegistros[Atividade],$L94),"")))</f>
        <v/>
      </c>
      <c r="D94" s="4" t="str">
        <f>IF($L94="","",IF(INDEX(tblRegistros[Data],$L94)&gt;$D$4,"",IFERROR(INDEX(tblRegistros[Início],$L94),"")))</f>
        <v/>
      </c>
      <c r="E94" s="4" t="str">
        <f>IF($L94="","",IF(INDEX(tblRegistros[Data],$L94)&gt;$D$4,"",IFERROR(IF(INDEX(tblRegistros[Status],$L94)="EM ABERTO","",INDEX(tblRegistros[Fim],$L94)),"")))</f>
        <v/>
      </c>
      <c r="F94" s="14" t="str">
        <f>IF($L94="","",IF(INDEX(tblRegistros[Data],$L94)&gt;$D$4,"",IFERROR(IF(INDEX(tblRegistros[Status],$L94)="EM ABERTO","",INDEX(tblRegistros[Horas],$L94)),"")))</f>
        <v/>
      </c>
      <c r="G94" t="str">
        <f>IF($L94="","",IF(INDEX(tblRegistros[Data],$L94)&gt;$D$4,"",IFERROR(INDEX(tblRegistros[Base],$L94),"")))</f>
        <v/>
      </c>
      <c r="H94" s="3" t="str">
        <f>IF($L94="","",IF(INDEX(tblRegistros[Data],$L94)&gt;$D$4,"",IFERROR(INDEX(tblRegistros[Taxa aplicada],$L94),"")))</f>
        <v/>
      </c>
      <c r="I94" s="3" t="str">
        <f>IF($L94="","",IF(INDEX(tblRegistros[Data],$L94)&gt;$D$4,"",IFERROR(IF(INDEX(tblRegistros[Status],$L94)="EM ABERTO","",INDEX(tblRegistros[Valor],$L94)),"")))</f>
        <v/>
      </c>
      <c r="J94" t="str">
        <f>IF($L94="","",IF(INDEX(tblRegistros[Data],$L94)&gt;$D$4,"",IFERROR(INDEX(tblRegistros[Status],$L94),"")))</f>
        <v/>
      </c>
      <c r="K94" t="str">
        <f>IF($L94="","",IF(INDEX(tblRegistros[Data],$L94)&gt;$D$4,"",IFERROR(INDEX(tblRegistros[Observação],$L94),"")))</f>
        <v/>
      </c>
      <c r="L94" s="16" t="str">
        <f>IFERROR(MATCH($B$3*100000+COUNTIFS(tblRegistros[ID],$B$3,tblRegistros[Data],"&lt;"&amp;$B$4)+ROWS($L$10:L94),tblRegistros[Chave do cartão],0),"")</f>
        <v/>
      </c>
    </row>
    <row r="95" spans="1:12">
      <c r="A95" s="2" t="str">
        <f>IF($L95="","",IF(INDEX(tblRegistros[Data],$L95)&gt;$D$4,"",IFERROR(INDEX(tblRegistros[Data],$L95),"")))</f>
        <v/>
      </c>
      <c r="B95" t="str">
        <f>IF($L95="","",IF(INDEX(tblRegistros[Data],$L95)&gt;$D$4,"",IFERROR(INDEX(tblRegistros[Projeto],$L95),"")))</f>
        <v/>
      </c>
      <c r="C95" t="str">
        <f>IF($L95="","",IF(INDEX(tblRegistros[Data],$L95)&gt;$D$4,"",IFERROR(INDEX(tblRegistros[Atividade],$L95),"")))</f>
        <v/>
      </c>
      <c r="D95" s="4" t="str">
        <f>IF($L95="","",IF(INDEX(tblRegistros[Data],$L95)&gt;$D$4,"",IFERROR(INDEX(tblRegistros[Início],$L95),"")))</f>
        <v/>
      </c>
      <c r="E95" s="4" t="str">
        <f>IF($L95="","",IF(INDEX(tblRegistros[Data],$L95)&gt;$D$4,"",IFERROR(IF(INDEX(tblRegistros[Status],$L95)="EM ABERTO","",INDEX(tblRegistros[Fim],$L95)),"")))</f>
        <v/>
      </c>
      <c r="F95" s="14" t="str">
        <f>IF($L95="","",IF(INDEX(tblRegistros[Data],$L95)&gt;$D$4,"",IFERROR(IF(INDEX(tblRegistros[Status],$L95)="EM ABERTO","",INDEX(tblRegistros[Horas],$L95)),"")))</f>
        <v/>
      </c>
      <c r="G95" t="str">
        <f>IF($L95="","",IF(INDEX(tblRegistros[Data],$L95)&gt;$D$4,"",IFERROR(INDEX(tblRegistros[Base],$L95),"")))</f>
        <v/>
      </c>
      <c r="H95" s="3" t="str">
        <f>IF($L95="","",IF(INDEX(tblRegistros[Data],$L95)&gt;$D$4,"",IFERROR(INDEX(tblRegistros[Taxa aplicada],$L95),"")))</f>
        <v/>
      </c>
      <c r="I95" s="3" t="str">
        <f>IF($L95="","",IF(INDEX(tblRegistros[Data],$L95)&gt;$D$4,"",IFERROR(IF(INDEX(tblRegistros[Status],$L95)="EM ABERTO","",INDEX(tblRegistros[Valor],$L95)),"")))</f>
        <v/>
      </c>
      <c r="J95" t="str">
        <f>IF($L95="","",IF(INDEX(tblRegistros[Data],$L95)&gt;$D$4,"",IFERROR(INDEX(tblRegistros[Status],$L95),"")))</f>
        <v/>
      </c>
      <c r="K95" t="str">
        <f>IF($L95="","",IF(INDEX(tblRegistros[Data],$L95)&gt;$D$4,"",IFERROR(INDEX(tblRegistros[Observação],$L95),"")))</f>
        <v/>
      </c>
      <c r="L95" s="16" t="str">
        <f>IFERROR(MATCH($B$3*100000+COUNTIFS(tblRegistros[ID],$B$3,tblRegistros[Data],"&lt;"&amp;$B$4)+ROWS($L$10:L95),tblRegistros[Chave do cartão],0),"")</f>
        <v/>
      </c>
    </row>
    <row r="96" spans="1:12">
      <c r="A96" s="2" t="str">
        <f>IF($L96="","",IF(INDEX(tblRegistros[Data],$L96)&gt;$D$4,"",IFERROR(INDEX(tblRegistros[Data],$L96),"")))</f>
        <v/>
      </c>
      <c r="B96" t="str">
        <f>IF($L96="","",IF(INDEX(tblRegistros[Data],$L96)&gt;$D$4,"",IFERROR(INDEX(tblRegistros[Projeto],$L96),"")))</f>
        <v/>
      </c>
      <c r="C96" t="str">
        <f>IF($L96="","",IF(INDEX(tblRegistros[Data],$L96)&gt;$D$4,"",IFERROR(INDEX(tblRegistros[Atividade],$L96),"")))</f>
        <v/>
      </c>
      <c r="D96" s="4" t="str">
        <f>IF($L96="","",IF(INDEX(tblRegistros[Data],$L96)&gt;$D$4,"",IFERROR(INDEX(tblRegistros[Início],$L96),"")))</f>
        <v/>
      </c>
      <c r="E96" s="4" t="str">
        <f>IF($L96="","",IF(INDEX(tblRegistros[Data],$L96)&gt;$D$4,"",IFERROR(IF(INDEX(tblRegistros[Status],$L96)="EM ABERTO","",INDEX(tblRegistros[Fim],$L96)),"")))</f>
        <v/>
      </c>
      <c r="F96" s="14" t="str">
        <f>IF($L96="","",IF(INDEX(tblRegistros[Data],$L96)&gt;$D$4,"",IFERROR(IF(INDEX(tblRegistros[Status],$L96)="EM ABERTO","",INDEX(tblRegistros[Horas],$L96)),"")))</f>
        <v/>
      </c>
      <c r="G96" t="str">
        <f>IF($L96="","",IF(INDEX(tblRegistros[Data],$L96)&gt;$D$4,"",IFERROR(INDEX(tblRegistros[Base],$L96),"")))</f>
        <v/>
      </c>
      <c r="H96" s="3" t="str">
        <f>IF($L96="","",IF(INDEX(tblRegistros[Data],$L96)&gt;$D$4,"",IFERROR(INDEX(tblRegistros[Taxa aplicada],$L96),"")))</f>
        <v/>
      </c>
      <c r="I96" s="3" t="str">
        <f>IF($L96="","",IF(INDEX(tblRegistros[Data],$L96)&gt;$D$4,"",IFERROR(IF(INDEX(tblRegistros[Status],$L96)="EM ABERTO","",INDEX(tblRegistros[Valor],$L96)),"")))</f>
        <v/>
      </c>
      <c r="J96" t="str">
        <f>IF($L96="","",IF(INDEX(tblRegistros[Data],$L96)&gt;$D$4,"",IFERROR(INDEX(tblRegistros[Status],$L96),"")))</f>
        <v/>
      </c>
      <c r="K96" t="str">
        <f>IF($L96="","",IF(INDEX(tblRegistros[Data],$L96)&gt;$D$4,"",IFERROR(INDEX(tblRegistros[Observação],$L96),"")))</f>
        <v/>
      </c>
      <c r="L96" s="16" t="str">
        <f>IFERROR(MATCH($B$3*100000+COUNTIFS(tblRegistros[ID],$B$3,tblRegistros[Data],"&lt;"&amp;$B$4)+ROWS($L$10:L96),tblRegistros[Chave do cartão],0),"")</f>
        <v/>
      </c>
    </row>
    <row r="97" spans="1:12">
      <c r="A97" s="2" t="str">
        <f>IF($L97="","",IF(INDEX(tblRegistros[Data],$L97)&gt;$D$4,"",IFERROR(INDEX(tblRegistros[Data],$L97),"")))</f>
        <v/>
      </c>
      <c r="B97" t="str">
        <f>IF($L97="","",IF(INDEX(tblRegistros[Data],$L97)&gt;$D$4,"",IFERROR(INDEX(tblRegistros[Projeto],$L97),"")))</f>
        <v/>
      </c>
      <c r="C97" t="str">
        <f>IF($L97="","",IF(INDEX(tblRegistros[Data],$L97)&gt;$D$4,"",IFERROR(INDEX(tblRegistros[Atividade],$L97),"")))</f>
        <v/>
      </c>
      <c r="D97" s="4" t="str">
        <f>IF($L97="","",IF(INDEX(tblRegistros[Data],$L97)&gt;$D$4,"",IFERROR(INDEX(tblRegistros[Início],$L97),"")))</f>
        <v/>
      </c>
      <c r="E97" s="4" t="str">
        <f>IF($L97="","",IF(INDEX(tblRegistros[Data],$L97)&gt;$D$4,"",IFERROR(IF(INDEX(tblRegistros[Status],$L97)="EM ABERTO","",INDEX(tblRegistros[Fim],$L97)),"")))</f>
        <v/>
      </c>
      <c r="F97" s="14" t="str">
        <f>IF($L97="","",IF(INDEX(tblRegistros[Data],$L97)&gt;$D$4,"",IFERROR(IF(INDEX(tblRegistros[Status],$L97)="EM ABERTO","",INDEX(tblRegistros[Horas],$L97)),"")))</f>
        <v/>
      </c>
      <c r="G97" t="str">
        <f>IF($L97="","",IF(INDEX(tblRegistros[Data],$L97)&gt;$D$4,"",IFERROR(INDEX(tblRegistros[Base],$L97),"")))</f>
        <v/>
      </c>
      <c r="H97" s="3" t="str">
        <f>IF($L97="","",IF(INDEX(tblRegistros[Data],$L97)&gt;$D$4,"",IFERROR(INDEX(tblRegistros[Taxa aplicada],$L97),"")))</f>
        <v/>
      </c>
      <c r="I97" s="3" t="str">
        <f>IF($L97="","",IF(INDEX(tblRegistros[Data],$L97)&gt;$D$4,"",IFERROR(IF(INDEX(tblRegistros[Status],$L97)="EM ABERTO","",INDEX(tblRegistros[Valor],$L97)),"")))</f>
        <v/>
      </c>
      <c r="J97" t="str">
        <f>IF($L97="","",IF(INDEX(tblRegistros[Data],$L97)&gt;$D$4,"",IFERROR(INDEX(tblRegistros[Status],$L97),"")))</f>
        <v/>
      </c>
      <c r="K97" t="str">
        <f>IF($L97="","",IF(INDEX(tblRegistros[Data],$L97)&gt;$D$4,"",IFERROR(INDEX(tblRegistros[Observação],$L97),"")))</f>
        <v/>
      </c>
      <c r="L97" s="16" t="str">
        <f>IFERROR(MATCH($B$3*100000+COUNTIFS(tblRegistros[ID],$B$3,tblRegistros[Data],"&lt;"&amp;$B$4)+ROWS($L$10:L97),tblRegistros[Chave do cartão],0),"")</f>
        <v/>
      </c>
    </row>
    <row r="98" spans="1:12">
      <c r="A98" s="2" t="str">
        <f>IF($L98="","",IF(INDEX(tblRegistros[Data],$L98)&gt;$D$4,"",IFERROR(INDEX(tblRegistros[Data],$L98),"")))</f>
        <v/>
      </c>
      <c r="B98" t="str">
        <f>IF($L98="","",IF(INDEX(tblRegistros[Data],$L98)&gt;$D$4,"",IFERROR(INDEX(tblRegistros[Projeto],$L98),"")))</f>
        <v/>
      </c>
      <c r="C98" t="str">
        <f>IF($L98="","",IF(INDEX(tblRegistros[Data],$L98)&gt;$D$4,"",IFERROR(INDEX(tblRegistros[Atividade],$L98),"")))</f>
        <v/>
      </c>
      <c r="D98" s="4" t="str">
        <f>IF($L98="","",IF(INDEX(tblRegistros[Data],$L98)&gt;$D$4,"",IFERROR(INDEX(tblRegistros[Início],$L98),"")))</f>
        <v/>
      </c>
      <c r="E98" s="4" t="str">
        <f>IF($L98="","",IF(INDEX(tblRegistros[Data],$L98)&gt;$D$4,"",IFERROR(IF(INDEX(tblRegistros[Status],$L98)="EM ABERTO","",INDEX(tblRegistros[Fim],$L98)),"")))</f>
        <v/>
      </c>
      <c r="F98" s="14" t="str">
        <f>IF($L98="","",IF(INDEX(tblRegistros[Data],$L98)&gt;$D$4,"",IFERROR(IF(INDEX(tblRegistros[Status],$L98)="EM ABERTO","",INDEX(tblRegistros[Horas],$L98)),"")))</f>
        <v/>
      </c>
      <c r="G98" t="str">
        <f>IF($L98="","",IF(INDEX(tblRegistros[Data],$L98)&gt;$D$4,"",IFERROR(INDEX(tblRegistros[Base],$L98),"")))</f>
        <v/>
      </c>
      <c r="H98" s="3" t="str">
        <f>IF($L98="","",IF(INDEX(tblRegistros[Data],$L98)&gt;$D$4,"",IFERROR(INDEX(tblRegistros[Taxa aplicada],$L98),"")))</f>
        <v/>
      </c>
      <c r="I98" s="3" t="str">
        <f>IF($L98="","",IF(INDEX(tblRegistros[Data],$L98)&gt;$D$4,"",IFERROR(IF(INDEX(tblRegistros[Status],$L98)="EM ABERTO","",INDEX(tblRegistros[Valor],$L98)),"")))</f>
        <v/>
      </c>
      <c r="J98" t="str">
        <f>IF($L98="","",IF(INDEX(tblRegistros[Data],$L98)&gt;$D$4,"",IFERROR(INDEX(tblRegistros[Status],$L98),"")))</f>
        <v/>
      </c>
      <c r="K98" t="str">
        <f>IF($L98="","",IF(INDEX(tblRegistros[Data],$L98)&gt;$D$4,"",IFERROR(INDEX(tblRegistros[Observação],$L98),"")))</f>
        <v/>
      </c>
      <c r="L98" s="16" t="str">
        <f>IFERROR(MATCH($B$3*100000+COUNTIFS(tblRegistros[ID],$B$3,tblRegistros[Data],"&lt;"&amp;$B$4)+ROWS($L$10:L98),tblRegistros[Chave do cartão],0),"")</f>
        <v/>
      </c>
    </row>
    <row r="99" spans="1:12">
      <c r="A99" s="2" t="str">
        <f>IF($L99="","",IF(INDEX(tblRegistros[Data],$L99)&gt;$D$4,"",IFERROR(INDEX(tblRegistros[Data],$L99),"")))</f>
        <v/>
      </c>
      <c r="B99" t="str">
        <f>IF($L99="","",IF(INDEX(tblRegistros[Data],$L99)&gt;$D$4,"",IFERROR(INDEX(tblRegistros[Projeto],$L99),"")))</f>
        <v/>
      </c>
      <c r="C99" t="str">
        <f>IF($L99="","",IF(INDEX(tblRegistros[Data],$L99)&gt;$D$4,"",IFERROR(INDEX(tblRegistros[Atividade],$L99),"")))</f>
        <v/>
      </c>
      <c r="D99" s="4" t="str">
        <f>IF($L99="","",IF(INDEX(tblRegistros[Data],$L99)&gt;$D$4,"",IFERROR(INDEX(tblRegistros[Início],$L99),"")))</f>
        <v/>
      </c>
      <c r="E99" s="4" t="str">
        <f>IF($L99="","",IF(INDEX(tblRegistros[Data],$L99)&gt;$D$4,"",IFERROR(IF(INDEX(tblRegistros[Status],$L99)="EM ABERTO","",INDEX(tblRegistros[Fim],$L99)),"")))</f>
        <v/>
      </c>
      <c r="F99" s="14" t="str">
        <f>IF($L99="","",IF(INDEX(tblRegistros[Data],$L99)&gt;$D$4,"",IFERROR(IF(INDEX(tblRegistros[Status],$L99)="EM ABERTO","",INDEX(tblRegistros[Horas],$L99)),"")))</f>
        <v/>
      </c>
      <c r="G99" t="str">
        <f>IF($L99="","",IF(INDEX(tblRegistros[Data],$L99)&gt;$D$4,"",IFERROR(INDEX(tblRegistros[Base],$L99),"")))</f>
        <v/>
      </c>
      <c r="H99" s="3" t="str">
        <f>IF($L99="","",IF(INDEX(tblRegistros[Data],$L99)&gt;$D$4,"",IFERROR(INDEX(tblRegistros[Taxa aplicada],$L99),"")))</f>
        <v/>
      </c>
      <c r="I99" s="3" t="str">
        <f>IF($L99="","",IF(INDEX(tblRegistros[Data],$L99)&gt;$D$4,"",IFERROR(IF(INDEX(tblRegistros[Status],$L99)="EM ABERTO","",INDEX(tblRegistros[Valor],$L99)),"")))</f>
        <v/>
      </c>
      <c r="J99" t="str">
        <f>IF($L99="","",IF(INDEX(tblRegistros[Data],$L99)&gt;$D$4,"",IFERROR(INDEX(tblRegistros[Status],$L99),"")))</f>
        <v/>
      </c>
      <c r="K99" t="str">
        <f>IF($L99="","",IF(INDEX(tblRegistros[Data],$L99)&gt;$D$4,"",IFERROR(INDEX(tblRegistros[Observação],$L99),"")))</f>
        <v/>
      </c>
      <c r="L99" s="16" t="str">
        <f>IFERROR(MATCH($B$3*100000+COUNTIFS(tblRegistros[ID],$B$3,tblRegistros[Data],"&lt;"&amp;$B$4)+ROWS($L$10:L99),tblRegistros[Chave do cartão],0),"")</f>
        <v/>
      </c>
    </row>
    <row r="100" spans="1:12">
      <c r="A100" s="2" t="str">
        <f>IF($L100="","",IF(INDEX(tblRegistros[Data],$L100)&gt;$D$4,"",IFERROR(INDEX(tblRegistros[Data],$L100),"")))</f>
        <v/>
      </c>
      <c r="B100" t="str">
        <f>IF($L100="","",IF(INDEX(tblRegistros[Data],$L100)&gt;$D$4,"",IFERROR(INDEX(tblRegistros[Projeto],$L100),"")))</f>
        <v/>
      </c>
      <c r="C100" t="str">
        <f>IF($L100="","",IF(INDEX(tblRegistros[Data],$L100)&gt;$D$4,"",IFERROR(INDEX(tblRegistros[Atividade],$L100),"")))</f>
        <v/>
      </c>
      <c r="D100" s="4" t="str">
        <f>IF($L100="","",IF(INDEX(tblRegistros[Data],$L100)&gt;$D$4,"",IFERROR(INDEX(tblRegistros[Início],$L100),"")))</f>
        <v/>
      </c>
      <c r="E100" s="4" t="str">
        <f>IF($L100="","",IF(INDEX(tblRegistros[Data],$L100)&gt;$D$4,"",IFERROR(IF(INDEX(tblRegistros[Status],$L100)="EM ABERTO","",INDEX(tblRegistros[Fim],$L100)),"")))</f>
        <v/>
      </c>
      <c r="F100" s="14" t="str">
        <f>IF($L100="","",IF(INDEX(tblRegistros[Data],$L100)&gt;$D$4,"",IFERROR(IF(INDEX(tblRegistros[Status],$L100)="EM ABERTO","",INDEX(tblRegistros[Horas],$L100)),"")))</f>
        <v/>
      </c>
      <c r="G100" t="str">
        <f>IF($L100="","",IF(INDEX(tblRegistros[Data],$L100)&gt;$D$4,"",IFERROR(INDEX(tblRegistros[Base],$L100),"")))</f>
        <v/>
      </c>
      <c r="H100" s="3" t="str">
        <f>IF($L100="","",IF(INDEX(tblRegistros[Data],$L100)&gt;$D$4,"",IFERROR(INDEX(tblRegistros[Taxa aplicada],$L100),"")))</f>
        <v/>
      </c>
      <c r="I100" s="3" t="str">
        <f>IF($L100="","",IF(INDEX(tblRegistros[Data],$L100)&gt;$D$4,"",IFERROR(IF(INDEX(tblRegistros[Status],$L100)="EM ABERTO","",INDEX(tblRegistros[Valor],$L100)),"")))</f>
        <v/>
      </c>
      <c r="J100" t="str">
        <f>IF($L100="","",IF(INDEX(tblRegistros[Data],$L100)&gt;$D$4,"",IFERROR(INDEX(tblRegistros[Status],$L100),"")))</f>
        <v/>
      </c>
      <c r="K100" t="str">
        <f>IF($L100="","",IF(INDEX(tblRegistros[Data],$L100)&gt;$D$4,"",IFERROR(INDEX(tblRegistros[Observação],$L100),"")))</f>
        <v/>
      </c>
      <c r="L100" s="16" t="str">
        <f>IFERROR(MATCH($B$3*100000+COUNTIFS(tblRegistros[ID],$B$3,tblRegistros[Data],"&lt;"&amp;$B$4)+ROWS($L$10:L100),tblRegistros[Chave do cartão],0),"")</f>
        <v/>
      </c>
    </row>
    <row r="101" spans="1:12">
      <c r="A101" s="2" t="str">
        <f>IF($L101="","",IF(INDEX(tblRegistros[Data],$L101)&gt;$D$4,"",IFERROR(INDEX(tblRegistros[Data],$L101),"")))</f>
        <v/>
      </c>
      <c r="B101" t="str">
        <f>IF($L101="","",IF(INDEX(tblRegistros[Data],$L101)&gt;$D$4,"",IFERROR(INDEX(tblRegistros[Projeto],$L101),"")))</f>
        <v/>
      </c>
      <c r="C101" t="str">
        <f>IF($L101="","",IF(INDEX(tblRegistros[Data],$L101)&gt;$D$4,"",IFERROR(INDEX(tblRegistros[Atividade],$L101),"")))</f>
        <v/>
      </c>
      <c r="D101" s="4" t="str">
        <f>IF($L101="","",IF(INDEX(tblRegistros[Data],$L101)&gt;$D$4,"",IFERROR(INDEX(tblRegistros[Início],$L101),"")))</f>
        <v/>
      </c>
      <c r="E101" s="4" t="str">
        <f>IF($L101="","",IF(INDEX(tblRegistros[Data],$L101)&gt;$D$4,"",IFERROR(IF(INDEX(tblRegistros[Status],$L101)="EM ABERTO","",INDEX(tblRegistros[Fim],$L101)),"")))</f>
        <v/>
      </c>
      <c r="F101" s="14" t="str">
        <f>IF($L101="","",IF(INDEX(tblRegistros[Data],$L101)&gt;$D$4,"",IFERROR(IF(INDEX(tblRegistros[Status],$L101)="EM ABERTO","",INDEX(tblRegistros[Horas],$L101)),"")))</f>
        <v/>
      </c>
      <c r="G101" t="str">
        <f>IF($L101="","",IF(INDEX(tblRegistros[Data],$L101)&gt;$D$4,"",IFERROR(INDEX(tblRegistros[Base],$L101),"")))</f>
        <v/>
      </c>
      <c r="H101" s="3" t="str">
        <f>IF($L101="","",IF(INDEX(tblRegistros[Data],$L101)&gt;$D$4,"",IFERROR(INDEX(tblRegistros[Taxa aplicada],$L101),"")))</f>
        <v/>
      </c>
      <c r="I101" s="3" t="str">
        <f>IF($L101="","",IF(INDEX(tblRegistros[Data],$L101)&gt;$D$4,"",IFERROR(IF(INDEX(tblRegistros[Status],$L101)="EM ABERTO","",INDEX(tblRegistros[Valor],$L101)),"")))</f>
        <v/>
      </c>
      <c r="J101" t="str">
        <f>IF($L101="","",IF(INDEX(tblRegistros[Data],$L101)&gt;$D$4,"",IFERROR(INDEX(tblRegistros[Status],$L101),"")))</f>
        <v/>
      </c>
      <c r="K101" t="str">
        <f>IF($L101="","",IF(INDEX(tblRegistros[Data],$L101)&gt;$D$4,"",IFERROR(INDEX(tblRegistros[Observação],$L101),"")))</f>
        <v/>
      </c>
      <c r="L101" s="16" t="str">
        <f>IFERROR(MATCH($B$3*100000+COUNTIFS(tblRegistros[ID],$B$3,tblRegistros[Data],"&lt;"&amp;$B$4)+ROWS($L$10:L101),tblRegistros[Chave do cartão],0),"")</f>
        <v/>
      </c>
    </row>
    <row r="102" spans="1:12">
      <c r="A102" s="2" t="str">
        <f>IF($L102="","",IF(INDEX(tblRegistros[Data],$L102)&gt;$D$4,"",IFERROR(INDEX(tblRegistros[Data],$L102),"")))</f>
        <v/>
      </c>
      <c r="B102" t="str">
        <f>IF($L102="","",IF(INDEX(tblRegistros[Data],$L102)&gt;$D$4,"",IFERROR(INDEX(tblRegistros[Projeto],$L102),"")))</f>
        <v/>
      </c>
      <c r="C102" t="str">
        <f>IF($L102="","",IF(INDEX(tblRegistros[Data],$L102)&gt;$D$4,"",IFERROR(INDEX(tblRegistros[Atividade],$L102),"")))</f>
        <v/>
      </c>
      <c r="D102" s="4" t="str">
        <f>IF($L102="","",IF(INDEX(tblRegistros[Data],$L102)&gt;$D$4,"",IFERROR(INDEX(tblRegistros[Início],$L102),"")))</f>
        <v/>
      </c>
      <c r="E102" s="4" t="str">
        <f>IF($L102="","",IF(INDEX(tblRegistros[Data],$L102)&gt;$D$4,"",IFERROR(IF(INDEX(tblRegistros[Status],$L102)="EM ABERTO","",INDEX(tblRegistros[Fim],$L102)),"")))</f>
        <v/>
      </c>
      <c r="F102" s="14" t="str">
        <f>IF($L102="","",IF(INDEX(tblRegistros[Data],$L102)&gt;$D$4,"",IFERROR(IF(INDEX(tblRegistros[Status],$L102)="EM ABERTO","",INDEX(tblRegistros[Horas],$L102)),"")))</f>
        <v/>
      </c>
      <c r="G102" t="str">
        <f>IF($L102="","",IF(INDEX(tblRegistros[Data],$L102)&gt;$D$4,"",IFERROR(INDEX(tblRegistros[Base],$L102),"")))</f>
        <v/>
      </c>
      <c r="H102" s="3" t="str">
        <f>IF($L102="","",IF(INDEX(tblRegistros[Data],$L102)&gt;$D$4,"",IFERROR(INDEX(tblRegistros[Taxa aplicada],$L102),"")))</f>
        <v/>
      </c>
      <c r="I102" s="3" t="str">
        <f>IF($L102="","",IF(INDEX(tblRegistros[Data],$L102)&gt;$D$4,"",IFERROR(IF(INDEX(tblRegistros[Status],$L102)="EM ABERTO","",INDEX(tblRegistros[Valor],$L102)),"")))</f>
        <v/>
      </c>
      <c r="J102" t="str">
        <f>IF($L102="","",IF(INDEX(tblRegistros[Data],$L102)&gt;$D$4,"",IFERROR(INDEX(tblRegistros[Status],$L102),"")))</f>
        <v/>
      </c>
      <c r="K102" t="str">
        <f>IF($L102="","",IF(INDEX(tblRegistros[Data],$L102)&gt;$D$4,"",IFERROR(INDEX(tblRegistros[Observação],$L102),"")))</f>
        <v/>
      </c>
      <c r="L102" s="16" t="str">
        <f>IFERROR(MATCH($B$3*100000+COUNTIFS(tblRegistros[ID],$B$3,tblRegistros[Data],"&lt;"&amp;$B$4)+ROWS($L$10:L102),tblRegistros[Chave do cartão],0),"")</f>
        <v/>
      </c>
    </row>
    <row r="103" spans="1:12">
      <c r="A103" s="2" t="str">
        <f>IF($L103="","",IF(INDEX(tblRegistros[Data],$L103)&gt;$D$4,"",IFERROR(INDEX(tblRegistros[Data],$L103),"")))</f>
        <v/>
      </c>
      <c r="B103" t="str">
        <f>IF($L103="","",IF(INDEX(tblRegistros[Data],$L103)&gt;$D$4,"",IFERROR(INDEX(tblRegistros[Projeto],$L103),"")))</f>
        <v/>
      </c>
      <c r="C103" t="str">
        <f>IF($L103="","",IF(INDEX(tblRegistros[Data],$L103)&gt;$D$4,"",IFERROR(INDEX(tblRegistros[Atividade],$L103),"")))</f>
        <v/>
      </c>
      <c r="D103" s="4" t="str">
        <f>IF($L103="","",IF(INDEX(tblRegistros[Data],$L103)&gt;$D$4,"",IFERROR(INDEX(tblRegistros[Início],$L103),"")))</f>
        <v/>
      </c>
      <c r="E103" s="4" t="str">
        <f>IF($L103="","",IF(INDEX(tblRegistros[Data],$L103)&gt;$D$4,"",IFERROR(IF(INDEX(tblRegistros[Status],$L103)="EM ABERTO","",INDEX(tblRegistros[Fim],$L103)),"")))</f>
        <v/>
      </c>
      <c r="F103" s="14" t="str">
        <f>IF($L103="","",IF(INDEX(tblRegistros[Data],$L103)&gt;$D$4,"",IFERROR(IF(INDEX(tblRegistros[Status],$L103)="EM ABERTO","",INDEX(tblRegistros[Horas],$L103)),"")))</f>
        <v/>
      </c>
      <c r="G103" t="str">
        <f>IF($L103="","",IF(INDEX(tblRegistros[Data],$L103)&gt;$D$4,"",IFERROR(INDEX(tblRegistros[Base],$L103),"")))</f>
        <v/>
      </c>
      <c r="H103" s="3" t="str">
        <f>IF($L103="","",IF(INDEX(tblRegistros[Data],$L103)&gt;$D$4,"",IFERROR(INDEX(tblRegistros[Taxa aplicada],$L103),"")))</f>
        <v/>
      </c>
      <c r="I103" s="3" t="str">
        <f>IF($L103="","",IF(INDEX(tblRegistros[Data],$L103)&gt;$D$4,"",IFERROR(IF(INDEX(tblRegistros[Status],$L103)="EM ABERTO","",INDEX(tblRegistros[Valor],$L103)),"")))</f>
        <v/>
      </c>
      <c r="J103" t="str">
        <f>IF($L103="","",IF(INDEX(tblRegistros[Data],$L103)&gt;$D$4,"",IFERROR(INDEX(tblRegistros[Status],$L103),"")))</f>
        <v/>
      </c>
      <c r="K103" t="str">
        <f>IF($L103="","",IF(INDEX(tblRegistros[Data],$L103)&gt;$D$4,"",IFERROR(INDEX(tblRegistros[Observação],$L103),"")))</f>
        <v/>
      </c>
      <c r="L103" s="16" t="str">
        <f>IFERROR(MATCH($B$3*100000+COUNTIFS(tblRegistros[ID],$B$3,tblRegistros[Data],"&lt;"&amp;$B$4)+ROWS($L$10:L103),tblRegistros[Chave do cartão],0),"")</f>
        <v/>
      </c>
    </row>
    <row r="104" spans="1:12">
      <c r="A104" s="2" t="str">
        <f>IF($L104="","",IF(INDEX(tblRegistros[Data],$L104)&gt;$D$4,"",IFERROR(INDEX(tblRegistros[Data],$L104),"")))</f>
        <v/>
      </c>
      <c r="B104" t="str">
        <f>IF($L104="","",IF(INDEX(tblRegistros[Data],$L104)&gt;$D$4,"",IFERROR(INDEX(tblRegistros[Projeto],$L104),"")))</f>
        <v/>
      </c>
      <c r="C104" t="str">
        <f>IF($L104="","",IF(INDEX(tblRegistros[Data],$L104)&gt;$D$4,"",IFERROR(INDEX(tblRegistros[Atividade],$L104),"")))</f>
        <v/>
      </c>
      <c r="D104" s="4" t="str">
        <f>IF($L104="","",IF(INDEX(tblRegistros[Data],$L104)&gt;$D$4,"",IFERROR(INDEX(tblRegistros[Início],$L104),"")))</f>
        <v/>
      </c>
      <c r="E104" s="4" t="str">
        <f>IF($L104="","",IF(INDEX(tblRegistros[Data],$L104)&gt;$D$4,"",IFERROR(IF(INDEX(tblRegistros[Status],$L104)="EM ABERTO","",INDEX(tblRegistros[Fim],$L104)),"")))</f>
        <v/>
      </c>
      <c r="F104" s="14" t="str">
        <f>IF($L104="","",IF(INDEX(tblRegistros[Data],$L104)&gt;$D$4,"",IFERROR(IF(INDEX(tblRegistros[Status],$L104)="EM ABERTO","",INDEX(tblRegistros[Horas],$L104)),"")))</f>
        <v/>
      </c>
      <c r="G104" t="str">
        <f>IF($L104="","",IF(INDEX(tblRegistros[Data],$L104)&gt;$D$4,"",IFERROR(INDEX(tblRegistros[Base],$L104),"")))</f>
        <v/>
      </c>
      <c r="H104" s="3" t="str">
        <f>IF($L104="","",IF(INDEX(tblRegistros[Data],$L104)&gt;$D$4,"",IFERROR(INDEX(tblRegistros[Taxa aplicada],$L104),"")))</f>
        <v/>
      </c>
      <c r="I104" s="3" t="str">
        <f>IF($L104="","",IF(INDEX(tblRegistros[Data],$L104)&gt;$D$4,"",IFERROR(IF(INDEX(tblRegistros[Status],$L104)="EM ABERTO","",INDEX(tblRegistros[Valor],$L104)),"")))</f>
        <v/>
      </c>
      <c r="J104" t="str">
        <f>IF($L104="","",IF(INDEX(tblRegistros[Data],$L104)&gt;$D$4,"",IFERROR(INDEX(tblRegistros[Status],$L104),"")))</f>
        <v/>
      </c>
      <c r="K104" t="str">
        <f>IF($L104="","",IF(INDEX(tblRegistros[Data],$L104)&gt;$D$4,"",IFERROR(INDEX(tblRegistros[Observação],$L104),"")))</f>
        <v/>
      </c>
      <c r="L104" s="16" t="str">
        <f>IFERROR(MATCH($B$3*100000+COUNTIFS(tblRegistros[ID],$B$3,tblRegistros[Data],"&lt;"&amp;$B$4)+ROWS($L$10:L104),tblRegistros[Chave do cartão],0),"")</f>
        <v/>
      </c>
    </row>
    <row r="105" spans="1:12">
      <c r="A105" s="2" t="str">
        <f>IF($L105="","",IF(INDEX(tblRegistros[Data],$L105)&gt;$D$4,"",IFERROR(INDEX(tblRegistros[Data],$L105),"")))</f>
        <v/>
      </c>
      <c r="B105" t="str">
        <f>IF($L105="","",IF(INDEX(tblRegistros[Data],$L105)&gt;$D$4,"",IFERROR(INDEX(tblRegistros[Projeto],$L105),"")))</f>
        <v/>
      </c>
      <c r="C105" t="str">
        <f>IF($L105="","",IF(INDEX(tblRegistros[Data],$L105)&gt;$D$4,"",IFERROR(INDEX(tblRegistros[Atividade],$L105),"")))</f>
        <v/>
      </c>
      <c r="D105" s="4" t="str">
        <f>IF($L105="","",IF(INDEX(tblRegistros[Data],$L105)&gt;$D$4,"",IFERROR(INDEX(tblRegistros[Início],$L105),"")))</f>
        <v/>
      </c>
      <c r="E105" s="4" t="str">
        <f>IF($L105="","",IF(INDEX(tblRegistros[Data],$L105)&gt;$D$4,"",IFERROR(IF(INDEX(tblRegistros[Status],$L105)="EM ABERTO","",INDEX(tblRegistros[Fim],$L105)),"")))</f>
        <v/>
      </c>
      <c r="F105" s="14" t="str">
        <f>IF($L105="","",IF(INDEX(tblRegistros[Data],$L105)&gt;$D$4,"",IFERROR(IF(INDEX(tblRegistros[Status],$L105)="EM ABERTO","",INDEX(tblRegistros[Horas],$L105)),"")))</f>
        <v/>
      </c>
      <c r="G105" t="str">
        <f>IF($L105="","",IF(INDEX(tblRegistros[Data],$L105)&gt;$D$4,"",IFERROR(INDEX(tblRegistros[Base],$L105),"")))</f>
        <v/>
      </c>
      <c r="H105" s="3" t="str">
        <f>IF($L105="","",IF(INDEX(tblRegistros[Data],$L105)&gt;$D$4,"",IFERROR(INDEX(tblRegistros[Taxa aplicada],$L105),"")))</f>
        <v/>
      </c>
      <c r="I105" s="3" t="str">
        <f>IF($L105="","",IF(INDEX(tblRegistros[Data],$L105)&gt;$D$4,"",IFERROR(IF(INDEX(tblRegistros[Status],$L105)="EM ABERTO","",INDEX(tblRegistros[Valor],$L105)),"")))</f>
        <v/>
      </c>
      <c r="J105" t="str">
        <f>IF($L105="","",IF(INDEX(tblRegistros[Data],$L105)&gt;$D$4,"",IFERROR(INDEX(tblRegistros[Status],$L105),"")))</f>
        <v/>
      </c>
      <c r="K105" t="str">
        <f>IF($L105="","",IF(INDEX(tblRegistros[Data],$L105)&gt;$D$4,"",IFERROR(INDEX(tblRegistros[Observação],$L105),"")))</f>
        <v/>
      </c>
      <c r="L105" s="16" t="str">
        <f>IFERROR(MATCH($B$3*100000+COUNTIFS(tblRegistros[ID],$B$3,tblRegistros[Data],"&lt;"&amp;$B$4)+ROWS($L$10:L105),tblRegistros[Chave do cartão],0),"")</f>
        <v/>
      </c>
    </row>
    <row r="106" spans="1:12">
      <c r="A106" s="2" t="str">
        <f>IF($L106="","",IF(INDEX(tblRegistros[Data],$L106)&gt;$D$4,"",IFERROR(INDEX(tblRegistros[Data],$L106),"")))</f>
        <v/>
      </c>
      <c r="B106" t="str">
        <f>IF($L106="","",IF(INDEX(tblRegistros[Data],$L106)&gt;$D$4,"",IFERROR(INDEX(tblRegistros[Projeto],$L106),"")))</f>
        <v/>
      </c>
      <c r="C106" t="str">
        <f>IF($L106="","",IF(INDEX(tblRegistros[Data],$L106)&gt;$D$4,"",IFERROR(INDEX(tblRegistros[Atividade],$L106),"")))</f>
        <v/>
      </c>
      <c r="D106" s="4" t="str">
        <f>IF($L106="","",IF(INDEX(tblRegistros[Data],$L106)&gt;$D$4,"",IFERROR(INDEX(tblRegistros[Início],$L106),"")))</f>
        <v/>
      </c>
      <c r="E106" s="4" t="str">
        <f>IF($L106="","",IF(INDEX(tblRegistros[Data],$L106)&gt;$D$4,"",IFERROR(IF(INDEX(tblRegistros[Status],$L106)="EM ABERTO","",INDEX(tblRegistros[Fim],$L106)),"")))</f>
        <v/>
      </c>
      <c r="F106" s="14" t="str">
        <f>IF($L106="","",IF(INDEX(tblRegistros[Data],$L106)&gt;$D$4,"",IFERROR(IF(INDEX(tblRegistros[Status],$L106)="EM ABERTO","",INDEX(tblRegistros[Horas],$L106)),"")))</f>
        <v/>
      </c>
      <c r="G106" t="str">
        <f>IF($L106="","",IF(INDEX(tblRegistros[Data],$L106)&gt;$D$4,"",IFERROR(INDEX(tblRegistros[Base],$L106),"")))</f>
        <v/>
      </c>
      <c r="H106" s="3" t="str">
        <f>IF($L106="","",IF(INDEX(tblRegistros[Data],$L106)&gt;$D$4,"",IFERROR(INDEX(tblRegistros[Taxa aplicada],$L106),"")))</f>
        <v/>
      </c>
      <c r="I106" s="3" t="str">
        <f>IF($L106="","",IF(INDEX(tblRegistros[Data],$L106)&gt;$D$4,"",IFERROR(IF(INDEX(tblRegistros[Status],$L106)="EM ABERTO","",INDEX(tblRegistros[Valor],$L106)),"")))</f>
        <v/>
      </c>
      <c r="J106" t="str">
        <f>IF($L106="","",IF(INDEX(tblRegistros[Data],$L106)&gt;$D$4,"",IFERROR(INDEX(tblRegistros[Status],$L106),"")))</f>
        <v/>
      </c>
      <c r="K106" t="str">
        <f>IF($L106="","",IF(INDEX(tblRegistros[Data],$L106)&gt;$D$4,"",IFERROR(INDEX(tblRegistros[Observação],$L106),"")))</f>
        <v/>
      </c>
      <c r="L106" s="16" t="str">
        <f>IFERROR(MATCH($B$3*100000+COUNTIFS(tblRegistros[ID],$B$3,tblRegistros[Data],"&lt;"&amp;$B$4)+ROWS($L$10:L106),tblRegistros[Chave do cartão],0),"")</f>
        <v/>
      </c>
    </row>
    <row r="107" spans="1:12">
      <c r="A107" s="2" t="str">
        <f>IF($L107="","",IF(INDEX(tblRegistros[Data],$L107)&gt;$D$4,"",IFERROR(INDEX(tblRegistros[Data],$L107),"")))</f>
        <v/>
      </c>
      <c r="B107" t="str">
        <f>IF($L107="","",IF(INDEX(tblRegistros[Data],$L107)&gt;$D$4,"",IFERROR(INDEX(tblRegistros[Projeto],$L107),"")))</f>
        <v/>
      </c>
      <c r="C107" t="str">
        <f>IF($L107="","",IF(INDEX(tblRegistros[Data],$L107)&gt;$D$4,"",IFERROR(INDEX(tblRegistros[Atividade],$L107),"")))</f>
        <v/>
      </c>
      <c r="D107" s="4" t="str">
        <f>IF($L107="","",IF(INDEX(tblRegistros[Data],$L107)&gt;$D$4,"",IFERROR(INDEX(tblRegistros[Início],$L107),"")))</f>
        <v/>
      </c>
      <c r="E107" s="4" t="str">
        <f>IF($L107="","",IF(INDEX(tblRegistros[Data],$L107)&gt;$D$4,"",IFERROR(IF(INDEX(tblRegistros[Status],$L107)="EM ABERTO","",INDEX(tblRegistros[Fim],$L107)),"")))</f>
        <v/>
      </c>
      <c r="F107" s="14" t="str">
        <f>IF($L107="","",IF(INDEX(tblRegistros[Data],$L107)&gt;$D$4,"",IFERROR(IF(INDEX(tblRegistros[Status],$L107)="EM ABERTO","",INDEX(tblRegistros[Horas],$L107)),"")))</f>
        <v/>
      </c>
      <c r="G107" t="str">
        <f>IF($L107="","",IF(INDEX(tblRegistros[Data],$L107)&gt;$D$4,"",IFERROR(INDEX(tblRegistros[Base],$L107),"")))</f>
        <v/>
      </c>
      <c r="H107" s="3" t="str">
        <f>IF($L107="","",IF(INDEX(tblRegistros[Data],$L107)&gt;$D$4,"",IFERROR(INDEX(tblRegistros[Taxa aplicada],$L107),"")))</f>
        <v/>
      </c>
      <c r="I107" s="3" t="str">
        <f>IF($L107="","",IF(INDEX(tblRegistros[Data],$L107)&gt;$D$4,"",IFERROR(IF(INDEX(tblRegistros[Status],$L107)="EM ABERTO","",INDEX(tblRegistros[Valor],$L107)),"")))</f>
        <v/>
      </c>
      <c r="J107" t="str">
        <f>IF($L107="","",IF(INDEX(tblRegistros[Data],$L107)&gt;$D$4,"",IFERROR(INDEX(tblRegistros[Status],$L107),"")))</f>
        <v/>
      </c>
      <c r="K107" t="str">
        <f>IF($L107="","",IF(INDEX(tblRegistros[Data],$L107)&gt;$D$4,"",IFERROR(INDEX(tblRegistros[Observação],$L107),"")))</f>
        <v/>
      </c>
      <c r="L107" s="16" t="str">
        <f>IFERROR(MATCH($B$3*100000+COUNTIFS(tblRegistros[ID],$B$3,tblRegistros[Data],"&lt;"&amp;$B$4)+ROWS($L$10:L107),tblRegistros[Chave do cartão],0),"")</f>
        <v/>
      </c>
    </row>
    <row r="108" spans="1:12">
      <c r="A108" s="2" t="str">
        <f>IF($L108="","",IF(INDEX(tblRegistros[Data],$L108)&gt;$D$4,"",IFERROR(INDEX(tblRegistros[Data],$L108),"")))</f>
        <v/>
      </c>
      <c r="B108" t="str">
        <f>IF($L108="","",IF(INDEX(tblRegistros[Data],$L108)&gt;$D$4,"",IFERROR(INDEX(tblRegistros[Projeto],$L108),"")))</f>
        <v/>
      </c>
      <c r="C108" t="str">
        <f>IF($L108="","",IF(INDEX(tblRegistros[Data],$L108)&gt;$D$4,"",IFERROR(INDEX(tblRegistros[Atividade],$L108),"")))</f>
        <v/>
      </c>
      <c r="D108" s="4" t="str">
        <f>IF($L108="","",IF(INDEX(tblRegistros[Data],$L108)&gt;$D$4,"",IFERROR(INDEX(tblRegistros[Início],$L108),"")))</f>
        <v/>
      </c>
      <c r="E108" s="4" t="str">
        <f>IF($L108="","",IF(INDEX(tblRegistros[Data],$L108)&gt;$D$4,"",IFERROR(IF(INDEX(tblRegistros[Status],$L108)="EM ABERTO","",INDEX(tblRegistros[Fim],$L108)),"")))</f>
        <v/>
      </c>
      <c r="F108" s="14" t="str">
        <f>IF($L108="","",IF(INDEX(tblRegistros[Data],$L108)&gt;$D$4,"",IFERROR(IF(INDEX(tblRegistros[Status],$L108)="EM ABERTO","",INDEX(tblRegistros[Horas],$L108)),"")))</f>
        <v/>
      </c>
      <c r="G108" t="str">
        <f>IF($L108="","",IF(INDEX(tblRegistros[Data],$L108)&gt;$D$4,"",IFERROR(INDEX(tblRegistros[Base],$L108),"")))</f>
        <v/>
      </c>
      <c r="H108" s="3" t="str">
        <f>IF($L108="","",IF(INDEX(tblRegistros[Data],$L108)&gt;$D$4,"",IFERROR(INDEX(tblRegistros[Taxa aplicada],$L108),"")))</f>
        <v/>
      </c>
      <c r="I108" s="3" t="str">
        <f>IF($L108="","",IF(INDEX(tblRegistros[Data],$L108)&gt;$D$4,"",IFERROR(IF(INDEX(tblRegistros[Status],$L108)="EM ABERTO","",INDEX(tblRegistros[Valor],$L108)),"")))</f>
        <v/>
      </c>
      <c r="J108" t="str">
        <f>IF($L108="","",IF(INDEX(tblRegistros[Data],$L108)&gt;$D$4,"",IFERROR(INDEX(tblRegistros[Status],$L108),"")))</f>
        <v/>
      </c>
      <c r="K108" t="str">
        <f>IF($L108="","",IF(INDEX(tblRegistros[Data],$L108)&gt;$D$4,"",IFERROR(INDEX(tblRegistros[Observação],$L108),"")))</f>
        <v/>
      </c>
      <c r="L108" s="16" t="str">
        <f>IFERROR(MATCH($B$3*100000+COUNTIFS(tblRegistros[ID],$B$3,tblRegistros[Data],"&lt;"&amp;$B$4)+ROWS($L$10:L108),tblRegistros[Chave do cartão],0),"")</f>
        <v/>
      </c>
    </row>
    <row r="109" spans="1:12">
      <c r="A109" s="2" t="str">
        <f>IF($L109="","",IF(INDEX(tblRegistros[Data],$L109)&gt;$D$4,"",IFERROR(INDEX(tblRegistros[Data],$L109),"")))</f>
        <v/>
      </c>
      <c r="B109" t="str">
        <f>IF($L109="","",IF(INDEX(tblRegistros[Data],$L109)&gt;$D$4,"",IFERROR(INDEX(tblRegistros[Projeto],$L109),"")))</f>
        <v/>
      </c>
      <c r="C109" t="str">
        <f>IF($L109="","",IF(INDEX(tblRegistros[Data],$L109)&gt;$D$4,"",IFERROR(INDEX(tblRegistros[Atividade],$L109),"")))</f>
        <v/>
      </c>
      <c r="D109" s="4" t="str">
        <f>IF($L109="","",IF(INDEX(tblRegistros[Data],$L109)&gt;$D$4,"",IFERROR(INDEX(tblRegistros[Início],$L109),"")))</f>
        <v/>
      </c>
      <c r="E109" s="4" t="str">
        <f>IF($L109="","",IF(INDEX(tblRegistros[Data],$L109)&gt;$D$4,"",IFERROR(IF(INDEX(tblRegistros[Status],$L109)="EM ABERTO","",INDEX(tblRegistros[Fim],$L109)),"")))</f>
        <v/>
      </c>
      <c r="F109" s="14" t="str">
        <f>IF($L109="","",IF(INDEX(tblRegistros[Data],$L109)&gt;$D$4,"",IFERROR(IF(INDEX(tblRegistros[Status],$L109)="EM ABERTO","",INDEX(tblRegistros[Horas],$L109)),"")))</f>
        <v/>
      </c>
      <c r="G109" t="str">
        <f>IF($L109="","",IF(INDEX(tblRegistros[Data],$L109)&gt;$D$4,"",IFERROR(INDEX(tblRegistros[Base],$L109),"")))</f>
        <v/>
      </c>
      <c r="H109" s="3" t="str">
        <f>IF($L109="","",IF(INDEX(tblRegistros[Data],$L109)&gt;$D$4,"",IFERROR(INDEX(tblRegistros[Taxa aplicada],$L109),"")))</f>
        <v/>
      </c>
      <c r="I109" s="3" t="str">
        <f>IF($L109="","",IF(INDEX(tblRegistros[Data],$L109)&gt;$D$4,"",IFERROR(IF(INDEX(tblRegistros[Status],$L109)="EM ABERTO","",INDEX(tblRegistros[Valor],$L109)),"")))</f>
        <v/>
      </c>
      <c r="J109" t="str">
        <f>IF($L109="","",IF(INDEX(tblRegistros[Data],$L109)&gt;$D$4,"",IFERROR(INDEX(tblRegistros[Status],$L109),"")))</f>
        <v/>
      </c>
      <c r="K109" t="str">
        <f>IF($L109="","",IF(INDEX(tblRegistros[Data],$L109)&gt;$D$4,"",IFERROR(INDEX(tblRegistros[Observação],$L109),"")))</f>
        <v/>
      </c>
      <c r="L109" s="16" t="str">
        <f>IFERROR(MATCH($B$3*100000+COUNTIFS(tblRegistros[ID],$B$3,tblRegistros[Data],"&lt;"&amp;$B$4)+ROWS($L$10:L109),tblRegistros[Chave do cartão],0),"")</f>
        <v/>
      </c>
    </row>
    <row r="110" spans="1:12">
      <c r="A110" s="2" t="str">
        <f>IF($L110="","",IF(INDEX(tblRegistros[Data],$L110)&gt;$D$4,"",IFERROR(INDEX(tblRegistros[Data],$L110),"")))</f>
        <v/>
      </c>
      <c r="B110" t="str">
        <f>IF($L110="","",IF(INDEX(tblRegistros[Data],$L110)&gt;$D$4,"",IFERROR(INDEX(tblRegistros[Projeto],$L110),"")))</f>
        <v/>
      </c>
      <c r="C110" t="str">
        <f>IF($L110="","",IF(INDEX(tblRegistros[Data],$L110)&gt;$D$4,"",IFERROR(INDEX(tblRegistros[Atividade],$L110),"")))</f>
        <v/>
      </c>
      <c r="D110" s="4" t="str">
        <f>IF($L110="","",IF(INDEX(tblRegistros[Data],$L110)&gt;$D$4,"",IFERROR(INDEX(tblRegistros[Início],$L110),"")))</f>
        <v/>
      </c>
      <c r="E110" s="4" t="str">
        <f>IF($L110="","",IF(INDEX(tblRegistros[Data],$L110)&gt;$D$4,"",IFERROR(IF(INDEX(tblRegistros[Status],$L110)="EM ABERTO","",INDEX(tblRegistros[Fim],$L110)),"")))</f>
        <v/>
      </c>
      <c r="F110" s="14" t="str">
        <f>IF($L110="","",IF(INDEX(tblRegistros[Data],$L110)&gt;$D$4,"",IFERROR(IF(INDEX(tblRegistros[Status],$L110)="EM ABERTO","",INDEX(tblRegistros[Horas],$L110)),"")))</f>
        <v/>
      </c>
      <c r="G110" t="str">
        <f>IF($L110="","",IF(INDEX(tblRegistros[Data],$L110)&gt;$D$4,"",IFERROR(INDEX(tblRegistros[Base],$L110),"")))</f>
        <v/>
      </c>
      <c r="H110" s="3" t="str">
        <f>IF($L110="","",IF(INDEX(tblRegistros[Data],$L110)&gt;$D$4,"",IFERROR(INDEX(tblRegistros[Taxa aplicada],$L110),"")))</f>
        <v/>
      </c>
      <c r="I110" s="3" t="str">
        <f>IF($L110="","",IF(INDEX(tblRegistros[Data],$L110)&gt;$D$4,"",IFERROR(IF(INDEX(tblRegistros[Status],$L110)="EM ABERTO","",INDEX(tblRegistros[Valor],$L110)),"")))</f>
        <v/>
      </c>
      <c r="J110" t="str">
        <f>IF($L110="","",IF(INDEX(tblRegistros[Data],$L110)&gt;$D$4,"",IFERROR(INDEX(tblRegistros[Status],$L110),"")))</f>
        <v/>
      </c>
      <c r="K110" t="str">
        <f>IF($L110="","",IF(INDEX(tblRegistros[Data],$L110)&gt;$D$4,"",IFERROR(INDEX(tblRegistros[Observação],$L110),"")))</f>
        <v/>
      </c>
      <c r="L110" s="16" t="str">
        <f>IFERROR(MATCH($B$3*100000+COUNTIFS(tblRegistros[ID],$B$3,tblRegistros[Data],"&lt;"&amp;$B$4)+ROWS($L$10:L110),tblRegistros[Chave do cartão],0),"")</f>
        <v/>
      </c>
    </row>
    <row r="111" spans="1:12">
      <c r="A111" s="2" t="str">
        <f>IF($L111="","",IF(INDEX(tblRegistros[Data],$L111)&gt;$D$4,"",IFERROR(INDEX(tblRegistros[Data],$L111),"")))</f>
        <v/>
      </c>
      <c r="B111" t="str">
        <f>IF($L111="","",IF(INDEX(tblRegistros[Data],$L111)&gt;$D$4,"",IFERROR(INDEX(tblRegistros[Projeto],$L111),"")))</f>
        <v/>
      </c>
      <c r="C111" t="str">
        <f>IF($L111="","",IF(INDEX(tblRegistros[Data],$L111)&gt;$D$4,"",IFERROR(INDEX(tblRegistros[Atividade],$L111),"")))</f>
        <v/>
      </c>
      <c r="D111" s="4" t="str">
        <f>IF($L111="","",IF(INDEX(tblRegistros[Data],$L111)&gt;$D$4,"",IFERROR(INDEX(tblRegistros[Início],$L111),"")))</f>
        <v/>
      </c>
      <c r="E111" s="4" t="str">
        <f>IF($L111="","",IF(INDEX(tblRegistros[Data],$L111)&gt;$D$4,"",IFERROR(IF(INDEX(tblRegistros[Status],$L111)="EM ABERTO","",INDEX(tblRegistros[Fim],$L111)),"")))</f>
        <v/>
      </c>
      <c r="F111" s="14" t="str">
        <f>IF($L111="","",IF(INDEX(tblRegistros[Data],$L111)&gt;$D$4,"",IFERROR(IF(INDEX(tblRegistros[Status],$L111)="EM ABERTO","",INDEX(tblRegistros[Horas],$L111)),"")))</f>
        <v/>
      </c>
      <c r="G111" t="str">
        <f>IF($L111="","",IF(INDEX(tblRegistros[Data],$L111)&gt;$D$4,"",IFERROR(INDEX(tblRegistros[Base],$L111),"")))</f>
        <v/>
      </c>
      <c r="H111" s="3" t="str">
        <f>IF($L111="","",IF(INDEX(tblRegistros[Data],$L111)&gt;$D$4,"",IFERROR(INDEX(tblRegistros[Taxa aplicada],$L111),"")))</f>
        <v/>
      </c>
      <c r="I111" s="3" t="str">
        <f>IF($L111="","",IF(INDEX(tblRegistros[Data],$L111)&gt;$D$4,"",IFERROR(IF(INDEX(tblRegistros[Status],$L111)="EM ABERTO","",INDEX(tblRegistros[Valor],$L111)),"")))</f>
        <v/>
      </c>
      <c r="J111" t="str">
        <f>IF($L111="","",IF(INDEX(tblRegistros[Data],$L111)&gt;$D$4,"",IFERROR(INDEX(tblRegistros[Status],$L111),"")))</f>
        <v/>
      </c>
      <c r="K111" t="str">
        <f>IF($L111="","",IF(INDEX(tblRegistros[Data],$L111)&gt;$D$4,"",IFERROR(INDEX(tblRegistros[Observação],$L111),"")))</f>
        <v/>
      </c>
      <c r="L111" s="16" t="str">
        <f>IFERROR(MATCH($B$3*100000+COUNTIFS(tblRegistros[ID],$B$3,tblRegistros[Data],"&lt;"&amp;$B$4)+ROWS($L$10:L111),tblRegistros[Chave do cartão],0),"")</f>
        <v/>
      </c>
    </row>
    <row r="112" spans="1:12">
      <c r="A112" s="2" t="str">
        <f>IF($L112="","",IF(INDEX(tblRegistros[Data],$L112)&gt;$D$4,"",IFERROR(INDEX(tblRegistros[Data],$L112),"")))</f>
        <v/>
      </c>
      <c r="B112" t="str">
        <f>IF($L112="","",IF(INDEX(tblRegistros[Data],$L112)&gt;$D$4,"",IFERROR(INDEX(tblRegistros[Projeto],$L112),"")))</f>
        <v/>
      </c>
      <c r="C112" t="str">
        <f>IF($L112="","",IF(INDEX(tblRegistros[Data],$L112)&gt;$D$4,"",IFERROR(INDEX(tblRegistros[Atividade],$L112),"")))</f>
        <v/>
      </c>
      <c r="D112" s="4" t="str">
        <f>IF($L112="","",IF(INDEX(tblRegistros[Data],$L112)&gt;$D$4,"",IFERROR(INDEX(tblRegistros[Início],$L112),"")))</f>
        <v/>
      </c>
      <c r="E112" s="4" t="str">
        <f>IF($L112="","",IF(INDEX(tblRegistros[Data],$L112)&gt;$D$4,"",IFERROR(IF(INDEX(tblRegistros[Status],$L112)="EM ABERTO","",INDEX(tblRegistros[Fim],$L112)),"")))</f>
        <v/>
      </c>
      <c r="F112" s="14" t="str">
        <f>IF($L112="","",IF(INDEX(tblRegistros[Data],$L112)&gt;$D$4,"",IFERROR(IF(INDEX(tblRegistros[Status],$L112)="EM ABERTO","",INDEX(tblRegistros[Horas],$L112)),"")))</f>
        <v/>
      </c>
      <c r="G112" t="str">
        <f>IF($L112="","",IF(INDEX(tblRegistros[Data],$L112)&gt;$D$4,"",IFERROR(INDEX(tblRegistros[Base],$L112),"")))</f>
        <v/>
      </c>
      <c r="H112" s="3" t="str">
        <f>IF($L112="","",IF(INDEX(tblRegistros[Data],$L112)&gt;$D$4,"",IFERROR(INDEX(tblRegistros[Taxa aplicada],$L112),"")))</f>
        <v/>
      </c>
      <c r="I112" s="3" t="str">
        <f>IF($L112="","",IF(INDEX(tblRegistros[Data],$L112)&gt;$D$4,"",IFERROR(IF(INDEX(tblRegistros[Status],$L112)="EM ABERTO","",INDEX(tblRegistros[Valor],$L112)),"")))</f>
        <v/>
      </c>
      <c r="J112" t="str">
        <f>IF($L112="","",IF(INDEX(tblRegistros[Data],$L112)&gt;$D$4,"",IFERROR(INDEX(tblRegistros[Status],$L112),"")))</f>
        <v/>
      </c>
      <c r="K112" t="str">
        <f>IF($L112="","",IF(INDEX(tblRegistros[Data],$L112)&gt;$D$4,"",IFERROR(INDEX(tblRegistros[Observação],$L112),"")))</f>
        <v/>
      </c>
      <c r="L112" s="16" t="str">
        <f>IFERROR(MATCH($B$3*100000+COUNTIFS(tblRegistros[ID],$B$3,tblRegistros[Data],"&lt;"&amp;$B$4)+ROWS($L$10:L112),tblRegistros[Chave do cartão],0),"")</f>
        <v/>
      </c>
    </row>
    <row r="113" spans="1:12">
      <c r="A113" s="2" t="str">
        <f>IF($L113="","",IF(INDEX(tblRegistros[Data],$L113)&gt;$D$4,"",IFERROR(INDEX(tblRegistros[Data],$L113),"")))</f>
        <v/>
      </c>
      <c r="B113" t="str">
        <f>IF($L113="","",IF(INDEX(tblRegistros[Data],$L113)&gt;$D$4,"",IFERROR(INDEX(tblRegistros[Projeto],$L113),"")))</f>
        <v/>
      </c>
      <c r="C113" t="str">
        <f>IF($L113="","",IF(INDEX(tblRegistros[Data],$L113)&gt;$D$4,"",IFERROR(INDEX(tblRegistros[Atividade],$L113),"")))</f>
        <v/>
      </c>
      <c r="D113" s="4" t="str">
        <f>IF($L113="","",IF(INDEX(tblRegistros[Data],$L113)&gt;$D$4,"",IFERROR(INDEX(tblRegistros[Início],$L113),"")))</f>
        <v/>
      </c>
      <c r="E113" s="4" t="str">
        <f>IF($L113="","",IF(INDEX(tblRegistros[Data],$L113)&gt;$D$4,"",IFERROR(IF(INDEX(tblRegistros[Status],$L113)="EM ABERTO","",INDEX(tblRegistros[Fim],$L113)),"")))</f>
        <v/>
      </c>
      <c r="F113" s="14" t="str">
        <f>IF($L113="","",IF(INDEX(tblRegistros[Data],$L113)&gt;$D$4,"",IFERROR(IF(INDEX(tblRegistros[Status],$L113)="EM ABERTO","",INDEX(tblRegistros[Horas],$L113)),"")))</f>
        <v/>
      </c>
      <c r="G113" t="str">
        <f>IF($L113="","",IF(INDEX(tblRegistros[Data],$L113)&gt;$D$4,"",IFERROR(INDEX(tblRegistros[Base],$L113),"")))</f>
        <v/>
      </c>
      <c r="H113" s="3" t="str">
        <f>IF($L113="","",IF(INDEX(tblRegistros[Data],$L113)&gt;$D$4,"",IFERROR(INDEX(tblRegistros[Taxa aplicada],$L113),"")))</f>
        <v/>
      </c>
      <c r="I113" s="3" t="str">
        <f>IF($L113="","",IF(INDEX(tblRegistros[Data],$L113)&gt;$D$4,"",IFERROR(IF(INDEX(tblRegistros[Status],$L113)="EM ABERTO","",INDEX(tblRegistros[Valor],$L113)),"")))</f>
        <v/>
      </c>
      <c r="J113" t="str">
        <f>IF($L113="","",IF(INDEX(tblRegistros[Data],$L113)&gt;$D$4,"",IFERROR(INDEX(tblRegistros[Status],$L113),"")))</f>
        <v/>
      </c>
      <c r="K113" t="str">
        <f>IF($L113="","",IF(INDEX(tblRegistros[Data],$L113)&gt;$D$4,"",IFERROR(INDEX(tblRegistros[Observação],$L113),"")))</f>
        <v/>
      </c>
      <c r="L113" s="16" t="str">
        <f>IFERROR(MATCH($B$3*100000+COUNTIFS(tblRegistros[ID],$B$3,tblRegistros[Data],"&lt;"&amp;$B$4)+ROWS($L$10:L113),tblRegistros[Chave do cartão],0),"")</f>
        <v/>
      </c>
    </row>
    <row r="114" spans="1:12">
      <c r="A114" s="2" t="str">
        <f>IF($L114="","",IF(INDEX(tblRegistros[Data],$L114)&gt;$D$4,"",IFERROR(INDEX(tblRegistros[Data],$L114),"")))</f>
        <v/>
      </c>
      <c r="B114" t="str">
        <f>IF($L114="","",IF(INDEX(tblRegistros[Data],$L114)&gt;$D$4,"",IFERROR(INDEX(tblRegistros[Projeto],$L114),"")))</f>
        <v/>
      </c>
      <c r="C114" t="str">
        <f>IF($L114="","",IF(INDEX(tblRegistros[Data],$L114)&gt;$D$4,"",IFERROR(INDEX(tblRegistros[Atividade],$L114),"")))</f>
        <v/>
      </c>
      <c r="D114" s="4" t="str">
        <f>IF($L114="","",IF(INDEX(tblRegistros[Data],$L114)&gt;$D$4,"",IFERROR(INDEX(tblRegistros[Início],$L114),"")))</f>
        <v/>
      </c>
      <c r="E114" s="4" t="str">
        <f>IF($L114="","",IF(INDEX(tblRegistros[Data],$L114)&gt;$D$4,"",IFERROR(IF(INDEX(tblRegistros[Status],$L114)="EM ABERTO","",INDEX(tblRegistros[Fim],$L114)),"")))</f>
        <v/>
      </c>
      <c r="F114" s="14" t="str">
        <f>IF($L114="","",IF(INDEX(tblRegistros[Data],$L114)&gt;$D$4,"",IFERROR(IF(INDEX(tblRegistros[Status],$L114)="EM ABERTO","",INDEX(tblRegistros[Horas],$L114)),"")))</f>
        <v/>
      </c>
      <c r="G114" t="str">
        <f>IF($L114="","",IF(INDEX(tblRegistros[Data],$L114)&gt;$D$4,"",IFERROR(INDEX(tblRegistros[Base],$L114),"")))</f>
        <v/>
      </c>
      <c r="H114" s="3" t="str">
        <f>IF($L114="","",IF(INDEX(tblRegistros[Data],$L114)&gt;$D$4,"",IFERROR(INDEX(tblRegistros[Taxa aplicada],$L114),"")))</f>
        <v/>
      </c>
      <c r="I114" s="3" t="str">
        <f>IF($L114="","",IF(INDEX(tblRegistros[Data],$L114)&gt;$D$4,"",IFERROR(IF(INDEX(tblRegistros[Status],$L114)="EM ABERTO","",INDEX(tblRegistros[Valor],$L114)),"")))</f>
        <v/>
      </c>
      <c r="J114" t="str">
        <f>IF($L114="","",IF(INDEX(tblRegistros[Data],$L114)&gt;$D$4,"",IFERROR(INDEX(tblRegistros[Status],$L114),"")))</f>
        <v/>
      </c>
      <c r="K114" t="str">
        <f>IF($L114="","",IF(INDEX(tblRegistros[Data],$L114)&gt;$D$4,"",IFERROR(INDEX(tblRegistros[Observação],$L114),"")))</f>
        <v/>
      </c>
      <c r="L114" s="16" t="str">
        <f>IFERROR(MATCH($B$3*100000+COUNTIFS(tblRegistros[ID],$B$3,tblRegistros[Data],"&lt;"&amp;$B$4)+ROWS($L$10:L114),tblRegistros[Chave do cartão],0),"")</f>
        <v/>
      </c>
    </row>
    <row r="115" spans="1:12">
      <c r="A115" s="2" t="str">
        <f>IF($L115="","",IF(INDEX(tblRegistros[Data],$L115)&gt;$D$4,"",IFERROR(INDEX(tblRegistros[Data],$L115),"")))</f>
        <v/>
      </c>
      <c r="B115" t="str">
        <f>IF($L115="","",IF(INDEX(tblRegistros[Data],$L115)&gt;$D$4,"",IFERROR(INDEX(tblRegistros[Projeto],$L115),"")))</f>
        <v/>
      </c>
      <c r="C115" t="str">
        <f>IF($L115="","",IF(INDEX(tblRegistros[Data],$L115)&gt;$D$4,"",IFERROR(INDEX(tblRegistros[Atividade],$L115),"")))</f>
        <v/>
      </c>
      <c r="D115" s="4" t="str">
        <f>IF($L115="","",IF(INDEX(tblRegistros[Data],$L115)&gt;$D$4,"",IFERROR(INDEX(tblRegistros[Início],$L115),"")))</f>
        <v/>
      </c>
      <c r="E115" s="4" t="str">
        <f>IF($L115="","",IF(INDEX(tblRegistros[Data],$L115)&gt;$D$4,"",IFERROR(IF(INDEX(tblRegistros[Status],$L115)="EM ABERTO","",INDEX(tblRegistros[Fim],$L115)),"")))</f>
        <v/>
      </c>
      <c r="F115" s="14" t="str">
        <f>IF($L115="","",IF(INDEX(tblRegistros[Data],$L115)&gt;$D$4,"",IFERROR(IF(INDEX(tblRegistros[Status],$L115)="EM ABERTO","",INDEX(tblRegistros[Horas],$L115)),"")))</f>
        <v/>
      </c>
      <c r="G115" t="str">
        <f>IF($L115="","",IF(INDEX(tblRegistros[Data],$L115)&gt;$D$4,"",IFERROR(INDEX(tblRegistros[Base],$L115),"")))</f>
        <v/>
      </c>
      <c r="H115" s="3" t="str">
        <f>IF($L115="","",IF(INDEX(tblRegistros[Data],$L115)&gt;$D$4,"",IFERROR(INDEX(tblRegistros[Taxa aplicada],$L115),"")))</f>
        <v/>
      </c>
      <c r="I115" s="3" t="str">
        <f>IF($L115="","",IF(INDEX(tblRegistros[Data],$L115)&gt;$D$4,"",IFERROR(IF(INDEX(tblRegistros[Status],$L115)="EM ABERTO","",INDEX(tblRegistros[Valor],$L115)),"")))</f>
        <v/>
      </c>
      <c r="J115" t="str">
        <f>IF($L115="","",IF(INDEX(tblRegistros[Data],$L115)&gt;$D$4,"",IFERROR(INDEX(tblRegistros[Status],$L115),"")))</f>
        <v/>
      </c>
      <c r="K115" t="str">
        <f>IF($L115="","",IF(INDEX(tblRegistros[Data],$L115)&gt;$D$4,"",IFERROR(INDEX(tblRegistros[Observação],$L115),"")))</f>
        <v/>
      </c>
      <c r="L115" s="16" t="str">
        <f>IFERROR(MATCH($B$3*100000+COUNTIFS(tblRegistros[ID],$B$3,tblRegistros[Data],"&lt;"&amp;$B$4)+ROWS($L$10:L115),tblRegistros[Chave do cartão],0),"")</f>
        <v/>
      </c>
    </row>
    <row r="116" spans="1:12">
      <c r="A116" s="2" t="str">
        <f>IF($L116="","",IF(INDEX(tblRegistros[Data],$L116)&gt;$D$4,"",IFERROR(INDEX(tblRegistros[Data],$L116),"")))</f>
        <v/>
      </c>
      <c r="B116" t="str">
        <f>IF($L116="","",IF(INDEX(tblRegistros[Data],$L116)&gt;$D$4,"",IFERROR(INDEX(tblRegistros[Projeto],$L116),"")))</f>
        <v/>
      </c>
      <c r="C116" t="str">
        <f>IF($L116="","",IF(INDEX(tblRegistros[Data],$L116)&gt;$D$4,"",IFERROR(INDEX(tblRegistros[Atividade],$L116),"")))</f>
        <v/>
      </c>
      <c r="D116" s="4" t="str">
        <f>IF($L116="","",IF(INDEX(tblRegistros[Data],$L116)&gt;$D$4,"",IFERROR(INDEX(tblRegistros[Início],$L116),"")))</f>
        <v/>
      </c>
      <c r="E116" s="4" t="str">
        <f>IF($L116="","",IF(INDEX(tblRegistros[Data],$L116)&gt;$D$4,"",IFERROR(IF(INDEX(tblRegistros[Status],$L116)="EM ABERTO","",INDEX(tblRegistros[Fim],$L116)),"")))</f>
        <v/>
      </c>
      <c r="F116" s="14" t="str">
        <f>IF($L116="","",IF(INDEX(tblRegistros[Data],$L116)&gt;$D$4,"",IFERROR(IF(INDEX(tblRegistros[Status],$L116)="EM ABERTO","",INDEX(tblRegistros[Horas],$L116)),"")))</f>
        <v/>
      </c>
      <c r="G116" t="str">
        <f>IF($L116="","",IF(INDEX(tblRegistros[Data],$L116)&gt;$D$4,"",IFERROR(INDEX(tblRegistros[Base],$L116),"")))</f>
        <v/>
      </c>
      <c r="H116" s="3" t="str">
        <f>IF($L116="","",IF(INDEX(tblRegistros[Data],$L116)&gt;$D$4,"",IFERROR(INDEX(tblRegistros[Taxa aplicada],$L116),"")))</f>
        <v/>
      </c>
      <c r="I116" s="3" t="str">
        <f>IF($L116="","",IF(INDEX(tblRegistros[Data],$L116)&gt;$D$4,"",IFERROR(IF(INDEX(tblRegistros[Status],$L116)="EM ABERTO","",INDEX(tblRegistros[Valor],$L116)),"")))</f>
        <v/>
      </c>
      <c r="J116" t="str">
        <f>IF($L116="","",IF(INDEX(tblRegistros[Data],$L116)&gt;$D$4,"",IFERROR(INDEX(tblRegistros[Status],$L116),"")))</f>
        <v/>
      </c>
      <c r="K116" t="str">
        <f>IF($L116="","",IF(INDEX(tblRegistros[Data],$L116)&gt;$D$4,"",IFERROR(INDEX(tblRegistros[Observação],$L116),"")))</f>
        <v/>
      </c>
      <c r="L116" s="16" t="str">
        <f>IFERROR(MATCH($B$3*100000+COUNTIFS(tblRegistros[ID],$B$3,tblRegistros[Data],"&lt;"&amp;$B$4)+ROWS($L$10:L116),tblRegistros[Chave do cartão],0),"")</f>
        <v/>
      </c>
    </row>
    <row r="117" spans="1:12">
      <c r="A117" s="2" t="str">
        <f>IF($L117="","",IF(INDEX(tblRegistros[Data],$L117)&gt;$D$4,"",IFERROR(INDEX(tblRegistros[Data],$L117),"")))</f>
        <v/>
      </c>
      <c r="B117" t="str">
        <f>IF($L117="","",IF(INDEX(tblRegistros[Data],$L117)&gt;$D$4,"",IFERROR(INDEX(tblRegistros[Projeto],$L117),"")))</f>
        <v/>
      </c>
      <c r="C117" t="str">
        <f>IF($L117="","",IF(INDEX(tblRegistros[Data],$L117)&gt;$D$4,"",IFERROR(INDEX(tblRegistros[Atividade],$L117),"")))</f>
        <v/>
      </c>
      <c r="D117" s="4" t="str">
        <f>IF($L117="","",IF(INDEX(tblRegistros[Data],$L117)&gt;$D$4,"",IFERROR(INDEX(tblRegistros[Início],$L117),"")))</f>
        <v/>
      </c>
      <c r="E117" s="4" t="str">
        <f>IF($L117="","",IF(INDEX(tblRegistros[Data],$L117)&gt;$D$4,"",IFERROR(IF(INDEX(tblRegistros[Status],$L117)="EM ABERTO","",INDEX(tblRegistros[Fim],$L117)),"")))</f>
        <v/>
      </c>
      <c r="F117" s="14" t="str">
        <f>IF($L117="","",IF(INDEX(tblRegistros[Data],$L117)&gt;$D$4,"",IFERROR(IF(INDEX(tblRegistros[Status],$L117)="EM ABERTO","",INDEX(tblRegistros[Horas],$L117)),"")))</f>
        <v/>
      </c>
      <c r="G117" t="str">
        <f>IF($L117="","",IF(INDEX(tblRegistros[Data],$L117)&gt;$D$4,"",IFERROR(INDEX(tblRegistros[Base],$L117),"")))</f>
        <v/>
      </c>
      <c r="H117" s="3" t="str">
        <f>IF($L117="","",IF(INDEX(tblRegistros[Data],$L117)&gt;$D$4,"",IFERROR(INDEX(tblRegistros[Taxa aplicada],$L117),"")))</f>
        <v/>
      </c>
      <c r="I117" s="3" t="str">
        <f>IF($L117="","",IF(INDEX(tblRegistros[Data],$L117)&gt;$D$4,"",IFERROR(IF(INDEX(tblRegistros[Status],$L117)="EM ABERTO","",INDEX(tblRegistros[Valor],$L117)),"")))</f>
        <v/>
      </c>
      <c r="J117" t="str">
        <f>IF($L117="","",IF(INDEX(tblRegistros[Data],$L117)&gt;$D$4,"",IFERROR(INDEX(tblRegistros[Status],$L117),"")))</f>
        <v/>
      </c>
      <c r="K117" t="str">
        <f>IF($L117="","",IF(INDEX(tblRegistros[Data],$L117)&gt;$D$4,"",IFERROR(INDEX(tblRegistros[Observação],$L117),"")))</f>
        <v/>
      </c>
      <c r="L117" s="16" t="str">
        <f>IFERROR(MATCH($B$3*100000+COUNTIFS(tblRegistros[ID],$B$3,tblRegistros[Data],"&lt;"&amp;$B$4)+ROWS($L$10:L117),tblRegistros[Chave do cartão],0),"")</f>
        <v/>
      </c>
    </row>
    <row r="118" spans="1:12">
      <c r="A118" s="2" t="str">
        <f>IF($L118="","",IF(INDEX(tblRegistros[Data],$L118)&gt;$D$4,"",IFERROR(INDEX(tblRegistros[Data],$L118),"")))</f>
        <v/>
      </c>
      <c r="B118" t="str">
        <f>IF($L118="","",IF(INDEX(tblRegistros[Data],$L118)&gt;$D$4,"",IFERROR(INDEX(tblRegistros[Projeto],$L118),"")))</f>
        <v/>
      </c>
      <c r="C118" t="str">
        <f>IF($L118="","",IF(INDEX(tblRegistros[Data],$L118)&gt;$D$4,"",IFERROR(INDEX(tblRegistros[Atividade],$L118),"")))</f>
        <v/>
      </c>
      <c r="D118" s="4" t="str">
        <f>IF($L118="","",IF(INDEX(tblRegistros[Data],$L118)&gt;$D$4,"",IFERROR(INDEX(tblRegistros[Início],$L118),"")))</f>
        <v/>
      </c>
      <c r="E118" s="4" t="str">
        <f>IF($L118="","",IF(INDEX(tblRegistros[Data],$L118)&gt;$D$4,"",IFERROR(IF(INDEX(tblRegistros[Status],$L118)="EM ABERTO","",INDEX(tblRegistros[Fim],$L118)),"")))</f>
        <v/>
      </c>
      <c r="F118" s="14" t="str">
        <f>IF($L118="","",IF(INDEX(tblRegistros[Data],$L118)&gt;$D$4,"",IFERROR(IF(INDEX(tblRegistros[Status],$L118)="EM ABERTO","",INDEX(tblRegistros[Horas],$L118)),"")))</f>
        <v/>
      </c>
      <c r="G118" t="str">
        <f>IF($L118="","",IF(INDEX(tblRegistros[Data],$L118)&gt;$D$4,"",IFERROR(INDEX(tblRegistros[Base],$L118),"")))</f>
        <v/>
      </c>
      <c r="H118" s="3" t="str">
        <f>IF($L118="","",IF(INDEX(tblRegistros[Data],$L118)&gt;$D$4,"",IFERROR(INDEX(tblRegistros[Taxa aplicada],$L118),"")))</f>
        <v/>
      </c>
      <c r="I118" s="3" t="str">
        <f>IF($L118="","",IF(INDEX(tblRegistros[Data],$L118)&gt;$D$4,"",IFERROR(IF(INDEX(tblRegistros[Status],$L118)="EM ABERTO","",INDEX(tblRegistros[Valor],$L118)),"")))</f>
        <v/>
      </c>
      <c r="J118" t="str">
        <f>IF($L118="","",IF(INDEX(tblRegistros[Data],$L118)&gt;$D$4,"",IFERROR(INDEX(tblRegistros[Status],$L118),"")))</f>
        <v/>
      </c>
      <c r="K118" t="str">
        <f>IF($L118="","",IF(INDEX(tblRegistros[Data],$L118)&gt;$D$4,"",IFERROR(INDEX(tblRegistros[Observação],$L118),"")))</f>
        <v/>
      </c>
      <c r="L118" s="16" t="str">
        <f>IFERROR(MATCH($B$3*100000+COUNTIFS(tblRegistros[ID],$B$3,tblRegistros[Data],"&lt;"&amp;$B$4)+ROWS($L$10:L118),tblRegistros[Chave do cartão],0),"")</f>
        <v/>
      </c>
    </row>
    <row r="119" spans="1:12">
      <c r="A119" s="2" t="str">
        <f>IF($L119="","",IF(INDEX(tblRegistros[Data],$L119)&gt;$D$4,"",IFERROR(INDEX(tblRegistros[Data],$L119),"")))</f>
        <v/>
      </c>
      <c r="B119" t="str">
        <f>IF($L119="","",IF(INDEX(tblRegistros[Data],$L119)&gt;$D$4,"",IFERROR(INDEX(tblRegistros[Projeto],$L119),"")))</f>
        <v/>
      </c>
      <c r="C119" t="str">
        <f>IF($L119="","",IF(INDEX(tblRegistros[Data],$L119)&gt;$D$4,"",IFERROR(INDEX(tblRegistros[Atividade],$L119),"")))</f>
        <v/>
      </c>
      <c r="D119" s="4" t="str">
        <f>IF($L119="","",IF(INDEX(tblRegistros[Data],$L119)&gt;$D$4,"",IFERROR(INDEX(tblRegistros[Início],$L119),"")))</f>
        <v/>
      </c>
      <c r="E119" s="4" t="str">
        <f>IF($L119="","",IF(INDEX(tblRegistros[Data],$L119)&gt;$D$4,"",IFERROR(IF(INDEX(tblRegistros[Status],$L119)="EM ABERTO","",INDEX(tblRegistros[Fim],$L119)),"")))</f>
        <v/>
      </c>
      <c r="F119" s="14" t="str">
        <f>IF($L119="","",IF(INDEX(tblRegistros[Data],$L119)&gt;$D$4,"",IFERROR(IF(INDEX(tblRegistros[Status],$L119)="EM ABERTO","",INDEX(tblRegistros[Horas],$L119)),"")))</f>
        <v/>
      </c>
      <c r="G119" t="str">
        <f>IF($L119="","",IF(INDEX(tblRegistros[Data],$L119)&gt;$D$4,"",IFERROR(INDEX(tblRegistros[Base],$L119),"")))</f>
        <v/>
      </c>
      <c r="H119" s="3" t="str">
        <f>IF($L119="","",IF(INDEX(tblRegistros[Data],$L119)&gt;$D$4,"",IFERROR(INDEX(tblRegistros[Taxa aplicada],$L119),"")))</f>
        <v/>
      </c>
      <c r="I119" s="3" t="str">
        <f>IF($L119="","",IF(INDEX(tblRegistros[Data],$L119)&gt;$D$4,"",IFERROR(IF(INDEX(tblRegistros[Status],$L119)="EM ABERTO","",INDEX(tblRegistros[Valor],$L119)),"")))</f>
        <v/>
      </c>
      <c r="J119" t="str">
        <f>IF($L119="","",IF(INDEX(tblRegistros[Data],$L119)&gt;$D$4,"",IFERROR(INDEX(tblRegistros[Status],$L119),"")))</f>
        <v/>
      </c>
      <c r="K119" t="str">
        <f>IF($L119="","",IF(INDEX(tblRegistros[Data],$L119)&gt;$D$4,"",IFERROR(INDEX(tblRegistros[Observação],$L119),"")))</f>
        <v/>
      </c>
      <c r="L119" s="16" t="str">
        <f>IFERROR(MATCH($B$3*100000+COUNTIFS(tblRegistros[ID],$B$3,tblRegistros[Data],"&lt;"&amp;$B$4)+ROWS($L$10:L119),tblRegistros[Chave do cartão],0),"")</f>
        <v/>
      </c>
    </row>
    <row r="120" spans="1:12">
      <c r="A120" s="2" t="str">
        <f>IF($L120="","",IF(INDEX(tblRegistros[Data],$L120)&gt;$D$4,"",IFERROR(INDEX(tblRegistros[Data],$L120),"")))</f>
        <v/>
      </c>
      <c r="B120" t="str">
        <f>IF($L120="","",IF(INDEX(tblRegistros[Data],$L120)&gt;$D$4,"",IFERROR(INDEX(tblRegistros[Projeto],$L120),"")))</f>
        <v/>
      </c>
      <c r="C120" t="str">
        <f>IF($L120="","",IF(INDEX(tblRegistros[Data],$L120)&gt;$D$4,"",IFERROR(INDEX(tblRegistros[Atividade],$L120),"")))</f>
        <v/>
      </c>
      <c r="D120" s="4" t="str">
        <f>IF($L120="","",IF(INDEX(tblRegistros[Data],$L120)&gt;$D$4,"",IFERROR(INDEX(tblRegistros[Início],$L120),"")))</f>
        <v/>
      </c>
      <c r="E120" s="4" t="str">
        <f>IF($L120="","",IF(INDEX(tblRegistros[Data],$L120)&gt;$D$4,"",IFERROR(IF(INDEX(tblRegistros[Status],$L120)="EM ABERTO","",INDEX(tblRegistros[Fim],$L120)),"")))</f>
        <v/>
      </c>
      <c r="F120" s="14" t="str">
        <f>IF($L120="","",IF(INDEX(tblRegistros[Data],$L120)&gt;$D$4,"",IFERROR(IF(INDEX(tblRegistros[Status],$L120)="EM ABERTO","",INDEX(tblRegistros[Horas],$L120)),"")))</f>
        <v/>
      </c>
      <c r="G120" t="str">
        <f>IF($L120="","",IF(INDEX(tblRegistros[Data],$L120)&gt;$D$4,"",IFERROR(INDEX(tblRegistros[Base],$L120),"")))</f>
        <v/>
      </c>
      <c r="H120" s="3" t="str">
        <f>IF($L120="","",IF(INDEX(tblRegistros[Data],$L120)&gt;$D$4,"",IFERROR(INDEX(tblRegistros[Taxa aplicada],$L120),"")))</f>
        <v/>
      </c>
      <c r="I120" s="3" t="str">
        <f>IF($L120="","",IF(INDEX(tblRegistros[Data],$L120)&gt;$D$4,"",IFERROR(IF(INDEX(tblRegistros[Status],$L120)="EM ABERTO","",INDEX(tblRegistros[Valor],$L120)),"")))</f>
        <v/>
      </c>
      <c r="J120" t="str">
        <f>IF($L120="","",IF(INDEX(tblRegistros[Data],$L120)&gt;$D$4,"",IFERROR(INDEX(tblRegistros[Status],$L120),"")))</f>
        <v/>
      </c>
      <c r="K120" t="str">
        <f>IF($L120="","",IF(INDEX(tblRegistros[Data],$L120)&gt;$D$4,"",IFERROR(INDEX(tblRegistros[Observação],$L120),"")))</f>
        <v/>
      </c>
      <c r="L120" s="16" t="str">
        <f>IFERROR(MATCH($B$3*100000+COUNTIFS(tblRegistros[ID],$B$3,tblRegistros[Data],"&lt;"&amp;$B$4)+ROWS($L$10:L120),tblRegistros[Chave do cartão],0),"")</f>
        <v/>
      </c>
    </row>
    <row r="121" spans="1:12">
      <c r="A121" s="2" t="str">
        <f>IF($L121="","",IF(INDEX(tblRegistros[Data],$L121)&gt;$D$4,"",IFERROR(INDEX(tblRegistros[Data],$L121),"")))</f>
        <v/>
      </c>
      <c r="B121" t="str">
        <f>IF($L121="","",IF(INDEX(tblRegistros[Data],$L121)&gt;$D$4,"",IFERROR(INDEX(tblRegistros[Projeto],$L121),"")))</f>
        <v/>
      </c>
      <c r="C121" t="str">
        <f>IF($L121="","",IF(INDEX(tblRegistros[Data],$L121)&gt;$D$4,"",IFERROR(INDEX(tblRegistros[Atividade],$L121),"")))</f>
        <v/>
      </c>
      <c r="D121" s="4" t="str">
        <f>IF($L121="","",IF(INDEX(tblRegistros[Data],$L121)&gt;$D$4,"",IFERROR(INDEX(tblRegistros[Início],$L121),"")))</f>
        <v/>
      </c>
      <c r="E121" s="4" t="str">
        <f>IF($L121="","",IF(INDEX(tblRegistros[Data],$L121)&gt;$D$4,"",IFERROR(IF(INDEX(tblRegistros[Status],$L121)="EM ABERTO","",INDEX(tblRegistros[Fim],$L121)),"")))</f>
        <v/>
      </c>
      <c r="F121" s="14" t="str">
        <f>IF($L121="","",IF(INDEX(tblRegistros[Data],$L121)&gt;$D$4,"",IFERROR(IF(INDEX(tblRegistros[Status],$L121)="EM ABERTO","",INDEX(tblRegistros[Horas],$L121)),"")))</f>
        <v/>
      </c>
      <c r="G121" t="str">
        <f>IF($L121="","",IF(INDEX(tblRegistros[Data],$L121)&gt;$D$4,"",IFERROR(INDEX(tblRegistros[Base],$L121),"")))</f>
        <v/>
      </c>
      <c r="H121" s="3" t="str">
        <f>IF($L121="","",IF(INDEX(tblRegistros[Data],$L121)&gt;$D$4,"",IFERROR(INDEX(tblRegistros[Taxa aplicada],$L121),"")))</f>
        <v/>
      </c>
      <c r="I121" s="3" t="str">
        <f>IF($L121="","",IF(INDEX(tblRegistros[Data],$L121)&gt;$D$4,"",IFERROR(IF(INDEX(tblRegistros[Status],$L121)="EM ABERTO","",INDEX(tblRegistros[Valor],$L121)),"")))</f>
        <v/>
      </c>
      <c r="J121" t="str">
        <f>IF($L121="","",IF(INDEX(tblRegistros[Data],$L121)&gt;$D$4,"",IFERROR(INDEX(tblRegistros[Status],$L121),"")))</f>
        <v/>
      </c>
      <c r="K121" t="str">
        <f>IF($L121="","",IF(INDEX(tblRegistros[Data],$L121)&gt;$D$4,"",IFERROR(INDEX(tblRegistros[Observação],$L121),"")))</f>
        <v/>
      </c>
      <c r="L121" s="16" t="str">
        <f>IFERROR(MATCH($B$3*100000+COUNTIFS(tblRegistros[ID],$B$3,tblRegistros[Data],"&lt;"&amp;$B$4)+ROWS($L$10:L121),tblRegistros[Chave do cartão],0),"")</f>
        <v/>
      </c>
    </row>
    <row r="122" spans="1:12">
      <c r="A122" s="2" t="str">
        <f>IF($L122="","",IF(INDEX(tblRegistros[Data],$L122)&gt;$D$4,"",IFERROR(INDEX(tblRegistros[Data],$L122),"")))</f>
        <v/>
      </c>
      <c r="B122" t="str">
        <f>IF($L122="","",IF(INDEX(tblRegistros[Data],$L122)&gt;$D$4,"",IFERROR(INDEX(tblRegistros[Projeto],$L122),"")))</f>
        <v/>
      </c>
      <c r="C122" t="str">
        <f>IF($L122="","",IF(INDEX(tblRegistros[Data],$L122)&gt;$D$4,"",IFERROR(INDEX(tblRegistros[Atividade],$L122),"")))</f>
        <v/>
      </c>
      <c r="D122" s="4" t="str">
        <f>IF($L122="","",IF(INDEX(tblRegistros[Data],$L122)&gt;$D$4,"",IFERROR(INDEX(tblRegistros[Início],$L122),"")))</f>
        <v/>
      </c>
      <c r="E122" s="4" t="str">
        <f>IF($L122="","",IF(INDEX(tblRegistros[Data],$L122)&gt;$D$4,"",IFERROR(IF(INDEX(tblRegistros[Status],$L122)="EM ABERTO","",INDEX(tblRegistros[Fim],$L122)),"")))</f>
        <v/>
      </c>
      <c r="F122" s="14" t="str">
        <f>IF($L122="","",IF(INDEX(tblRegistros[Data],$L122)&gt;$D$4,"",IFERROR(IF(INDEX(tblRegistros[Status],$L122)="EM ABERTO","",INDEX(tblRegistros[Horas],$L122)),"")))</f>
        <v/>
      </c>
      <c r="G122" t="str">
        <f>IF($L122="","",IF(INDEX(tblRegistros[Data],$L122)&gt;$D$4,"",IFERROR(INDEX(tblRegistros[Base],$L122),"")))</f>
        <v/>
      </c>
      <c r="H122" s="3" t="str">
        <f>IF($L122="","",IF(INDEX(tblRegistros[Data],$L122)&gt;$D$4,"",IFERROR(INDEX(tblRegistros[Taxa aplicada],$L122),"")))</f>
        <v/>
      </c>
      <c r="I122" s="3" t="str">
        <f>IF($L122="","",IF(INDEX(tblRegistros[Data],$L122)&gt;$D$4,"",IFERROR(IF(INDEX(tblRegistros[Status],$L122)="EM ABERTO","",INDEX(tblRegistros[Valor],$L122)),"")))</f>
        <v/>
      </c>
      <c r="J122" t="str">
        <f>IF($L122="","",IF(INDEX(tblRegistros[Data],$L122)&gt;$D$4,"",IFERROR(INDEX(tblRegistros[Status],$L122),"")))</f>
        <v/>
      </c>
      <c r="K122" t="str">
        <f>IF($L122="","",IF(INDEX(tblRegistros[Data],$L122)&gt;$D$4,"",IFERROR(INDEX(tblRegistros[Observação],$L122),"")))</f>
        <v/>
      </c>
      <c r="L122" s="16" t="str">
        <f>IFERROR(MATCH($B$3*100000+COUNTIFS(tblRegistros[ID],$B$3,tblRegistros[Data],"&lt;"&amp;$B$4)+ROWS($L$10:L122),tblRegistros[Chave do cartão],0),"")</f>
        <v/>
      </c>
    </row>
    <row r="123" spans="1:12">
      <c r="A123" s="2" t="str">
        <f>IF($L123="","",IF(INDEX(tblRegistros[Data],$L123)&gt;$D$4,"",IFERROR(INDEX(tblRegistros[Data],$L123),"")))</f>
        <v/>
      </c>
      <c r="B123" t="str">
        <f>IF($L123="","",IF(INDEX(tblRegistros[Data],$L123)&gt;$D$4,"",IFERROR(INDEX(tblRegistros[Projeto],$L123),"")))</f>
        <v/>
      </c>
      <c r="C123" t="str">
        <f>IF($L123="","",IF(INDEX(tblRegistros[Data],$L123)&gt;$D$4,"",IFERROR(INDEX(tblRegistros[Atividade],$L123),"")))</f>
        <v/>
      </c>
      <c r="D123" s="4" t="str">
        <f>IF($L123="","",IF(INDEX(tblRegistros[Data],$L123)&gt;$D$4,"",IFERROR(INDEX(tblRegistros[Início],$L123),"")))</f>
        <v/>
      </c>
      <c r="E123" s="4" t="str">
        <f>IF($L123="","",IF(INDEX(tblRegistros[Data],$L123)&gt;$D$4,"",IFERROR(IF(INDEX(tblRegistros[Status],$L123)="EM ABERTO","",INDEX(tblRegistros[Fim],$L123)),"")))</f>
        <v/>
      </c>
      <c r="F123" s="14" t="str">
        <f>IF($L123="","",IF(INDEX(tblRegistros[Data],$L123)&gt;$D$4,"",IFERROR(IF(INDEX(tblRegistros[Status],$L123)="EM ABERTO","",INDEX(tblRegistros[Horas],$L123)),"")))</f>
        <v/>
      </c>
      <c r="G123" t="str">
        <f>IF($L123="","",IF(INDEX(tblRegistros[Data],$L123)&gt;$D$4,"",IFERROR(INDEX(tblRegistros[Base],$L123),"")))</f>
        <v/>
      </c>
      <c r="H123" s="3" t="str">
        <f>IF($L123="","",IF(INDEX(tblRegistros[Data],$L123)&gt;$D$4,"",IFERROR(INDEX(tblRegistros[Taxa aplicada],$L123),"")))</f>
        <v/>
      </c>
      <c r="I123" s="3" t="str">
        <f>IF($L123="","",IF(INDEX(tblRegistros[Data],$L123)&gt;$D$4,"",IFERROR(IF(INDEX(tblRegistros[Status],$L123)="EM ABERTO","",INDEX(tblRegistros[Valor],$L123)),"")))</f>
        <v/>
      </c>
      <c r="J123" t="str">
        <f>IF($L123="","",IF(INDEX(tblRegistros[Data],$L123)&gt;$D$4,"",IFERROR(INDEX(tblRegistros[Status],$L123),"")))</f>
        <v/>
      </c>
      <c r="K123" t="str">
        <f>IF($L123="","",IF(INDEX(tblRegistros[Data],$L123)&gt;$D$4,"",IFERROR(INDEX(tblRegistros[Observação],$L123),"")))</f>
        <v/>
      </c>
      <c r="L123" s="16" t="str">
        <f>IFERROR(MATCH($B$3*100000+COUNTIFS(tblRegistros[ID],$B$3,tblRegistros[Data],"&lt;"&amp;$B$4)+ROWS($L$10:L123),tblRegistros[Chave do cartão],0),"")</f>
        <v/>
      </c>
    </row>
    <row r="124" spans="1:12">
      <c r="A124" s="2" t="str">
        <f>IF($L124="","",IF(INDEX(tblRegistros[Data],$L124)&gt;$D$4,"",IFERROR(INDEX(tblRegistros[Data],$L124),"")))</f>
        <v/>
      </c>
      <c r="B124" t="str">
        <f>IF($L124="","",IF(INDEX(tblRegistros[Data],$L124)&gt;$D$4,"",IFERROR(INDEX(tblRegistros[Projeto],$L124),"")))</f>
        <v/>
      </c>
      <c r="C124" t="str">
        <f>IF($L124="","",IF(INDEX(tblRegistros[Data],$L124)&gt;$D$4,"",IFERROR(INDEX(tblRegistros[Atividade],$L124),"")))</f>
        <v/>
      </c>
      <c r="D124" s="4" t="str">
        <f>IF($L124="","",IF(INDEX(tblRegistros[Data],$L124)&gt;$D$4,"",IFERROR(INDEX(tblRegistros[Início],$L124),"")))</f>
        <v/>
      </c>
      <c r="E124" s="4" t="str">
        <f>IF($L124="","",IF(INDEX(tblRegistros[Data],$L124)&gt;$D$4,"",IFERROR(IF(INDEX(tblRegistros[Status],$L124)="EM ABERTO","",INDEX(tblRegistros[Fim],$L124)),"")))</f>
        <v/>
      </c>
      <c r="F124" s="14" t="str">
        <f>IF($L124="","",IF(INDEX(tblRegistros[Data],$L124)&gt;$D$4,"",IFERROR(IF(INDEX(tblRegistros[Status],$L124)="EM ABERTO","",INDEX(tblRegistros[Horas],$L124)),"")))</f>
        <v/>
      </c>
      <c r="G124" t="str">
        <f>IF($L124="","",IF(INDEX(tblRegistros[Data],$L124)&gt;$D$4,"",IFERROR(INDEX(tblRegistros[Base],$L124),"")))</f>
        <v/>
      </c>
      <c r="H124" s="3" t="str">
        <f>IF($L124="","",IF(INDEX(tblRegistros[Data],$L124)&gt;$D$4,"",IFERROR(INDEX(tblRegistros[Taxa aplicada],$L124),"")))</f>
        <v/>
      </c>
      <c r="I124" s="3" t="str">
        <f>IF($L124="","",IF(INDEX(tblRegistros[Data],$L124)&gt;$D$4,"",IFERROR(IF(INDEX(tblRegistros[Status],$L124)="EM ABERTO","",INDEX(tblRegistros[Valor],$L124)),"")))</f>
        <v/>
      </c>
      <c r="J124" t="str">
        <f>IF($L124="","",IF(INDEX(tblRegistros[Data],$L124)&gt;$D$4,"",IFERROR(INDEX(tblRegistros[Status],$L124),"")))</f>
        <v/>
      </c>
      <c r="K124" t="str">
        <f>IF($L124="","",IF(INDEX(tblRegistros[Data],$L124)&gt;$D$4,"",IFERROR(INDEX(tblRegistros[Observação],$L124),"")))</f>
        <v/>
      </c>
      <c r="L124" s="16" t="str">
        <f>IFERROR(MATCH($B$3*100000+COUNTIFS(tblRegistros[ID],$B$3,tblRegistros[Data],"&lt;"&amp;$B$4)+ROWS($L$10:L124),tblRegistros[Chave do cartão],0),"")</f>
        <v/>
      </c>
    </row>
    <row r="125" spans="1:12">
      <c r="A125" s="2" t="str">
        <f>IF($L125="","",IF(INDEX(tblRegistros[Data],$L125)&gt;$D$4,"",IFERROR(INDEX(tblRegistros[Data],$L125),"")))</f>
        <v/>
      </c>
      <c r="B125" t="str">
        <f>IF($L125="","",IF(INDEX(tblRegistros[Data],$L125)&gt;$D$4,"",IFERROR(INDEX(tblRegistros[Projeto],$L125),"")))</f>
        <v/>
      </c>
      <c r="C125" t="str">
        <f>IF($L125="","",IF(INDEX(tblRegistros[Data],$L125)&gt;$D$4,"",IFERROR(INDEX(tblRegistros[Atividade],$L125),"")))</f>
        <v/>
      </c>
      <c r="D125" s="4" t="str">
        <f>IF($L125="","",IF(INDEX(tblRegistros[Data],$L125)&gt;$D$4,"",IFERROR(INDEX(tblRegistros[Início],$L125),"")))</f>
        <v/>
      </c>
      <c r="E125" s="4" t="str">
        <f>IF($L125="","",IF(INDEX(tblRegistros[Data],$L125)&gt;$D$4,"",IFERROR(IF(INDEX(tblRegistros[Status],$L125)="EM ABERTO","",INDEX(tblRegistros[Fim],$L125)),"")))</f>
        <v/>
      </c>
      <c r="F125" s="14" t="str">
        <f>IF($L125="","",IF(INDEX(tblRegistros[Data],$L125)&gt;$D$4,"",IFERROR(IF(INDEX(tblRegistros[Status],$L125)="EM ABERTO","",INDEX(tblRegistros[Horas],$L125)),"")))</f>
        <v/>
      </c>
      <c r="G125" t="str">
        <f>IF($L125="","",IF(INDEX(tblRegistros[Data],$L125)&gt;$D$4,"",IFERROR(INDEX(tblRegistros[Base],$L125),"")))</f>
        <v/>
      </c>
      <c r="H125" s="3" t="str">
        <f>IF($L125="","",IF(INDEX(tblRegistros[Data],$L125)&gt;$D$4,"",IFERROR(INDEX(tblRegistros[Taxa aplicada],$L125),"")))</f>
        <v/>
      </c>
      <c r="I125" s="3" t="str">
        <f>IF($L125="","",IF(INDEX(tblRegistros[Data],$L125)&gt;$D$4,"",IFERROR(IF(INDEX(tblRegistros[Status],$L125)="EM ABERTO","",INDEX(tblRegistros[Valor],$L125)),"")))</f>
        <v/>
      </c>
      <c r="J125" t="str">
        <f>IF($L125="","",IF(INDEX(tblRegistros[Data],$L125)&gt;$D$4,"",IFERROR(INDEX(tblRegistros[Status],$L125),"")))</f>
        <v/>
      </c>
      <c r="K125" t="str">
        <f>IF($L125="","",IF(INDEX(tblRegistros[Data],$L125)&gt;$D$4,"",IFERROR(INDEX(tblRegistros[Observação],$L125),"")))</f>
        <v/>
      </c>
      <c r="L125" s="16" t="str">
        <f>IFERROR(MATCH($B$3*100000+COUNTIFS(tblRegistros[ID],$B$3,tblRegistros[Data],"&lt;"&amp;$B$4)+ROWS($L$10:L125),tblRegistros[Chave do cartão],0),"")</f>
        <v/>
      </c>
    </row>
    <row r="126" spans="1:12">
      <c r="A126" s="2" t="str">
        <f>IF($L126="","",IF(INDEX(tblRegistros[Data],$L126)&gt;$D$4,"",IFERROR(INDEX(tblRegistros[Data],$L126),"")))</f>
        <v/>
      </c>
      <c r="B126" t="str">
        <f>IF($L126="","",IF(INDEX(tblRegistros[Data],$L126)&gt;$D$4,"",IFERROR(INDEX(tblRegistros[Projeto],$L126),"")))</f>
        <v/>
      </c>
      <c r="C126" t="str">
        <f>IF($L126="","",IF(INDEX(tblRegistros[Data],$L126)&gt;$D$4,"",IFERROR(INDEX(tblRegistros[Atividade],$L126),"")))</f>
        <v/>
      </c>
      <c r="D126" s="4" t="str">
        <f>IF($L126="","",IF(INDEX(tblRegistros[Data],$L126)&gt;$D$4,"",IFERROR(INDEX(tblRegistros[Início],$L126),"")))</f>
        <v/>
      </c>
      <c r="E126" s="4" t="str">
        <f>IF($L126="","",IF(INDEX(tblRegistros[Data],$L126)&gt;$D$4,"",IFERROR(IF(INDEX(tblRegistros[Status],$L126)="EM ABERTO","",INDEX(tblRegistros[Fim],$L126)),"")))</f>
        <v/>
      </c>
      <c r="F126" s="14" t="str">
        <f>IF($L126="","",IF(INDEX(tblRegistros[Data],$L126)&gt;$D$4,"",IFERROR(IF(INDEX(tblRegistros[Status],$L126)="EM ABERTO","",INDEX(tblRegistros[Horas],$L126)),"")))</f>
        <v/>
      </c>
      <c r="G126" t="str">
        <f>IF($L126="","",IF(INDEX(tblRegistros[Data],$L126)&gt;$D$4,"",IFERROR(INDEX(tblRegistros[Base],$L126),"")))</f>
        <v/>
      </c>
      <c r="H126" s="3" t="str">
        <f>IF($L126="","",IF(INDEX(tblRegistros[Data],$L126)&gt;$D$4,"",IFERROR(INDEX(tblRegistros[Taxa aplicada],$L126),"")))</f>
        <v/>
      </c>
      <c r="I126" s="3" t="str">
        <f>IF($L126="","",IF(INDEX(tblRegistros[Data],$L126)&gt;$D$4,"",IFERROR(IF(INDEX(tblRegistros[Status],$L126)="EM ABERTO","",INDEX(tblRegistros[Valor],$L126)),"")))</f>
        <v/>
      </c>
      <c r="J126" t="str">
        <f>IF($L126="","",IF(INDEX(tblRegistros[Data],$L126)&gt;$D$4,"",IFERROR(INDEX(tblRegistros[Status],$L126),"")))</f>
        <v/>
      </c>
      <c r="K126" t="str">
        <f>IF($L126="","",IF(INDEX(tblRegistros[Data],$L126)&gt;$D$4,"",IFERROR(INDEX(tblRegistros[Observação],$L126),"")))</f>
        <v/>
      </c>
      <c r="L126" s="16" t="str">
        <f>IFERROR(MATCH($B$3*100000+COUNTIFS(tblRegistros[ID],$B$3,tblRegistros[Data],"&lt;"&amp;$B$4)+ROWS($L$10:L126),tblRegistros[Chave do cartão],0),"")</f>
        <v/>
      </c>
    </row>
    <row r="127" spans="1:12">
      <c r="A127" s="2" t="str">
        <f>IF($L127="","",IF(INDEX(tblRegistros[Data],$L127)&gt;$D$4,"",IFERROR(INDEX(tblRegistros[Data],$L127),"")))</f>
        <v/>
      </c>
      <c r="B127" t="str">
        <f>IF($L127="","",IF(INDEX(tblRegistros[Data],$L127)&gt;$D$4,"",IFERROR(INDEX(tblRegistros[Projeto],$L127),"")))</f>
        <v/>
      </c>
      <c r="C127" t="str">
        <f>IF($L127="","",IF(INDEX(tblRegistros[Data],$L127)&gt;$D$4,"",IFERROR(INDEX(tblRegistros[Atividade],$L127),"")))</f>
        <v/>
      </c>
      <c r="D127" s="4" t="str">
        <f>IF($L127="","",IF(INDEX(tblRegistros[Data],$L127)&gt;$D$4,"",IFERROR(INDEX(tblRegistros[Início],$L127),"")))</f>
        <v/>
      </c>
      <c r="E127" s="4" t="str">
        <f>IF($L127="","",IF(INDEX(tblRegistros[Data],$L127)&gt;$D$4,"",IFERROR(IF(INDEX(tblRegistros[Status],$L127)="EM ABERTO","",INDEX(tblRegistros[Fim],$L127)),"")))</f>
        <v/>
      </c>
      <c r="F127" s="14" t="str">
        <f>IF($L127="","",IF(INDEX(tblRegistros[Data],$L127)&gt;$D$4,"",IFERROR(IF(INDEX(tblRegistros[Status],$L127)="EM ABERTO","",INDEX(tblRegistros[Horas],$L127)),"")))</f>
        <v/>
      </c>
      <c r="G127" t="str">
        <f>IF($L127="","",IF(INDEX(tblRegistros[Data],$L127)&gt;$D$4,"",IFERROR(INDEX(tblRegistros[Base],$L127),"")))</f>
        <v/>
      </c>
      <c r="H127" s="3" t="str">
        <f>IF($L127="","",IF(INDEX(tblRegistros[Data],$L127)&gt;$D$4,"",IFERROR(INDEX(tblRegistros[Taxa aplicada],$L127),"")))</f>
        <v/>
      </c>
      <c r="I127" s="3" t="str">
        <f>IF($L127="","",IF(INDEX(tblRegistros[Data],$L127)&gt;$D$4,"",IFERROR(IF(INDEX(tblRegistros[Status],$L127)="EM ABERTO","",INDEX(tblRegistros[Valor],$L127)),"")))</f>
        <v/>
      </c>
      <c r="J127" t="str">
        <f>IF($L127="","",IF(INDEX(tblRegistros[Data],$L127)&gt;$D$4,"",IFERROR(INDEX(tblRegistros[Status],$L127),"")))</f>
        <v/>
      </c>
      <c r="K127" t="str">
        <f>IF($L127="","",IF(INDEX(tblRegistros[Data],$L127)&gt;$D$4,"",IFERROR(INDEX(tblRegistros[Observação],$L127),"")))</f>
        <v/>
      </c>
      <c r="L127" s="16" t="str">
        <f>IFERROR(MATCH($B$3*100000+COUNTIFS(tblRegistros[ID],$B$3,tblRegistros[Data],"&lt;"&amp;$B$4)+ROWS($L$10:L127),tblRegistros[Chave do cartão],0),"")</f>
        <v/>
      </c>
    </row>
    <row r="128" spans="1:12">
      <c r="A128" s="2" t="str">
        <f>IF($L128="","",IF(INDEX(tblRegistros[Data],$L128)&gt;$D$4,"",IFERROR(INDEX(tblRegistros[Data],$L128),"")))</f>
        <v/>
      </c>
      <c r="B128" t="str">
        <f>IF($L128="","",IF(INDEX(tblRegistros[Data],$L128)&gt;$D$4,"",IFERROR(INDEX(tblRegistros[Projeto],$L128),"")))</f>
        <v/>
      </c>
      <c r="C128" t="str">
        <f>IF($L128="","",IF(INDEX(tblRegistros[Data],$L128)&gt;$D$4,"",IFERROR(INDEX(tblRegistros[Atividade],$L128),"")))</f>
        <v/>
      </c>
      <c r="D128" s="4" t="str">
        <f>IF($L128="","",IF(INDEX(tblRegistros[Data],$L128)&gt;$D$4,"",IFERROR(INDEX(tblRegistros[Início],$L128),"")))</f>
        <v/>
      </c>
      <c r="E128" s="4" t="str">
        <f>IF($L128="","",IF(INDEX(tblRegistros[Data],$L128)&gt;$D$4,"",IFERROR(IF(INDEX(tblRegistros[Status],$L128)="EM ABERTO","",INDEX(tblRegistros[Fim],$L128)),"")))</f>
        <v/>
      </c>
      <c r="F128" s="14" t="str">
        <f>IF($L128="","",IF(INDEX(tblRegistros[Data],$L128)&gt;$D$4,"",IFERROR(IF(INDEX(tblRegistros[Status],$L128)="EM ABERTO","",INDEX(tblRegistros[Horas],$L128)),"")))</f>
        <v/>
      </c>
      <c r="G128" t="str">
        <f>IF($L128="","",IF(INDEX(tblRegistros[Data],$L128)&gt;$D$4,"",IFERROR(INDEX(tblRegistros[Base],$L128),"")))</f>
        <v/>
      </c>
      <c r="H128" s="3" t="str">
        <f>IF($L128="","",IF(INDEX(tblRegistros[Data],$L128)&gt;$D$4,"",IFERROR(INDEX(tblRegistros[Taxa aplicada],$L128),"")))</f>
        <v/>
      </c>
      <c r="I128" s="3" t="str">
        <f>IF($L128="","",IF(INDEX(tblRegistros[Data],$L128)&gt;$D$4,"",IFERROR(IF(INDEX(tblRegistros[Status],$L128)="EM ABERTO","",INDEX(tblRegistros[Valor],$L128)),"")))</f>
        <v/>
      </c>
      <c r="J128" t="str">
        <f>IF($L128="","",IF(INDEX(tblRegistros[Data],$L128)&gt;$D$4,"",IFERROR(INDEX(tblRegistros[Status],$L128),"")))</f>
        <v/>
      </c>
      <c r="K128" t="str">
        <f>IF($L128="","",IF(INDEX(tblRegistros[Data],$L128)&gt;$D$4,"",IFERROR(INDEX(tblRegistros[Observação],$L128),"")))</f>
        <v/>
      </c>
      <c r="L128" s="16" t="str">
        <f>IFERROR(MATCH($B$3*100000+COUNTIFS(tblRegistros[ID],$B$3,tblRegistros[Data],"&lt;"&amp;$B$4)+ROWS($L$10:L128),tblRegistros[Chave do cartão],0),"")</f>
        <v/>
      </c>
    </row>
    <row r="129" spans="1:12">
      <c r="A129" s="2" t="str">
        <f>IF($L129="","",IF(INDEX(tblRegistros[Data],$L129)&gt;$D$4,"",IFERROR(INDEX(tblRegistros[Data],$L129),"")))</f>
        <v/>
      </c>
      <c r="B129" t="str">
        <f>IF($L129="","",IF(INDEX(tblRegistros[Data],$L129)&gt;$D$4,"",IFERROR(INDEX(tblRegistros[Projeto],$L129),"")))</f>
        <v/>
      </c>
      <c r="C129" t="str">
        <f>IF($L129="","",IF(INDEX(tblRegistros[Data],$L129)&gt;$D$4,"",IFERROR(INDEX(tblRegistros[Atividade],$L129),"")))</f>
        <v/>
      </c>
      <c r="D129" s="4" t="str">
        <f>IF($L129="","",IF(INDEX(tblRegistros[Data],$L129)&gt;$D$4,"",IFERROR(INDEX(tblRegistros[Início],$L129),"")))</f>
        <v/>
      </c>
      <c r="E129" s="4" t="str">
        <f>IF($L129="","",IF(INDEX(tblRegistros[Data],$L129)&gt;$D$4,"",IFERROR(IF(INDEX(tblRegistros[Status],$L129)="EM ABERTO","",INDEX(tblRegistros[Fim],$L129)),"")))</f>
        <v/>
      </c>
      <c r="F129" s="14" t="str">
        <f>IF($L129="","",IF(INDEX(tblRegistros[Data],$L129)&gt;$D$4,"",IFERROR(IF(INDEX(tblRegistros[Status],$L129)="EM ABERTO","",INDEX(tblRegistros[Horas],$L129)),"")))</f>
        <v/>
      </c>
      <c r="G129" t="str">
        <f>IF($L129="","",IF(INDEX(tblRegistros[Data],$L129)&gt;$D$4,"",IFERROR(INDEX(tblRegistros[Base],$L129),"")))</f>
        <v/>
      </c>
      <c r="H129" s="3" t="str">
        <f>IF($L129="","",IF(INDEX(tblRegistros[Data],$L129)&gt;$D$4,"",IFERROR(INDEX(tblRegistros[Taxa aplicada],$L129),"")))</f>
        <v/>
      </c>
      <c r="I129" s="3" t="str">
        <f>IF($L129="","",IF(INDEX(tblRegistros[Data],$L129)&gt;$D$4,"",IFERROR(IF(INDEX(tblRegistros[Status],$L129)="EM ABERTO","",INDEX(tblRegistros[Valor],$L129)),"")))</f>
        <v/>
      </c>
      <c r="J129" t="str">
        <f>IF($L129="","",IF(INDEX(tblRegistros[Data],$L129)&gt;$D$4,"",IFERROR(INDEX(tblRegistros[Status],$L129),"")))</f>
        <v/>
      </c>
      <c r="K129" t="str">
        <f>IF($L129="","",IF(INDEX(tblRegistros[Data],$L129)&gt;$D$4,"",IFERROR(INDEX(tblRegistros[Observação],$L129),"")))</f>
        <v/>
      </c>
      <c r="L129" s="16" t="str">
        <f>IFERROR(MATCH($B$3*100000+COUNTIFS(tblRegistros[ID],$B$3,tblRegistros[Data],"&lt;"&amp;$B$4)+ROWS($L$10:L129),tblRegistros[Chave do cartão],0),"")</f>
        <v/>
      </c>
    </row>
    <row r="130" spans="1:12">
      <c r="A130" s="2" t="str">
        <f>IF($L130="","",IF(INDEX(tblRegistros[Data],$L130)&gt;$D$4,"",IFERROR(INDEX(tblRegistros[Data],$L130),"")))</f>
        <v/>
      </c>
      <c r="B130" t="str">
        <f>IF($L130="","",IF(INDEX(tblRegistros[Data],$L130)&gt;$D$4,"",IFERROR(INDEX(tblRegistros[Projeto],$L130),"")))</f>
        <v/>
      </c>
      <c r="C130" t="str">
        <f>IF($L130="","",IF(INDEX(tblRegistros[Data],$L130)&gt;$D$4,"",IFERROR(INDEX(tblRegistros[Atividade],$L130),"")))</f>
        <v/>
      </c>
      <c r="D130" s="4" t="str">
        <f>IF($L130="","",IF(INDEX(tblRegistros[Data],$L130)&gt;$D$4,"",IFERROR(INDEX(tblRegistros[Início],$L130),"")))</f>
        <v/>
      </c>
      <c r="E130" s="4" t="str">
        <f>IF($L130="","",IF(INDEX(tblRegistros[Data],$L130)&gt;$D$4,"",IFERROR(IF(INDEX(tblRegistros[Status],$L130)="EM ABERTO","",INDEX(tblRegistros[Fim],$L130)),"")))</f>
        <v/>
      </c>
      <c r="F130" s="14" t="str">
        <f>IF($L130="","",IF(INDEX(tblRegistros[Data],$L130)&gt;$D$4,"",IFERROR(IF(INDEX(tblRegistros[Status],$L130)="EM ABERTO","",INDEX(tblRegistros[Horas],$L130)),"")))</f>
        <v/>
      </c>
      <c r="G130" t="str">
        <f>IF($L130="","",IF(INDEX(tblRegistros[Data],$L130)&gt;$D$4,"",IFERROR(INDEX(tblRegistros[Base],$L130),"")))</f>
        <v/>
      </c>
      <c r="H130" s="3" t="str">
        <f>IF($L130="","",IF(INDEX(tblRegistros[Data],$L130)&gt;$D$4,"",IFERROR(INDEX(tblRegistros[Taxa aplicada],$L130),"")))</f>
        <v/>
      </c>
      <c r="I130" s="3" t="str">
        <f>IF($L130="","",IF(INDEX(tblRegistros[Data],$L130)&gt;$D$4,"",IFERROR(IF(INDEX(tblRegistros[Status],$L130)="EM ABERTO","",INDEX(tblRegistros[Valor],$L130)),"")))</f>
        <v/>
      </c>
      <c r="J130" t="str">
        <f>IF($L130="","",IF(INDEX(tblRegistros[Data],$L130)&gt;$D$4,"",IFERROR(INDEX(tblRegistros[Status],$L130),"")))</f>
        <v/>
      </c>
      <c r="K130" t="str">
        <f>IF($L130="","",IF(INDEX(tblRegistros[Data],$L130)&gt;$D$4,"",IFERROR(INDEX(tblRegistros[Observação],$L130),"")))</f>
        <v/>
      </c>
      <c r="L130" s="16" t="str">
        <f>IFERROR(MATCH($B$3*100000+COUNTIFS(tblRegistros[ID],$B$3,tblRegistros[Data],"&lt;"&amp;$B$4)+ROWS($L$10:L130),tblRegistros[Chave do cartão],0),"")</f>
        <v/>
      </c>
    </row>
    <row r="131" spans="1:12">
      <c r="A131" s="2" t="str">
        <f>IF($L131="","",IF(INDEX(tblRegistros[Data],$L131)&gt;$D$4,"",IFERROR(INDEX(tblRegistros[Data],$L131),"")))</f>
        <v/>
      </c>
      <c r="B131" t="str">
        <f>IF($L131="","",IF(INDEX(tblRegistros[Data],$L131)&gt;$D$4,"",IFERROR(INDEX(tblRegistros[Projeto],$L131),"")))</f>
        <v/>
      </c>
      <c r="C131" t="str">
        <f>IF($L131="","",IF(INDEX(tblRegistros[Data],$L131)&gt;$D$4,"",IFERROR(INDEX(tblRegistros[Atividade],$L131),"")))</f>
        <v/>
      </c>
      <c r="D131" s="4" t="str">
        <f>IF($L131="","",IF(INDEX(tblRegistros[Data],$L131)&gt;$D$4,"",IFERROR(INDEX(tblRegistros[Início],$L131),"")))</f>
        <v/>
      </c>
      <c r="E131" s="4" t="str">
        <f>IF($L131="","",IF(INDEX(tblRegistros[Data],$L131)&gt;$D$4,"",IFERROR(IF(INDEX(tblRegistros[Status],$L131)="EM ABERTO","",INDEX(tblRegistros[Fim],$L131)),"")))</f>
        <v/>
      </c>
      <c r="F131" s="14" t="str">
        <f>IF($L131="","",IF(INDEX(tblRegistros[Data],$L131)&gt;$D$4,"",IFERROR(IF(INDEX(tblRegistros[Status],$L131)="EM ABERTO","",INDEX(tblRegistros[Horas],$L131)),"")))</f>
        <v/>
      </c>
      <c r="G131" t="str">
        <f>IF($L131="","",IF(INDEX(tblRegistros[Data],$L131)&gt;$D$4,"",IFERROR(INDEX(tblRegistros[Base],$L131),"")))</f>
        <v/>
      </c>
      <c r="H131" s="3" t="str">
        <f>IF($L131="","",IF(INDEX(tblRegistros[Data],$L131)&gt;$D$4,"",IFERROR(INDEX(tblRegistros[Taxa aplicada],$L131),"")))</f>
        <v/>
      </c>
      <c r="I131" s="3" t="str">
        <f>IF($L131="","",IF(INDEX(tblRegistros[Data],$L131)&gt;$D$4,"",IFERROR(IF(INDEX(tblRegistros[Status],$L131)="EM ABERTO","",INDEX(tblRegistros[Valor],$L131)),"")))</f>
        <v/>
      </c>
      <c r="J131" t="str">
        <f>IF($L131="","",IF(INDEX(tblRegistros[Data],$L131)&gt;$D$4,"",IFERROR(INDEX(tblRegistros[Status],$L131),"")))</f>
        <v/>
      </c>
      <c r="K131" t="str">
        <f>IF($L131="","",IF(INDEX(tblRegistros[Data],$L131)&gt;$D$4,"",IFERROR(INDEX(tblRegistros[Observação],$L131),"")))</f>
        <v/>
      </c>
      <c r="L131" s="16" t="str">
        <f>IFERROR(MATCH($B$3*100000+COUNTIFS(tblRegistros[ID],$B$3,tblRegistros[Data],"&lt;"&amp;$B$4)+ROWS($L$10:L131),tblRegistros[Chave do cartão],0),"")</f>
        <v/>
      </c>
    </row>
    <row r="132" spans="1:12">
      <c r="A132" s="2" t="str">
        <f>IF($L132="","",IF(INDEX(tblRegistros[Data],$L132)&gt;$D$4,"",IFERROR(INDEX(tblRegistros[Data],$L132),"")))</f>
        <v/>
      </c>
      <c r="B132" t="str">
        <f>IF($L132="","",IF(INDEX(tblRegistros[Data],$L132)&gt;$D$4,"",IFERROR(INDEX(tblRegistros[Projeto],$L132),"")))</f>
        <v/>
      </c>
      <c r="C132" t="str">
        <f>IF($L132="","",IF(INDEX(tblRegistros[Data],$L132)&gt;$D$4,"",IFERROR(INDEX(tblRegistros[Atividade],$L132),"")))</f>
        <v/>
      </c>
      <c r="D132" s="4" t="str">
        <f>IF($L132="","",IF(INDEX(tblRegistros[Data],$L132)&gt;$D$4,"",IFERROR(INDEX(tblRegistros[Início],$L132),"")))</f>
        <v/>
      </c>
      <c r="E132" s="4" t="str">
        <f>IF($L132="","",IF(INDEX(tblRegistros[Data],$L132)&gt;$D$4,"",IFERROR(IF(INDEX(tblRegistros[Status],$L132)="EM ABERTO","",INDEX(tblRegistros[Fim],$L132)),"")))</f>
        <v/>
      </c>
      <c r="F132" s="14" t="str">
        <f>IF($L132="","",IF(INDEX(tblRegistros[Data],$L132)&gt;$D$4,"",IFERROR(IF(INDEX(tblRegistros[Status],$L132)="EM ABERTO","",INDEX(tblRegistros[Horas],$L132)),"")))</f>
        <v/>
      </c>
      <c r="G132" t="str">
        <f>IF($L132="","",IF(INDEX(tblRegistros[Data],$L132)&gt;$D$4,"",IFERROR(INDEX(tblRegistros[Base],$L132),"")))</f>
        <v/>
      </c>
      <c r="H132" s="3" t="str">
        <f>IF($L132="","",IF(INDEX(tblRegistros[Data],$L132)&gt;$D$4,"",IFERROR(INDEX(tblRegistros[Taxa aplicada],$L132),"")))</f>
        <v/>
      </c>
      <c r="I132" s="3" t="str">
        <f>IF($L132="","",IF(INDEX(tblRegistros[Data],$L132)&gt;$D$4,"",IFERROR(IF(INDEX(tblRegistros[Status],$L132)="EM ABERTO","",INDEX(tblRegistros[Valor],$L132)),"")))</f>
        <v/>
      </c>
      <c r="J132" t="str">
        <f>IF($L132="","",IF(INDEX(tblRegistros[Data],$L132)&gt;$D$4,"",IFERROR(INDEX(tblRegistros[Status],$L132),"")))</f>
        <v/>
      </c>
      <c r="K132" t="str">
        <f>IF($L132="","",IF(INDEX(tblRegistros[Data],$L132)&gt;$D$4,"",IFERROR(INDEX(tblRegistros[Observação],$L132),"")))</f>
        <v/>
      </c>
      <c r="L132" s="16" t="str">
        <f>IFERROR(MATCH($B$3*100000+COUNTIFS(tblRegistros[ID],$B$3,tblRegistros[Data],"&lt;"&amp;$B$4)+ROWS($L$10:L132),tblRegistros[Chave do cartão],0),"")</f>
        <v/>
      </c>
    </row>
    <row r="133" spans="1:12">
      <c r="A133" s="2" t="str">
        <f>IF($L133="","",IF(INDEX(tblRegistros[Data],$L133)&gt;$D$4,"",IFERROR(INDEX(tblRegistros[Data],$L133),"")))</f>
        <v/>
      </c>
      <c r="B133" t="str">
        <f>IF($L133="","",IF(INDEX(tblRegistros[Data],$L133)&gt;$D$4,"",IFERROR(INDEX(tblRegistros[Projeto],$L133),"")))</f>
        <v/>
      </c>
      <c r="C133" t="str">
        <f>IF($L133="","",IF(INDEX(tblRegistros[Data],$L133)&gt;$D$4,"",IFERROR(INDEX(tblRegistros[Atividade],$L133),"")))</f>
        <v/>
      </c>
      <c r="D133" s="4" t="str">
        <f>IF($L133="","",IF(INDEX(tblRegistros[Data],$L133)&gt;$D$4,"",IFERROR(INDEX(tblRegistros[Início],$L133),"")))</f>
        <v/>
      </c>
      <c r="E133" s="4" t="str">
        <f>IF($L133="","",IF(INDEX(tblRegistros[Data],$L133)&gt;$D$4,"",IFERROR(IF(INDEX(tblRegistros[Status],$L133)="EM ABERTO","",INDEX(tblRegistros[Fim],$L133)),"")))</f>
        <v/>
      </c>
      <c r="F133" s="14" t="str">
        <f>IF($L133="","",IF(INDEX(tblRegistros[Data],$L133)&gt;$D$4,"",IFERROR(IF(INDEX(tblRegistros[Status],$L133)="EM ABERTO","",INDEX(tblRegistros[Horas],$L133)),"")))</f>
        <v/>
      </c>
      <c r="G133" t="str">
        <f>IF($L133="","",IF(INDEX(tblRegistros[Data],$L133)&gt;$D$4,"",IFERROR(INDEX(tblRegistros[Base],$L133),"")))</f>
        <v/>
      </c>
      <c r="H133" s="3" t="str">
        <f>IF($L133="","",IF(INDEX(tblRegistros[Data],$L133)&gt;$D$4,"",IFERROR(INDEX(tblRegistros[Taxa aplicada],$L133),"")))</f>
        <v/>
      </c>
      <c r="I133" s="3" t="str">
        <f>IF($L133="","",IF(INDEX(tblRegistros[Data],$L133)&gt;$D$4,"",IFERROR(IF(INDEX(tblRegistros[Status],$L133)="EM ABERTO","",INDEX(tblRegistros[Valor],$L133)),"")))</f>
        <v/>
      </c>
      <c r="J133" t="str">
        <f>IF($L133="","",IF(INDEX(tblRegistros[Data],$L133)&gt;$D$4,"",IFERROR(INDEX(tblRegistros[Status],$L133),"")))</f>
        <v/>
      </c>
      <c r="K133" t="str">
        <f>IF($L133="","",IF(INDEX(tblRegistros[Data],$L133)&gt;$D$4,"",IFERROR(INDEX(tblRegistros[Observação],$L133),"")))</f>
        <v/>
      </c>
      <c r="L133" s="16" t="str">
        <f>IFERROR(MATCH($B$3*100000+COUNTIFS(tblRegistros[ID],$B$3,tblRegistros[Data],"&lt;"&amp;$B$4)+ROWS($L$10:L133),tblRegistros[Chave do cartão],0),"")</f>
        <v/>
      </c>
    </row>
    <row r="134" spans="1:12">
      <c r="A134" s="2" t="str">
        <f>IF($L134="","",IF(INDEX(tblRegistros[Data],$L134)&gt;$D$4,"",IFERROR(INDEX(tblRegistros[Data],$L134),"")))</f>
        <v/>
      </c>
      <c r="B134" t="str">
        <f>IF($L134="","",IF(INDEX(tblRegistros[Data],$L134)&gt;$D$4,"",IFERROR(INDEX(tblRegistros[Projeto],$L134),"")))</f>
        <v/>
      </c>
      <c r="C134" t="str">
        <f>IF($L134="","",IF(INDEX(tblRegistros[Data],$L134)&gt;$D$4,"",IFERROR(INDEX(tblRegistros[Atividade],$L134),"")))</f>
        <v/>
      </c>
      <c r="D134" s="4" t="str">
        <f>IF($L134="","",IF(INDEX(tblRegistros[Data],$L134)&gt;$D$4,"",IFERROR(INDEX(tblRegistros[Início],$L134),"")))</f>
        <v/>
      </c>
      <c r="E134" s="4" t="str">
        <f>IF($L134="","",IF(INDEX(tblRegistros[Data],$L134)&gt;$D$4,"",IFERROR(IF(INDEX(tblRegistros[Status],$L134)="EM ABERTO","",INDEX(tblRegistros[Fim],$L134)),"")))</f>
        <v/>
      </c>
      <c r="F134" s="14" t="str">
        <f>IF($L134="","",IF(INDEX(tblRegistros[Data],$L134)&gt;$D$4,"",IFERROR(IF(INDEX(tblRegistros[Status],$L134)="EM ABERTO","",INDEX(tblRegistros[Horas],$L134)),"")))</f>
        <v/>
      </c>
      <c r="G134" t="str">
        <f>IF($L134="","",IF(INDEX(tblRegistros[Data],$L134)&gt;$D$4,"",IFERROR(INDEX(tblRegistros[Base],$L134),"")))</f>
        <v/>
      </c>
      <c r="H134" s="3" t="str">
        <f>IF($L134="","",IF(INDEX(tblRegistros[Data],$L134)&gt;$D$4,"",IFERROR(INDEX(tblRegistros[Taxa aplicada],$L134),"")))</f>
        <v/>
      </c>
      <c r="I134" s="3" t="str">
        <f>IF($L134="","",IF(INDEX(tblRegistros[Data],$L134)&gt;$D$4,"",IFERROR(IF(INDEX(tblRegistros[Status],$L134)="EM ABERTO","",INDEX(tblRegistros[Valor],$L134)),"")))</f>
        <v/>
      </c>
      <c r="J134" t="str">
        <f>IF($L134="","",IF(INDEX(tblRegistros[Data],$L134)&gt;$D$4,"",IFERROR(INDEX(tblRegistros[Status],$L134),"")))</f>
        <v/>
      </c>
      <c r="K134" t="str">
        <f>IF($L134="","",IF(INDEX(tblRegistros[Data],$L134)&gt;$D$4,"",IFERROR(INDEX(tblRegistros[Observação],$L134),"")))</f>
        <v/>
      </c>
      <c r="L134" s="16" t="str">
        <f>IFERROR(MATCH($B$3*100000+COUNTIFS(tblRegistros[ID],$B$3,tblRegistros[Data],"&lt;"&amp;$B$4)+ROWS($L$10:L134),tblRegistros[Chave do cartão],0),"")</f>
        <v/>
      </c>
    </row>
    <row r="135" spans="1:12">
      <c r="A135" s="2" t="str">
        <f>IF($L135="","",IF(INDEX(tblRegistros[Data],$L135)&gt;$D$4,"",IFERROR(INDEX(tblRegistros[Data],$L135),"")))</f>
        <v/>
      </c>
      <c r="B135" t="str">
        <f>IF($L135="","",IF(INDEX(tblRegistros[Data],$L135)&gt;$D$4,"",IFERROR(INDEX(tblRegistros[Projeto],$L135),"")))</f>
        <v/>
      </c>
      <c r="C135" t="str">
        <f>IF($L135="","",IF(INDEX(tblRegistros[Data],$L135)&gt;$D$4,"",IFERROR(INDEX(tblRegistros[Atividade],$L135),"")))</f>
        <v/>
      </c>
      <c r="D135" s="4" t="str">
        <f>IF($L135="","",IF(INDEX(tblRegistros[Data],$L135)&gt;$D$4,"",IFERROR(INDEX(tblRegistros[Início],$L135),"")))</f>
        <v/>
      </c>
      <c r="E135" s="4" t="str">
        <f>IF($L135="","",IF(INDEX(tblRegistros[Data],$L135)&gt;$D$4,"",IFERROR(IF(INDEX(tblRegistros[Status],$L135)="EM ABERTO","",INDEX(tblRegistros[Fim],$L135)),"")))</f>
        <v/>
      </c>
      <c r="F135" s="14" t="str">
        <f>IF($L135="","",IF(INDEX(tblRegistros[Data],$L135)&gt;$D$4,"",IFERROR(IF(INDEX(tblRegistros[Status],$L135)="EM ABERTO","",INDEX(tblRegistros[Horas],$L135)),"")))</f>
        <v/>
      </c>
      <c r="G135" t="str">
        <f>IF($L135="","",IF(INDEX(tblRegistros[Data],$L135)&gt;$D$4,"",IFERROR(INDEX(tblRegistros[Base],$L135),"")))</f>
        <v/>
      </c>
      <c r="H135" s="3" t="str">
        <f>IF($L135="","",IF(INDEX(tblRegistros[Data],$L135)&gt;$D$4,"",IFERROR(INDEX(tblRegistros[Taxa aplicada],$L135),"")))</f>
        <v/>
      </c>
      <c r="I135" s="3" t="str">
        <f>IF($L135="","",IF(INDEX(tblRegistros[Data],$L135)&gt;$D$4,"",IFERROR(IF(INDEX(tblRegistros[Status],$L135)="EM ABERTO","",INDEX(tblRegistros[Valor],$L135)),"")))</f>
        <v/>
      </c>
      <c r="J135" t="str">
        <f>IF($L135="","",IF(INDEX(tblRegistros[Data],$L135)&gt;$D$4,"",IFERROR(INDEX(tblRegistros[Status],$L135),"")))</f>
        <v/>
      </c>
      <c r="K135" t="str">
        <f>IF($L135="","",IF(INDEX(tblRegistros[Data],$L135)&gt;$D$4,"",IFERROR(INDEX(tblRegistros[Observação],$L135),"")))</f>
        <v/>
      </c>
      <c r="L135" s="16" t="str">
        <f>IFERROR(MATCH($B$3*100000+COUNTIFS(tblRegistros[ID],$B$3,tblRegistros[Data],"&lt;"&amp;$B$4)+ROWS($L$10:L135),tblRegistros[Chave do cartão],0),"")</f>
        <v/>
      </c>
    </row>
    <row r="136" spans="1:12">
      <c r="A136" s="2" t="str">
        <f>IF($L136="","",IF(INDEX(tblRegistros[Data],$L136)&gt;$D$4,"",IFERROR(INDEX(tblRegistros[Data],$L136),"")))</f>
        <v/>
      </c>
      <c r="B136" t="str">
        <f>IF($L136="","",IF(INDEX(tblRegistros[Data],$L136)&gt;$D$4,"",IFERROR(INDEX(tblRegistros[Projeto],$L136),"")))</f>
        <v/>
      </c>
      <c r="C136" t="str">
        <f>IF($L136="","",IF(INDEX(tblRegistros[Data],$L136)&gt;$D$4,"",IFERROR(INDEX(tblRegistros[Atividade],$L136),"")))</f>
        <v/>
      </c>
      <c r="D136" s="4" t="str">
        <f>IF($L136="","",IF(INDEX(tblRegistros[Data],$L136)&gt;$D$4,"",IFERROR(INDEX(tblRegistros[Início],$L136),"")))</f>
        <v/>
      </c>
      <c r="E136" s="4" t="str">
        <f>IF($L136="","",IF(INDEX(tblRegistros[Data],$L136)&gt;$D$4,"",IFERROR(IF(INDEX(tblRegistros[Status],$L136)="EM ABERTO","",INDEX(tblRegistros[Fim],$L136)),"")))</f>
        <v/>
      </c>
      <c r="F136" s="14" t="str">
        <f>IF($L136="","",IF(INDEX(tblRegistros[Data],$L136)&gt;$D$4,"",IFERROR(IF(INDEX(tblRegistros[Status],$L136)="EM ABERTO","",INDEX(tblRegistros[Horas],$L136)),"")))</f>
        <v/>
      </c>
      <c r="G136" t="str">
        <f>IF($L136="","",IF(INDEX(tblRegistros[Data],$L136)&gt;$D$4,"",IFERROR(INDEX(tblRegistros[Base],$L136),"")))</f>
        <v/>
      </c>
      <c r="H136" s="3" t="str">
        <f>IF($L136="","",IF(INDEX(tblRegistros[Data],$L136)&gt;$D$4,"",IFERROR(INDEX(tblRegistros[Taxa aplicada],$L136),"")))</f>
        <v/>
      </c>
      <c r="I136" s="3" t="str">
        <f>IF($L136="","",IF(INDEX(tblRegistros[Data],$L136)&gt;$D$4,"",IFERROR(IF(INDEX(tblRegistros[Status],$L136)="EM ABERTO","",INDEX(tblRegistros[Valor],$L136)),"")))</f>
        <v/>
      </c>
      <c r="J136" t="str">
        <f>IF($L136="","",IF(INDEX(tblRegistros[Data],$L136)&gt;$D$4,"",IFERROR(INDEX(tblRegistros[Status],$L136),"")))</f>
        <v/>
      </c>
      <c r="K136" t="str">
        <f>IF($L136="","",IF(INDEX(tblRegistros[Data],$L136)&gt;$D$4,"",IFERROR(INDEX(tblRegistros[Observação],$L136),"")))</f>
        <v/>
      </c>
      <c r="L136" s="16" t="str">
        <f>IFERROR(MATCH($B$3*100000+COUNTIFS(tblRegistros[ID],$B$3,tblRegistros[Data],"&lt;"&amp;$B$4)+ROWS($L$10:L136),tblRegistros[Chave do cartão],0),"")</f>
        <v/>
      </c>
    </row>
    <row r="137" spans="1:12">
      <c r="A137" s="2" t="str">
        <f>IF($L137="","",IF(INDEX(tblRegistros[Data],$L137)&gt;$D$4,"",IFERROR(INDEX(tblRegistros[Data],$L137),"")))</f>
        <v/>
      </c>
      <c r="B137" t="str">
        <f>IF($L137="","",IF(INDEX(tblRegistros[Data],$L137)&gt;$D$4,"",IFERROR(INDEX(tblRegistros[Projeto],$L137),"")))</f>
        <v/>
      </c>
      <c r="C137" t="str">
        <f>IF($L137="","",IF(INDEX(tblRegistros[Data],$L137)&gt;$D$4,"",IFERROR(INDEX(tblRegistros[Atividade],$L137),"")))</f>
        <v/>
      </c>
      <c r="D137" s="4" t="str">
        <f>IF($L137="","",IF(INDEX(tblRegistros[Data],$L137)&gt;$D$4,"",IFERROR(INDEX(tblRegistros[Início],$L137),"")))</f>
        <v/>
      </c>
      <c r="E137" s="4" t="str">
        <f>IF($L137="","",IF(INDEX(tblRegistros[Data],$L137)&gt;$D$4,"",IFERROR(IF(INDEX(tblRegistros[Status],$L137)="EM ABERTO","",INDEX(tblRegistros[Fim],$L137)),"")))</f>
        <v/>
      </c>
      <c r="F137" s="14" t="str">
        <f>IF($L137="","",IF(INDEX(tblRegistros[Data],$L137)&gt;$D$4,"",IFERROR(IF(INDEX(tblRegistros[Status],$L137)="EM ABERTO","",INDEX(tblRegistros[Horas],$L137)),"")))</f>
        <v/>
      </c>
      <c r="G137" t="str">
        <f>IF($L137="","",IF(INDEX(tblRegistros[Data],$L137)&gt;$D$4,"",IFERROR(INDEX(tblRegistros[Base],$L137),"")))</f>
        <v/>
      </c>
      <c r="H137" s="3" t="str">
        <f>IF($L137="","",IF(INDEX(tblRegistros[Data],$L137)&gt;$D$4,"",IFERROR(INDEX(tblRegistros[Taxa aplicada],$L137),"")))</f>
        <v/>
      </c>
      <c r="I137" s="3" t="str">
        <f>IF($L137="","",IF(INDEX(tblRegistros[Data],$L137)&gt;$D$4,"",IFERROR(IF(INDEX(tblRegistros[Status],$L137)="EM ABERTO","",INDEX(tblRegistros[Valor],$L137)),"")))</f>
        <v/>
      </c>
      <c r="J137" t="str">
        <f>IF($L137="","",IF(INDEX(tblRegistros[Data],$L137)&gt;$D$4,"",IFERROR(INDEX(tblRegistros[Status],$L137),"")))</f>
        <v/>
      </c>
      <c r="K137" t="str">
        <f>IF($L137="","",IF(INDEX(tblRegistros[Data],$L137)&gt;$D$4,"",IFERROR(INDEX(tblRegistros[Observação],$L137),"")))</f>
        <v/>
      </c>
      <c r="L137" s="16" t="str">
        <f>IFERROR(MATCH($B$3*100000+COUNTIFS(tblRegistros[ID],$B$3,tblRegistros[Data],"&lt;"&amp;$B$4)+ROWS($L$10:L137),tblRegistros[Chave do cartão],0),"")</f>
        <v/>
      </c>
    </row>
    <row r="138" spans="1:12">
      <c r="A138" s="2" t="str">
        <f>IF($L138="","",IF(INDEX(tblRegistros[Data],$L138)&gt;$D$4,"",IFERROR(INDEX(tblRegistros[Data],$L138),"")))</f>
        <v/>
      </c>
      <c r="B138" t="str">
        <f>IF($L138="","",IF(INDEX(tblRegistros[Data],$L138)&gt;$D$4,"",IFERROR(INDEX(tblRegistros[Projeto],$L138),"")))</f>
        <v/>
      </c>
      <c r="C138" t="str">
        <f>IF($L138="","",IF(INDEX(tblRegistros[Data],$L138)&gt;$D$4,"",IFERROR(INDEX(tblRegistros[Atividade],$L138),"")))</f>
        <v/>
      </c>
      <c r="D138" s="4" t="str">
        <f>IF($L138="","",IF(INDEX(tblRegistros[Data],$L138)&gt;$D$4,"",IFERROR(INDEX(tblRegistros[Início],$L138),"")))</f>
        <v/>
      </c>
      <c r="E138" s="4" t="str">
        <f>IF($L138="","",IF(INDEX(tblRegistros[Data],$L138)&gt;$D$4,"",IFERROR(IF(INDEX(tblRegistros[Status],$L138)="EM ABERTO","",INDEX(tblRegistros[Fim],$L138)),"")))</f>
        <v/>
      </c>
      <c r="F138" s="14" t="str">
        <f>IF($L138="","",IF(INDEX(tblRegistros[Data],$L138)&gt;$D$4,"",IFERROR(IF(INDEX(tblRegistros[Status],$L138)="EM ABERTO","",INDEX(tblRegistros[Horas],$L138)),"")))</f>
        <v/>
      </c>
      <c r="G138" t="str">
        <f>IF($L138="","",IF(INDEX(tblRegistros[Data],$L138)&gt;$D$4,"",IFERROR(INDEX(tblRegistros[Base],$L138),"")))</f>
        <v/>
      </c>
      <c r="H138" s="3" t="str">
        <f>IF($L138="","",IF(INDEX(tblRegistros[Data],$L138)&gt;$D$4,"",IFERROR(INDEX(tblRegistros[Taxa aplicada],$L138),"")))</f>
        <v/>
      </c>
      <c r="I138" s="3" t="str">
        <f>IF($L138="","",IF(INDEX(tblRegistros[Data],$L138)&gt;$D$4,"",IFERROR(IF(INDEX(tblRegistros[Status],$L138)="EM ABERTO","",INDEX(tblRegistros[Valor],$L138)),"")))</f>
        <v/>
      </c>
      <c r="J138" t="str">
        <f>IF($L138="","",IF(INDEX(tblRegistros[Data],$L138)&gt;$D$4,"",IFERROR(INDEX(tblRegistros[Status],$L138),"")))</f>
        <v/>
      </c>
      <c r="K138" t="str">
        <f>IF($L138="","",IF(INDEX(tblRegistros[Data],$L138)&gt;$D$4,"",IFERROR(INDEX(tblRegistros[Observação],$L138),"")))</f>
        <v/>
      </c>
      <c r="L138" s="16" t="str">
        <f>IFERROR(MATCH($B$3*100000+COUNTIFS(tblRegistros[ID],$B$3,tblRegistros[Data],"&lt;"&amp;$B$4)+ROWS($L$10:L138),tblRegistros[Chave do cartão],0),"")</f>
        <v/>
      </c>
    </row>
    <row r="139" spans="1:12">
      <c r="A139" s="2" t="str">
        <f>IF($L139="","",IF(INDEX(tblRegistros[Data],$L139)&gt;$D$4,"",IFERROR(INDEX(tblRegistros[Data],$L139),"")))</f>
        <v/>
      </c>
      <c r="B139" t="str">
        <f>IF($L139="","",IF(INDEX(tblRegistros[Data],$L139)&gt;$D$4,"",IFERROR(INDEX(tblRegistros[Projeto],$L139),"")))</f>
        <v/>
      </c>
      <c r="C139" t="str">
        <f>IF($L139="","",IF(INDEX(tblRegistros[Data],$L139)&gt;$D$4,"",IFERROR(INDEX(tblRegistros[Atividade],$L139),"")))</f>
        <v/>
      </c>
      <c r="D139" s="4" t="str">
        <f>IF($L139="","",IF(INDEX(tblRegistros[Data],$L139)&gt;$D$4,"",IFERROR(INDEX(tblRegistros[Início],$L139),"")))</f>
        <v/>
      </c>
      <c r="E139" s="4" t="str">
        <f>IF($L139="","",IF(INDEX(tblRegistros[Data],$L139)&gt;$D$4,"",IFERROR(IF(INDEX(tblRegistros[Status],$L139)="EM ABERTO","",INDEX(tblRegistros[Fim],$L139)),"")))</f>
        <v/>
      </c>
      <c r="F139" s="14" t="str">
        <f>IF($L139="","",IF(INDEX(tblRegistros[Data],$L139)&gt;$D$4,"",IFERROR(IF(INDEX(tblRegistros[Status],$L139)="EM ABERTO","",INDEX(tblRegistros[Horas],$L139)),"")))</f>
        <v/>
      </c>
      <c r="G139" t="str">
        <f>IF($L139="","",IF(INDEX(tblRegistros[Data],$L139)&gt;$D$4,"",IFERROR(INDEX(tblRegistros[Base],$L139),"")))</f>
        <v/>
      </c>
      <c r="H139" s="3" t="str">
        <f>IF($L139="","",IF(INDEX(tblRegistros[Data],$L139)&gt;$D$4,"",IFERROR(INDEX(tblRegistros[Taxa aplicada],$L139),"")))</f>
        <v/>
      </c>
      <c r="I139" s="3" t="str">
        <f>IF($L139="","",IF(INDEX(tblRegistros[Data],$L139)&gt;$D$4,"",IFERROR(IF(INDEX(tblRegistros[Status],$L139)="EM ABERTO","",INDEX(tblRegistros[Valor],$L139)),"")))</f>
        <v/>
      </c>
      <c r="J139" t="str">
        <f>IF($L139="","",IF(INDEX(tblRegistros[Data],$L139)&gt;$D$4,"",IFERROR(INDEX(tblRegistros[Status],$L139),"")))</f>
        <v/>
      </c>
      <c r="K139" t="str">
        <f>IF($L139="","",IF(INDEX(tblRegistros[Data],$L139)&gt;$D$4,"",IFERROR(INDEX(tblRegistros[Observação],$L139),"")))</f>
        <v/>
      </c>
      <c r="L139" s="16" t="str">
        <f>IFERROR(MATCH($B$3*100000+COUNTIFS(tblRegistros[ID],$B$3,tblRegistros[Data],"&lt;"&amp;$B$4)+ROWS($L$10:L139),tblRegistros[Chave do cartão],0),"")</f>
        <v/>
      </c>
    </row>
    <row r="140" spans="1:12">
      <c r="A140" s="2" t="str">
        <f>IF($L140="","",IF(INDEX(tblRegistros[Data],$L140)&gt;$D$4,"",IFERROR(INDEX(tblRegistros[Data],$L140),"")))</f>
        <v/>
      </c>
      <c r="B140" t="str">
        <f>IF($L140="","",IF(INDEX(tblRegistros[Data],$L140)&gt;$D$4,"",IFERROR(INDEX(tblRegistros[Projeto],$L140),"")))</f>
        <v/>
      </c>
      <c r="C140" t="str">
        <f>IF($L140="","",IF(INDEX(tblRegistros[Data],$L140)&gt;$D$4,"",IFERROR(INDEX(tblRegistros[Atividade],$L140),"")))</f>
        <v/>
      </c>
      <c r="D140" s="4" t="str">
        <f>IF($L140="","",IF(INDEX(tblRegistros[Data],$L140)&gt;$D$4,"",IFERROR(INDEX(tblRegistros[Início],$L140),"")))</f>
        <v/>
      </c>
      <c r="E140" s="4" t="str">
        <f>IF($L140="","",IF(INDEX(tblRegistros[Data],$L140)&gt;$D$4,"",IFERROR(IF(INDEX(tblRegistros[Status],$L140)="EM ABERTO","",INDEX(tblRegistros[Fim],$L140)),"")))</f>
        <v/>
      </c>
      <c r="F140" s="14" t="str">
        <f>IF($L140="","",IF(INDEX(tblRegistros[Data],$L140)&gt;$D$4,"",IFERROR(IF(INDEX(tblRegistros[Status],$L140)="EM ABERTO","",INDEX(tblRegistros[Horas],$L140)),"")))</f>
        <v/>
      </c>
      <c r="G140" t="str">
        <f>IF($L140="","",IF(INDEX(tblRegistros[Data],$L140)&gt;$D$4,"",IFERROR(INDEX(tblRegistros[Base],$L140),"")))</f>
        <v/>
      </c>
      <c r="H140" s="3" t="str">
        <f>IF($L140="","",IF(INDEX(tblRegistros[Data],$L140)&gt;$D$4,"",IFERROR(INDEX(tblRegistros[Taxa aplicada],$L140),"")))</f>
        <v/>
      </c>
      <c r="I140" s="3" t="str">
        <f>IF($L140="","",IF(INDEX(tblRegistros[Data],$L140)&gt;$D$4,"",IFERROR(IF(INDEX(tblRegistros[Status],$L140)="EM ABERTO","",INDEX(tblRegistros[Valor],$L140)),"")))</f>
        <v/>
      </c>
      <c r="J140" t="str">
        <f>IF($L140="","",IF(INDEX(tblRegistros[Data],$L140)&gt;$D$4,"",IFERROR(INDEX(tblRegistros[Status],$L140),"")))</f>
        <v/>
      </c>
      <c r="K140" t="str">
        <f>IF($L140="","",IF(INDEX(tblRegistros[Data],$L140)&gt;$D$4,"",IFERROR(INDEX(tblRegistros[Observação],$L140),"")))</f>
        <v/>
      </c>
      <c r="L140" s="16" t="str">
        <f>IFERROR(MATCH($B$3*100000+COUNTIFS(tblRegistros[ID],$B$3,tblRegistros[Data],"&lt;"&amp;$B$4)+ROWS($L$10:L140),tblRegistros[Chave do cartão],0),"")</f>
        <v/>
      </c>
    </row>
    <row r="141" spans="1:12">
      <c r="A141" s="2" t="str">
        <f>IF($L141="","",IF(INDEX(tblRegistros[Data],$L141)&gt;$D$4,"",IFERROR(INDEX(tblRegistros[Data],$L141),"")))</f>
        <v/>
      </c>
      <c r="B141" t="str">
        <f>IF($L141="","",IF(INDEX(tblRegistros[Data],$L141)&gt;$D$4,"",IFERROR(INDEX(tblRegistros[Projeto],$L141),"")))</f>
        <v/>
      </c>
      <c r="C141" t="str">
        <f>IF($L141="","",IF(INDEX(tblRegistros[Data],$L141)&gt;$D$4,"",IFERROR(INDEX(tblRegistros[Atividade],$L141),"")))</f>
        <v/>
      </c>
      <c r="D141" s="4" t="str">
        <f>IF($L141="","",IF(INDEX(tblRegistros[Data],$L141)&gt;$D$4,"",IFERROR(INDEX(tblRegistros[Início],$L141),"")))</f>
        <v/>
      </c>
      <c r="E141" s="4" t="str">
        <f>IF($L141="","",IF(INDEX(tblRegistros[Data],$L141)&gt;$D$4,"",IFERROR(IF(INDEX(tblRegistros[Status],$L141)="EM ABERTO","",INDEX(tblRegistros[Fim],$L141)),"")))</f>
        <v/>
      </c>
      <c r="F141" s="14" t="str">
        <f>IF($L141="","",IF(INDEX(tblRegistros[Data],$L141)&gt;$D$4,"",IFERROR(IF(INDEX(tblRegistros[Status],$L141)="EM ABERTO","",INDEX(tblRegistros[Horas],$L141)),"")))</f>
        <v/>
      </c>
      <c r="G141" t="str">
        <f>IF($L141="","",IF(INDEX(tblRegistros[Data],$L141)&gt;$D$4,"",IFERROR(INDEX(tblRegistros[Base],$L141),"")))</f>
        <v/>
      </c>
      <c r="H141" s="3" t="str">
        <f>IF($L141="","",IF(INDEX(tblRegistros[Data],$L141)&gt;$D$4,"",IFERROR(INDEX(tblRegistros[Taxa aplicada],$L141),"")))</f>
        <v/>
      </c>
      <c r="I141" s="3" t="str">
        <f>IF($L141="","",IF(INDEX(tblRegistros[Data],$L141)&gt;$D$4,"",IFERROR(IF(INDEX(tblRegistros[Status],$L141)="EM ABERTO","",INDEX(tblRegistros[Valor],$L141)),"")))</f>
        <v/>
      </c>
      <c r="J141" t="str">
        <f>IF($L141="","",IF(INDEX(tblRegistros[Data],$L141)&gt;$D$4,"",IFERROR(INDEX(tblRegistros[Status],$L141),"")))</f>
        <v/>
      </c>
      <c r="K141" t="str">
        <f>IF($L141="","",IF(INDEX(tblRegistros[Data],$L141)&gt;$D$4,"",IFERROR(INDEX(tblRegistros[Observação],$L141),"")))</f>
        <v/>
      </c>
      <c r="L141" s="16" t="str">
        <f>IFERROR(MATCH($B$3*100000+COUNTIFS(tblRegistros[ID],$B$3,tblRegistros[Data],"&lt;"&amp;$B$4)+ROWS($L$10:L141),tblRegistros[Chave do cartão],0),"")</f>
        <v/>
      </c>
    </row>
    <row r="142" spans="1:12">
      <c r="A142" s="2" t="str">
        <f>IF($L142="","",IF(INDEX(tblRegistros[Data],$L142)&gt;$D$4,"",IFERROR(INDEX(tblRegistros[Data],$L142),"")))</f>
        <v/>
      </c>
      <c r="B142" t="str">
        <f>IF($L142="","",IF(INDEX(tblRegistros[Data],$L142)&gt;$D$4,"",IFERROR(INDEX(tblRegistros[Projeto],$L142),"")))</f>
        <v/>
      </c>
      <c r="C142" t="str">
        <f>IF($L142="","",IF(INDEX(tblRegistros[Data],$L142)&gt;$D$4,"",IFERROR(INDEX(tblRegistros[Atividade],$L142),"")))</f>
        <v/>
      </c>
      <c r="D142" s="4" t="str">
        <f>IF($L142="","",IF(INDEX(tblRegistros[Data],$L142)&gt;$D$4,"",IFERROR(INDEX(tblRegistros[Início],$L142),"")))</f>
        <v/>
      </c>
      <c r="E142" s="4" t="str">
        <f>IF($L142="","",IF(INDEX(tblRegistros[Data],$L142)&gt;$D$4,"",IFERROR(IF(INDEX(tblRegistros[Status],$L142)="EM ABERTO","",INDEX(tblRegistros[Fim],$L142)),"")))</f>
        <v/>
      </c>
      <c r="F142" s="14" t="str">
        <f>IF($L142="","",IF(INDEX(tblRegistros[Data],$L142)&gt;$D$4,"",IFERROR(IF(INDEX(tblRegistros[Status],$L142)="EM ABERTO","",INDEX(tblRegistros[Horas],$L142)),"")))</f>
        <v/>
      </c>
      <c r="G142" t="str">
        <f>IF($L142="","",IF(INDEX(tblRegistros[Data],$L142)&gt;$D$4,"",IFERROR(INDEX(tblRegistros[Base],$L142),"")))</f>
        <v/>
      </c>
      <c r="H142" s="3" t="str">
        <f>IF($L142="","",IF(INDEX(tblRegistros[Data],$L142)&gt;$D$4,"",IFERROR(INDEX(tblRegistros[Taxa aplicada],$L142),"")))</f>
        <v/>
      </c>
      <c r="I142" s="3" t="str">
        <f>IF($L142="","",IF(INDEX(tblRegistros[Data],$L142)&gt;$D$4,"",IFERROR(IF(INDEX(tblRegistros[Status],$L142)="EM ABERTO","",INDEX(tblRegistros[Valor],$L142)),"")))</f>
        <v/>
      </c>
      <c r="J142" t="str">
        <f>IF($L142="","",IF(INDEX(tblRegistros[Data],$L142)&gt;$D$4,"",IFERROR(INDEX(tblRegistros[Status],$L142),"")))</f>
        <v/>
      </c>
      <c r="K142" t="str">
        <f>IF($L142="","",IF(INDEX(tblRegistros[Data],$L142)&gt;$D$4,"",IFERROR(INDEX(tblRegistros[Observação],$L142),"")))</f>
        <v/>
      </c>
      <c r="L142" s="16" t="str">
        <f>IFERROR(MATCH($B$3*100000+COUNTIFS(tblRegistros[ID],$B$3,tblRegistros[Data],"&lt;"&amp;$B$4)+ROWS($L$10:L142),tblRegistros[Chave do cartão],0),"")</f>
        <v/>
      </c>
    </row>
    <row r="143" spans="1:12">
      <c r="A143" s="2" t="str">
        <f>IF($L143="","",IF(INDEX(tblRegistros[Data],$L143)&gt;$D$4,"",IFERROR(INDEX(tblRegistros[Data],$L143),"")))</f>
        <v/>
      </c>
      <c r="B143" t="str">
        <f>IF($L143="","",IF(INDEX(tblRegistros[Data],$L143)&gt;$D$4,"",IFERROR(INDEX(tblRegistros[Projeto],$L143),"")))</f>
        <v/>
      </c>
      <c r="C143" t="str">
        <f>IF($L143="","",IF(INDEX(tblRegistros[Data],$L143)&gt;$D$4,"",IFERROR(INDEX(tblRegistros[Atividade],$L143),"")))</f>
        <v/>
      </c>
      <c r="D143" s="4" t="str">
        <f>IF($L143="","",IF(INDEX(tblRegistros[Data],$L143)&gt;$D$4,"",IFERROR(INDEX(tblRegistros[Início],$L143),"")))</f>
        <v/>
      </c>
      <c r="E143" s="4" t="str">
        <f>IF($L143="","",IF(INDEX(tblRegistros[Data],$L143)&gt;$D$4,"",IFERROR(IF(INDEX(tblRegistros[Status],$L143)="EM ABERTO","",INDEX(tblRegistros[Fim],$L143)),"")))</f>
        <v/>
      </c>
      <c r="F143" s="14" t="str">
        <f>IF($L143="","",IF(INDEX(tblRegistros[Data],$L143)&gt;$D$4,"",IFERROR(IF(INDEX(tblRegistros[Status],$L143)="EM ABERTO","",INDEX(tblRegistros[Horas],$L143)),"")))</f>
        <v/>
      </c>
      <c r="G143" t="str">
        <f>IF($L143="","",IF(INDEX(tblRegistros[Data],$L143)&gt;$D$4,"",IFERROR(INDEX(tblRegistros[Base],$L143),"")))</f>
        <v/>
      </c>
      <c r="H143" s="3" t="str">
        <f>IF($L143="","",IF(INDEX(tblRegistros[Data],$L143)&gt;$D$4,"",IFERROR(INDEX(tblRegistros[Taxa aplicada],$L143),"")))</f>
        <v/>
      </c>
      <c r="I143" s="3" t="str">
        <f>IF($L143="","",IF(INDEX(tblRegistros[Data],$L143)&gt;$D$4,"",IFERROR(IF(INDEX(tblRegistros[Status],$L143)="EM ABERTO","",INDEX(tblRegistros[Valor],$L143)),"")))</f>
        <v/>
      </c>
      <c r="J143" t="str">
        <f>IF($L143="","",IF(INDEX(tblRegistros[Data],$L143)&gt;$D$4,"",IFERROR(INDEX(tblRegistros[Status],$L143),"")))</f>
        <v/>
      </c>
      <c r="K143" t="str">
        <f>IF($L143="","",IF(INDEX(tblRegistros[Data],$L143)&gt;$D$4,"",IFERROR(INDEX(tblRegistros[Observação],$L143),"")))</f>
        <v/>
      </c>
      <c r="L143" s="16" t="str">
        <f>IFERROR(MATCH($B$3*100000+COUNTIFS(tblRegistros[ID],$B$3,tblRegistros[Data],"&lt;"&amp;$B$4)+ROWS($L$10:L143),tblRegistros[Chave do cartão],0),"")</f>
        <v/>
      </c>
    </row>
    <row r="144" spans="1:12">
      <c r="A144" s="2" t="str">
        <f>IF($L144="","",IF(INDEX(tblRegistros[Data],$L144)&gt;$D$4,"",IFERROR(INDEX(tblRegistros[Data],$L144),"")))</f>
        <v/>
      </c>
      <c r="B144" t="str">
        <f>IF($L144="","",IF(INDEX(tblRegistros[Data],$L144)&gt;$D$4,"",IFERROR(INDEX(tblRegistros[Projeto],$L144),"")))</f>
        <v/>
      </c>
      <c r="C144" t="str">
        <f>IF($L144="","",IF(INDEX(tblRegistros[Data],$L144)&gt;$D$4,"",IFERROR(INDEX(tblRegistros[Atividade],$L144),"")))</f>
        <v/>
      </c>
      <c r="D144" s="4" t="str">
        <f>IF($L144="","",IF(INDEX(tblRegistros[Data],$L144)&gt;$D$4,"",IFERROR(INDEX(tblRegistros[Início],$L144),"")))</f>
        <v/>
      </c>
      <c r="E144" s="4" t="str">
        <f>IF($L144="","",IF(INDEX(tblRegistros[Data],$L144)&gt;$D$4,"",IFERROR(IF(INDEX(tblRegistros[Status],$L144)="EM ABERTO","",INDEX(tblRegistros[Fim],$L144)),"")))</f>
        <v/>
      </c>
      <c r="F144" s="14" t="str">
        <f>IF($L144="","",IF(INDEX(tblRegistros[Data],$L144)&gt;$D$4,"",IFERROR(IF(INDEX(tblRegistros[Status],$L144)="EM ABERTO","",INDEX(tblRegistros[Horas],$L144)),"")))</f>
        <v/>
      </c>
      <c r="G144" t="str">
        <f>IF($L144="","",IF(INDEX(tblRegistros[Data],$L144)&gt;$D$4,"",IFERROR(INDEX(tblRegistros[Base],$L144),"")))</f>
        <v/>
      </c>
      <c r="H144" s="3" t="str">
        <f>IF($L144="","",IF(INDEX(tblRegistros[Data],$L144)&gt;$D$4,"",IFERROR(INDEX(tblRegistros[Taxa aplicada],$L144),"")))</f>
        <v/>
      </c>
      <c r="I144" s="3" t="str">
        <f>IF($L144="","",IF(INDEX(tblRegistros[Data],$L144)&gt;$D$4,"",IFERROR(IF(INDEX(tblRegistros[Status],$L144)="EM ABERTO","",INDEX(tblRegistros[Valor],$L144)),"")))</f>
        <v/>
      </c>
      <c r="J144" t="str">
        <f>IF($L144="","",IF(INDEX(tblRegistros[Data],$L144)&gt;$D$4,"",IFERROR(INDEX(tblRegistros[Status],$L144),"")))</f>
        <v/>
      </c>
      <c r="K144" t="str">
        <f>IF($L144="","",IF(INDEX(tblRegistros[Data],$L144)&gt;$D$4,"",IFERROR(INDEX(tblRegistros[Observação],$L144),"")))</f>
        <v/>
      </c>
      <c r="L144" s="16" t="str">
        <f>IFERROR(MATCH($B$3*100000+COUNTIFS(tblRegistros[ID],$B$3,tblRegistros[Data],"&lt;"&amp;$B$4)+ROWS($L$10:L144),tblRegistros[Chave do cartão],0),"")</f>
        <v/>
      </c>
    </row>
    <row r="145" spans="1:12">
      <c r="A145" s="2" t="str">
        <f>IF($L145="","",IF(INDEX(tblRegistros[Data],$L145)&gt;$D$4,"",IFERROR(INDEX(tblRegistros[Data],$L145),"")))</f>
        <v/>
      </c>
      <c r="B145" t="str">
        <f>IF($L145="","",IF(INDEX(tblRegistros[Data],$L145)&gt;$D$4,"",IFERROR(INDEX(tblRegistros[Projeto],$L145),"")))</f>
        <v/>
      </c>
      <c r="C145" t="str">
        <f>IF($L145="","",IF(INDEX(tblRegistros[Data],$L145)&gt;$D$4,"",IFERROR(INDEX(tblRegistros[Atividade],$L145),"")))</f>
        <v/>
      </c>
      <c r="D145" s="4" t="str">
        <f>IF($L145="","",IF(INDEX(tblRegistros[Data],$L145)&gt;$D$4,"",IFERROR(INDEX(tblRegistros[Início],$L145),"")))</f>
        <v/>
      </c>
      <c r="E145" s="4" t="str">
        <f>IF($L145="","",IF(INDEX(tblRegistros[Data],$L145)&gt;$D$4,"",IFERROR(IF(INDEX(tblRegistros[Status],$L145)="EM ABERTO","",INDEX(tblRegistros[Fim],$L145)),"")))</f>
        <v/>
      </c>
      <c r="F145" s="14" t="str">
        <f>IF($L145="","",IF(INDEX(tblRegistros[Data],$L145)&gt;$D$4,"",IFERROR(IF(INDEX(tblRegistros[Status],$L145)="EM ABERTO","",INDEX(tblRegistros[Horas],$L145)),"")))</f>
        <v/>
      </c>
      <c r="G145" t="str">
        <f>IF($L145="","",IF(INDEX(tblRegistros[Data],$L145)&gt;$D$4,"",IFERROR(INDEX(tblRegistros[Base],$L145),"")))</f>
        <v/>
      </c>
      <c r="H145" s="3" t="str">
        <f>IF($L145="","",IF(INDEX(tblRegistros[Data],$L145)&gt;$D$4,"",IFERROR(INDEX(tblRegistros[Taxa aplicada],$L145),"")))</f>
        <v/>
      </c>
      <c r="I145" s="3" t="str">
        <f>IF($L145="","",IF(INDEX(tblRegistros[Data],$L145)&gt;$D$4,"",IFERROR(IF(INDEX(tblRegistros[Status],$L145)="EM ABERTO","",INDEX(tblRegistros[Valor],$L145)),"")))</f>
        <v/>
      </c>
      <c r="J145" t="str">
        <f>IF($L145="","",IF(INDEX(tblRegistros[Data],$L145)&gt;$D$4,"",IFERROR(INDEX(tblRegistros[Status],$L145),"")))</f>
        <v/>
      </c>
      <c r="K145" t="str">
        <f>IF($L145="","",IF(INDEX(tblRegistros[Data],$L145)&gt;$D$4,"",IFERROR(INDEX(tblRegistros[Observação],$L145),"")))</f>
        <v/>
      </c>
      <c r="L145" s="16" t="str">
        <f>IFERROR(MATCH($B$3*100000+COUNTIFS(tblRegistros[ID],$B$3,tblRegistros[Data],"&lt;"&amp;$B$4)+ROWS($L$10:L145),tblRegistros[Chave do cartão],0),"")</f>
        <v/>
      </c>
    </row>
    <row r="146" spans="1:12">
      <c r="A146" s="2" t="str">
        <f>IF($L146="","",IF(INDEX(tblRegistros[Data],$L146)&gt;$D$4,"",IFERROR(INDEX(tblRegistros[Data],$L146),"")))</f>
        <v/>
      </c>
      <c r="B146" t="str">
        <f>IF($L146="","",IF(INDEX(tblRegistros[Data],$L146)&gt;$D$4,"",IFERROR(INDEX(tblRegistros[Projeto],$L146),"")))</f>
        <v/>
      </c>
      <c r="C146" t="str">
        <f>IF($L146="","",IF(INDEX(tblRegistros[Data],$L146)&gt;$D$4,"",IFERROR(INDEX(tblRegistros[Atividade],$L146),"")))</f>
        <v/>
      </c>
      <c r="D146" s="4" t="str">
        <f>IF($L146="","",IF(INDEX(tblRegistros[Data],$L146)&gt;$D$4,"",IFERROR(INDEX(tblRegistros[Início],$L146),"")))</f>
        <v/>
      </c>
      <c r="E146" s="4" t="str">
        <f>IF($L146="","",IF(INDEX(tblRegistros[Data],$L146)&gt;$D$4,"",IFERROR(IF(INDEX(tblRegistros[Status],$L146)="EM ABERTO","",INDEX(tblRegistros[Fim],$L146)),"")))</f>
        <v/>
      </c>
      <c r="F146" s="14" t="str">
        <f>IF($L146="","",IF(INDEX(tblRegistros[Data],$L146)&gt;$D$4,"",IFERROR(IF(INDEX(tblRegistros[Status],$L146)="EM ABERTO","",INDEX(tblRegistros[Horas],$L146)),"")))</f>
        <v/>
      </c>
      <c r="G146" t="str">
        <f>IF($L146="","",IF(INDEX(tblRegistros[Data],$L146)&gt;$D$4,"",IFERROR(INDEX(tblRegistros[Base],$L146),"")))</f>
        <v/>
      </c>
      <c r="H146" s="3" t="str">
        <f>IF($L146="","",IF(INDEX(tblRegistros[Data],$L146)&gt;$D$4,"",IFERROR(INDEX(tblRegistros[Taxa aplicada],$L146),"")))</f>
        <v/>
      </c>
      <c r="I146" s="3" t="str">
        <f>IF($L146="","",IF(INDEX(tblRegistros[Data],$L146)&gt;$D$4,"",IFERROR(IF(INDEX(tblRegistros[Status],$L146)="EM ABERTO","",INDEX(tblRegistros[Valor],$L146)),"")))</f>
        <v/>
      </c>
      <c r="J146" t="str">
        <f>IF($L146="","",IF(INDEX(tblRegistros[Data],$L146)&gt;$D$4,"",IFERROR(INDEX(tblRegistros[Status],$L146),"")))</f>
        <v/>
      </c>
      <c r="K146" t="str">
        <f>IF($L146="","",IF(INDEX(tblRegistros[Data],$L146)&gt;$D$4,"",IFERROR(INDEX(tblRegistros[Observação],$L146),"")))</f>
        <v/>
      </c>
      <c r="L146" s="16" t="str">
        <f>IFERROR(MATCH($B$3*100000+COUNTIFS(tblRegistros[ID],$B$3,tblRegistros[Data],"&lt;"&amp;$B$4)+ROWS($L$10:L146),tblRegistros[Chave do cartão],0),"")</f>
        <v/>
      </c>
    </row>
    <row r="147" spans="1:12">
      <c r="A147" s="2" t="str">
        <f>IF($L147="","",IF(INDEX(tblRegistros[Data],$L147)&gt;$D$4,"",IFERROR(INDEX(tblRegistros[Data],$L147),"")))</f>
        <v/>
      </c>
      <c r="B147" t="str">
        <f>IF($L147="","",IF(INDEX(tblRegistros[Data],$L147)&gt;$D$4,"",IFERROR(INDEX(tblRegistros[Projeto],$L147),"")))</f>
        <v/>
      </c>
      <c r="C147" t="str">
        <f>IF($L147="","",IF(INDEX(tblRegistros[Data],$L147)&gt;$D$4,"",IFERROR(INDEX(tblRegistros[Atividade],$L147),"")))</f>
        <v/>
      </c>
      <c r="D147" s="4" t="str">
        <f>IF($L147="","",IF(INDEX(tblRegistros[Data],$L147)&gt;$D$4,"",IFERROR(INDEX(tblRegistros[Início],$L147),"")))</f>
        <v/>
      </c>
      <c r="E147" s="4" t="str">
        <f>IF($L147="","",IF(INDEX(tblRegistros[Data],$L147)&gt;$D$4,"",IFERROR(IF(INDEX(tblRegistros[Status],$L147)="EM ABERTO","",INDEX(tblRegistros[Fim],$L147)),"")))</f>
        <v/>
      </c>
      <c r="F147" s="14" t="str">
        <f>IF($L147="","",IF(INDEX(tblRegistros[Data],$L147)&gt;$D$4,"",IFERROR(IF(INDEX(tblRegistros[Status],$L147)="EM ABERTO","",INDEX(tblRegistros[Horas],$L147)),"")))</f>
        <v/>
      </c>
      <c r="G147" t="str">
        <f>IF($L147="","",IF(INDEX(tblRegistros[Data],$L147)&gt;$D$4,"",IFERROR(INDEX(tblRegistros[Base],$L147),"")))</f>
        <v/>
      </c>
      <c r="H147" s="3" t="str">
        <f>IF($L147="","",IF(INDEX(tblRegistros[Data],$L147)&gt;$D$4,"",IFERROR(INDEX(tblRegistros[Taxa aplicada],$L147),"")))</f>
        <v/>
      </c>
      <c r="I147" s="3" t="str">
        <f>IF($L147="","",IF(INDEX(tblRegistros[Data],$L147)&gt;$D$4,"",IFERROR(IF(INDEX(tblRegistros[Status],$L147)="EM ABERTO","",INDEX(tblRegistros[Valor],$L147)),"")))</f>
        <v/>
      </c>
      <c r="J147" t="str">
        <f>IF($L147="","",IF(INDEX(tblRegistros[Data],$L147)&gt;$D$4,"",IFERROR(INDEX(tblRegistros[Status],$L147),"")))</f>
        <v/>
      </c>
      <c r="K147" t="str">
        <f>IF($L147="","",IF(INDEX(tblRegistros[Data],$L147)&gt;$D$4,"",IFERROR(INDEX(tblRegistros[Observação],$L147),"")))</f>
        <v/>
      </c>
      <c r="L147" s="16" t="str">
        <f>IFERROR(MATCH($B$3*100000+COUNTIFS(tblRegistros[ID],$B$3,tblRegistros[Data],"&lt;"&amp;$B$4)+ROWS($L$10:L147),tblRegistros[Chave do cartão],0),"")</f>
        <v/>
      </c>
    </row>
    <row r="148" spans="1:12">
      <c r="A148" s="2" t="str">
        <f>IF($L148="","",IF(INDEX(tblRegistros[Data],$L148)&gt;$D$4,"",IFERROR(INDEX(tblRegistros[Data],$L148),"")))</f>
        <v/>
      </c>
      <c r="B148" t="str">
        <f>IF($L148="","",IF(INDEX(tblRegistros[Data],$L148)&gt;$D$4,"",IFERROR(INDEX(tblRegistros[Projeto],$L148),"")))</f>
        <v/>
      </c>
      <c r="C148" t="str">
        <f>IF($L148="","",IF(INDEX(tblRegistros[Data],$L148)&gt;$D$4,"",IFERROR(INDEX(tblRegistros[Atividade],$L148),"")))</f>
        <v/>
      </c>
      <c r="D148" s="4" t="str">
        <f>IF($L148="","",IF(INDEX(tblRegistros[Data],$L148)&gt;$D$4,"",IFERROR(INDEX(tblRegistros[Início],$L148),"")))</f>
        <v/>
      </c>
      <c r="E148" s="4" t="str">
        <f>IF($L148="","",IF(INDEX(tblRegistros[Data],$L148)&gt;$D$4,"",IFERROR(IF(INDEX(tblRegistros[Status],$L148)="EM ABERTO","",INDEX(tblRegistros[Fim],$L148)),"")))</f>
        <v/>
      </c>
      <c r="F148" s="14" t="str">
        <f>IF($L148="","",IF(INDEX(tblRegistros[Data],$L148)&gt;$D$4,"",IFERROR(IF(INDEX(tblRegistros[Status],$L148)="EM ABERTO","",INDEX(tblRegistros[Horas],$L148)),"")))</f>
        <v/>
      </c>
      <c r="G148" t="str">
        <f>IF($L148="","",IF(INDEX(tblRegistros[Data],$L148)&gt;$D$4,"",IFERROR(INDEX(tblRegistros[Base],$L148),"")))</f>
        <v/>
      </c>
      <c r="H148" s="3" t="str">
        <f>IF($L148="","",IF(INDEX(tblRegistros[Data],$L148)&gt;$D$4,"",IFERROR(INDEX(tblRegistros[Taxa aplicada],$L148),"")))</f>
        <v/>
      </c>
      <c r="I148" s="3" t="str">
        <f>IF($L148="","",IF(INDEX(tblRegistros[Data],$L148)&gt;$D$4,"",IFERROR(IF(INDEX(tblRegistros[Status],$L148)="EM ABERTO","",INDEX(tblRegistros[Valor],$L148)),"")))</f>
        <v/>
      </c>
      <c r="J148" t="str">
        <f>IF($L148="","",IF(INDEX(tblRegistros[Data],$L148)&gt;$D$4,"",IFERROR(INDEX(tblRegistros[Status],$L148),"")))</f>
        <v/>
      </c>
      <c r="K148" t="str">
        <f>IF($L148="","",IF(INDEX(tblRegistros[Data],$L148)&gt;$D$4,"",IFERROR(INDEX(tblRegistros[Observação],$L148),"")))</f>
        <v/>
      </c>
      <c r="L148" s="16" t="str">
        <f>IFERROR(MATCH($B$3*100000+COUNTIFS(tblRegistros[ID],$B$3,tblRegistros[Data],"&lt;"&amp;$B$4)+ROWS($L$10:L148),tblRegistros[Chave do cartão],0),"")</f>
        <v/>
      </c>
    </row>
    <row r="149" spans="1:12">
      <c r="A149" s="2" t="str">
        <f>IF($L149="","",IF(INDEX(tblRegistros[Data],$L149)&gt;$D$4,"",IFERROR(INDEX(tblRegistros[Data],$L149),"")))</f>
        <v/>
      </c>
      <c r="B149" t="str">
        <f>IF($L149="","",IF(INDEX(tblRegistros[Data],$L149)&gt;$D$4,"",IFERROR(INDEX(tblRegistros[Projeto],$L149),"")))</f>
        <v/>
      </c>
      <c r="C149" t="str">
        <f>IF($L149="","",IF(INDEX(tblRegistros[Data],$L149)&gt;$D$4,"",IFERROR(INDEX(tblRegistros[Atividade],$L149),"")))</f>
        <v/>
      </c>
      <c r="D149" s="4" t="str">
        <f>IF($L149="","",IF(INDEX(tblRegistros[Data],$L149)&gt;$D$4,"",IFERROR(INDEX(tblRegistros[Início],$L149),"")))</f>
        <v/>
      </c>
      <c r="E149" s="4" t="str">
        <f>IF($L149="","",IF(INDEX(tblRegistros[Data],$L149)&gt;$D$4,"",IFERROR(IF(INDEX(tblRegistros[Status],$L149)="EM ABERTO","",INDEX(tblRegistros[Fim],$L149)),"")))</f>
        <v/>
      </c>
      <c r="F149" s="14" t="str">
        <f>IF($L149="","",IF(INDEX(tblRegistros[Data],$L149)&gt;$D$4,"",IFERROR(IF(INDEX(tblRegistros[Status],$L149)="EM ABERTO","",INDEX(tblRegistros[Horas],$L149)),"")))</f>
        <v/>
      </c>
      <c r="G149" t="str">
        <f>IF($L149="","",IF(INDEX(tblRegistros[Data],$L149)&gt;$D$4,"",IFERROR(INDEX(tblRegistros[Base],$L149),"")))</f>
        <v/>
      </c>
      <c r="H149" s="3" t="str">
        <f>IF($L149="","",IF(INDEX(tblRegistros[Data],$L149)&gt;$D$4,"",IFERROR(INDEX(tblRegistros[Taxa aplicada],$L149),"")))</f>
        <v/>
      </c>
      <c r="I149" s="3" t="str">
        <f>IF($L149="","",IF(INDEX(tblRegistros[Data],$L149)&gt;$D$4,"",IFERROR(IF(INDEX(tblRegistros[Status],$L149)="EM ABERTO","",INDEX(tblRegistros[Valor],$L149)),"")))</f>
        <v/>
      </c>
      <c r="J149" t="str">
        <f>IF($L149="","",IF(INDEX(tblRegistros[Data],$L149)&gt;$D$4,"",IFERROR(INDEX(tblRegistros[Status],$L149),"")))</f>
        <v/>
      </c>
      <c r="K149" t="str">
        <f>IF($L149="","",IF(INDEX(tblRegistros[Data],$L149)&gt;$D$4,"",IFERROR(INDEX(tblRegistros[Observação],$L149),"")))</f>
        <v/>
      </c>
      <c r="L149" s="16" t="str">
        <f>IFERROR(MATCH($B$3*100000+COUNTIFS(tblRegistros[ID],$B$3,tblRegistros[Data],"&lt;"&amp;$B$4)+ROWS($L$10:L149),tblRegistros[Chave do cartão],0),"")</f>
        <v/>
      </c>
    </row>
    <row r="150" spans="1:12">
      <c r="A150" s="2" t="str">
        <f>IF($L150="","",IF(INDEX(tblRegistros[Data],$L150)&gt;$D$4,"",IFERROR(INDEX(tblRegistros[Data],$L150),"")))</f>
        <v/>
      </c>
      <c r="B150" t="str">
        <f>IF($L150="","",IF(INDEX(tblRegistros[Data],$L150)&gt;$D$4,"",IFERROR(INDEX(tblRegistros[Projeto],$L150),"")))</f>
        <v/>
      </c>
      <c r="C150" t="str">
        <f>IF($L150="","",IF(INDEX(tblRegistros[Data],$L150)&gt;$D$4,"",IFERROR(INDEX(tblRegistros[Atividade],$L150),"")))</f>
        <v/>
      </c>
      <c r="D150" s="4" t="str">
        <f>IF($L150="","",IF(INDEX(tblRegistros[Data],$L150)&gt;$D$4,"",IFERROR(INDEX(tblRegistros[Início],$L150),"")))</f>
        <v/>
      </c>
      <c r="E150" s="4" t="str">
        <f>IF($L150="","",IF(INDEX(tblRegistros[Data],$L150)&gt;$D$4,"",IFERROR(IF(INDEX(tblRegistros[Status],$L150)="EM ABERTO","",INDEX(tblRegistros[Fim],$L150)),"")))</f>
        <v/>
      </c>
      <c r="F150" s="14" t="str">
        <f>IF($L150="","",IF(INDEX(tblRegistros[Data],$L150)&gt;$D$4,"",IFERROR(IF(INDEX(tblRegistros[Status],$L150)="EM ABERTO","",INDEX(tblRegistros[Horas],$L150)),"")))</f>
        <v/>
      </c>
      <c r="G150" t="str">
        <f>IF($L150="","",IF(INDEX(tblRegistros[Data],$L150)&gt;$D$4,"",IFERROR(INDEX(tblRegistros[Base],$L150),"")))</f>
        <v/>
      </c>
      <c r="H150" s="3" t="str">
        <f>IF($L150="","",IF(INDEX(tblRegistros[Data],$L150)&gt;$D$4,"",IFERROR(INDEX(tblRegistros[Taxa aplicada],$L150),"")))</f>
        <v/>
      </c>
      <c r="I150" s="3" t="str">
        <f>IF($L150="","",IF(INDEX(tblRegistros[Data],$L150)&gt;$D$4,"",IFERROR(IF(INDEX(tblRegistros[Status],$L150)="EM ABERTO","",INDEX(tblRegistros[Valor],$L150)),"")))</f>
        <v/>
      </c>
      <c r="J150" t="str">
        <f>IF($L150="","",IF(INDEX(tblRegistros[Data],$L150)&gt;$D$4,"",IFERROR(INDEX(tblRegistros[Status],$L150),"")))</f>
        <v/>
      </c>
      <c r="K150" t="str">
        <f>IF($L150="","",IF(INDEX(tblRegistros[Data],$L150)&gt;$D$4,"",IFERROR(INDEX(tblRegistros[Observação],$L150),"")))</f>
        <v/>
      </c>
      <c r="L150" s="16" t="str">
        <f>IFERROR(MATCH($B$3*100000+COUNTIFS(tblRegistros[ID],$B$3,tblRegistros[Data],"&lt;"&amp;$B$4)+ROWS($L$10:L150),tblRegistros[Chave do cartão],0),"")</f>
        <v/>
      </c>
    </row>
    <row r="151" spans="1:12">
      <c r="A151" s="2" t="str">
        <f>IF($L151="","",IF(INDEX(tblRegistros[Data],$L151)&gt;$D$4,"",IFERROR(INDEX(tblRegistros[Data],$L151),"")))</f>
        <v/>
      </c>
      <c r="B151" t="str">
        <f>IF($L151="","",IF(INDEX(tblRegistros[Data],$L151)&gt;$D$4,"",IFERROR(INDEX(tblRegistros[Projeto],$L151),"")))</f>
        <v/>
      </c>
      <c r="C151" t="str">
        <f>IF($L151="","",IF(INDEX(tblRegistros[Data],$L151)&gt;$D$4,"",IFERROR(INDEX(tblRegistros[Atividade],$L151),"")))</f>
        <v/>
      </c>
      <c r="D151" s="4" t="str">
        <f>IF($L151="","",IF(INDEX(tblRegistros[Data],$L151)&gt;$D$4,"",IFERROR(INDEX(tblRegistros[Início],$L151),"")))</f>
        <v/>
      </c>
      <c r="E151" s="4" t="str">
        <f>IF($L151="","",IF(INDEX(tblRegistros[Data],$L151)&gt;$D$4,"",IFERROR(IF(INDEX(tblRegistros[Status],$L151)="EM ABERTO","",INDEX(tblRegistros[Fim],$L151)),"")))</f>
        <v/>
      </c>
      <c r="F151" s="14" t="str">
        <f>IF($L151="","",IF(INDEX(tblRegistros[Data],$L151)&gt;$D$4,"",IFERROR(IF(INDEX(tblRegistros[Status],$L151)="EM ABERTO","",INDEX(tblRegistros[Horas],$L151)),"")))</f>
        <v/>
      </c>
      <c r="G151" t="str">
        <f>IF($L151="","",IF(INDEX(tblRegistros[Data],$L151)&gt;$D$4,"",IFERROR(INDEX(tblRegistros[Base],$L151),"")))</f>
        <v/>
      </c>
      <c r="H151" s="3" t="str">
        <f>IF($L151="","",IF(INDEX(tblRegistros[Data],$L151)&gt;$D$4,"",IFERROR(INDEX(tblRegistros[Taxa aplicada],$L151),"")))</f>
        <v/>
      </c>
      <c r="I151" s="3" t="str">
        <f>IF($L151="","",IF(INDEX(tblRegistros[Data],$L151)&gt;$D$4,"",IFERROR(IF(INDEX(tblRegistros[Status],$L151)="EM ABERTO","",INDEX(tblRegistros[Valor],$L151)),"")))</f>
        <v/>
      </c>
      <c r="J151" t="str">
        <f>IF($L151="","",IF(INDEX(tblRegistros[Data],$L151)&gt;$D$4,"",IFERROR(INDEX(tblRegistros[Status],$L151),"")))</f>
        <v/>
      </c>
      <c r="K151" t="str">
        <f>IF($L151="","",IF(INDEX(tblRegistros[Data],$L151)&gt;$D$4,"",IFERROR(INDEX(tblRegistros[Observação],$L151),"")))</f>
        <v/>
      </c>
      <c r="L151" s="16" t="str">
        <f>IFERROR(MATCH($B$3*100000+COUNTIFS(tblRegistros[ID],$B$3,tblRegistros[Data],"&lt;"&amp;$B$4)+ROWS($L$10:L151),tblRegistros[Chave do cartão],0),"")</f>
        <v/>
      </c>
    </row>
    <row r="152" spans="1:12">
      <c r="A152" s="2" t="str">
        <f>IF($L152="","",IF(INDEX(tblRegistros[Data],$L152)&gt;$D$4,"",IFERROR(INDEX(tblRegistros[Data],$L152),"")))</f>
        <v/>
      </c>
      <c r="B152" t="str">
        <f>IF($L152="","",IF(INDEX(tblRegistros[Data],$L152)&gt;$D$4,"",IFERROR(INDEX(tblRegistros[Projeto],$L152),"")))</f>
        <v/>
      </c>
      <c r="C152" t="str">
        <f>IF($L152="","",IF(INDEX(tblRegistros[Data],$L152)&gt;$D$4,"",IFERROR(INDEX(tblRegistros[Atividade],$L152),"")))</f>
        <v/>
      </c>
      <c r="D152" s="4" t="str">
        <f>IF($L152="","",IF(INDEX(tblRegistros[Data],$L152)&gt;$D$4,"",IFERROR(INDEX(tblRegistros[Início],$L152),"")))</f>
        <v/>
      </c>
      <c r="E152" s="4" t="str">
        <f>IF($L152="","",IF(INDEX(tblRegistros[Data],$L152)&gt;$D$4,"",IFERROR(IF(INDEX(tblRegistros[Status],$L152)="EM ABERTO","",INDEX(tblRegistros[Fim],$L152)),"")))</f>
        <v/>
      </c>
      <c r="F152" s="14" t="str">
        <f>IF($L152="","",IF(INDEX(tblRegistros[Data],$L152)&gt;$D$4,"",IFERROR(IF(INDEX(tblRegistros[Status],$L152)="EM ABERTO","",INDEX(tblRegistros[Horas],$L152)),"")))</f>
        <v/>
      </c>
      <c r="G152" t="str">
        <f>IF($L152="","",IF(INDEX(tblRegistros[Data],$L152)&gt;$D$4,"",IFERROR(INDEX(tblRegistros[Base],$L152),"")))</f>
        <v/>
      </c>
      <c r="H152" s="3" t="str">
        <f>IF($L152="","",IF(INDEX(tblRegistros[Data],$L152)&gt;$D$4,"",IFERROR(INDEX(tblRegistros[Taxa aplicada],$L152),"")))</f>
        <v/>
      </c>
      <c r="I152" s="3" t="str">
        <f>IF($L152="","",IF(INDEX(tblRegistros[Data],$L152)&gt;$D$4,"",IFERROR(IF(INDEX(tblRegistros[Status],$L152)="EM ABERTO","",INDEX(tblRegistros[Valor],$L152)),"")))</f>
        <v/>
      </c>
      <c r="J152" t="str">
        <f>IF($L152="","",IF(INDEX(tblRegistros[Data],$L152)&gt;$D$4,"",IFERROR(INDEX(tblRegistros[Status],$L152),"")))</f>
        <v/>
      </c>
      <c r="K152" t="str">
        <f>IF($L152="","",IF(INDEX(tblRegistros[Data],$L152)&gt;$D$4,"",IFERROR(INDEX(tblRegistros[Observação],$L152),"")))</f>
        <v/>
      </c>
      <c r="L152" s="16" t="str">
        <f>IFERROR(MATCH($B$3*100000+COUNTIFS(tblRegistros[ID],$B$3,tblRegistros[Data],"&lt;"&amp;$B$4)+ROWS($L$10:L152),tblRegistros[Chave do cartão],0),"")</f>
        <v/>
      </c>
    </row>
    <row r="153" spans="1:12">
      <c r="A153" s="2" t="str">
        <f>IF($L153="","",IF(INDEX(tblRegistros[Data],$L153)&gt;$D$4,"",IFERROR(INDEX(tblRegistros[Data],$L153),"")))</f>
        <v/>
      </c>
      <c r="B153" t="str">
        <f>IF($L153="","",IF(INDEX(tblRegistros[Data],$L153)&gt;$D$4,"",IFERROR(INDEX(tblRegistros[Projeto],$L153),"")))</f>
        <v/>
      </c>
      <c r="C153" t="str">
        <f>IF($L153="","",IF(INDEX(tblRegistros[Data],$L153)&gt;$D$4,"",IFERROR(INDEX(tblRegistros[Atividade],$L153),"")))</f>
        <v/>
      </c>
      <c r="D153" s="4" t="str">
        <f>IF($L153="","",IF(INDEX(tblRegistros[Data],$L153)&gt;$D$4,"",IFERROR(INDEX(tblRegistros[Início],$L153),"")))</f>
        <v/>
      </c>
      <c r="E153" s="4" t="str">
        <f>IF($L153="","",IF(INDEX(tblRegistros[Data],$L153)&gt;$D$4,"",IFERROR(IF(INDEX(tblRegistros[Status],$L153)="EM ABERTO","",INDEX(tblRegistros[Fim],$L153)),"")))</f>
        <v/>
      </c>
      <c r="F153" s="14" t="str">
        <f>IF($L153="","",IF(INDEX(tblRegistros[Data],$L153)&gt;$D$4,"",IFERROR(IF(INDEX(tblRegistros[Status],$L153)="EM ABERTO","",INDEX(tblRegistros[Horas],$L153)),"")))</f>
        <v/>
      </c>
      <c r="G153" t="str">
        <f>IF($L153="","",IF(INDEX(tblRegistros[Data],$L153)&gt;$D$4,"",IFERROR(INDEX(tblRegistros[Base],$L153),"")))</f>
        <v/>
      </c>
      <c r="H153" s="3" t="str">
        <f>IF($L153="","",IF(INDEX(tblRegistros[Data],$L153)&gt;$D$4,"",IFERROR(INDEX(tblRegistros[Taxa aplicada],$L153),"")))</f>
        <v/>
      </c>
      <c r="I153" s="3" t="str">
        <f>IF($L153="","",IF(INDEX(tblRegistros[Data],$L153)&gt;$D$4,"",IFERROR(IF(INDEX(tblRegistros[Status],$L153)="EM ABERTO","",INDEX(tblRegistros[Valor],$L153)),"")))</f>
        <v/>
      </c>
      <c r="J153" t="str">
        <f>IF($L153="","",IF(INDEX(tblRegistros[Data],$L153)&gt;$D$4,"",IFERROR(INDEX(tblRegistros[Status],$L153),"")))</f>
        <v/>
      </c>
      <c r="K153" t="str">
        <f>IF($L153="","",IF(INDEX(tblRegistros[Data],$L153)&gt;$D$4,"",IFERROR(INDEX(tblRegistros[Observação],$L153),"")))</f>
        <v/>
      </c>
      <c r="L153" s="16" t="str">
        <f>IFERROR(MATCH($B$3*100000+COUNTIFS(tblRegistros[ID],$B$3,tblRegistros[Data],"&lt;"&amp;$B$4)+ROWS($L$10:L153),tblRegistros[Chave do cartão],0),"")</f>
        <v/>
      </c>
    </row>
    <row r="154" spans="1:12">
      <c r="A154" s="2" t="str">
        <f>IF($L154="","",IF(INDEX(tblRegistros[Data],$L154)&gt;$D$4,"",IFERROR(INDEX(tblRegistros[Data],$L154),"")))</f>
        <v/>
      </c>
      <c r="B154" t="str">
        <f>IF($L154="","",IF(INDEX(tblRegistros[Data],$L154)&gt;$D$4,"",IFERROR(INDEX(tblRegistros[Projeto],$L154),"")))</f>
        <v/>
      </c>
      <c r="C154" t="str">
        <f>IF($L154="","",IF(INDEX(tblRegistros[Data],$L154)&gt;$D$4,"",IFERROR(INDEX(tblRegistros[Atividade],$L154),"")))</f>
        <v/>
      </c>
      <c r="D154" s="4" t="str">
        <f>IF($L154="","",IF(INDEX(tblRegistros[Data],$L154)&gt;$D$4,"",IFERROR(INDEX(tblRegistros[Início],$L154),"")))</f>
        <v/>
      </c>
      <c r="E154" s="4" t="str">
        <f>IF($L154="","",IF(INDEX(tblRegistros[Data],$L154)&gt;$D$4,"",IFERROR(IF(INDEX(tblRegistros[Status],$L154)="EM ABERTO","",INDEX(tblRegistros[Fim],$L154)),"")))</f>
        <v/>
      </c>
      <c r="F154" s="14" t="str">
        <f>IF($L154="","",IF(INDEX(tblRegistros[Data],$L154)&gt;$D$4,"",IFERROR(IF(INDEX(tblRegistros[Status],$L154)="EM ABERTO","",INDEX(tblRegistros[Horas],$L154)),"")))</f>
        <v/>
      </c>
      <c r="G154" t="str">
        <f>IF($L154="","",IF(INDEX(tblRegistros[Data],$L154)&gt;$D$4,"",IFERROR(INDEX(tblRegistros[Base],$L154),"")))</f>
        <v/>
      </c>
      <c r="H154" s="3" t="str">
        <f>IF($L154="","",IF(INDEX(tblRegistros[Data],$L154)&gt;$D$4,"",IFERROR(INDEX(tblRegistros[Taxa aplicada],$L154),"")))</f>
        <v/>
      </c>
      <c r="I154" s="3" t="str">
        <f>IF($L154="","",IF(INDEX(tblRegistros[Data],$L154)&gt;$D$4,"",IFERROR(IF(INDEX(tblRegistros[Status],$L154)="EM ABERTO","",INDEX(tblRegistros[Valor],$L154)),"")))</f>
        <v/>
      </c>
      <c r="J154" t="str">
        <f>IF($L154="","",IF(INDEX(tblRegistros[Data],$L154)&gt;$D$4,"",IFERROR(INDEX(tblRegistros[Status],$L154),"")))</f>
        <v/>
      </c>
      <c r="K154" t="str">
        <f>IF($L154="","",IF(INDEX(tblRegistros[Data],$L154)&gt;$D$4,"",IFERROR(INDEX(tblRegistros[Observação],$L154),"")))</f>
        <v/>
      </c>
      <c r="L154" s="16" t="str">
        <f>IFERROR(MATCH($B$3*100000+COUNTIFS(tblRegistros[ID],$B$3,tblRegistros[Data],"&lt;"&amp;$B$4)+ROWS($L$10:L154),tblRegistros[Chave do cartão],0),"")</f>
        <v/>
      </c>
    </row>
    <row r="155" spans="1:12">
      <c r="A155" s="2" t="str">
        <f>IF($L155="","",IF(INDEX(tblRegistros[Data],$L155)&gt;$D$4,"",IFERROR(INDEX(tblRegistros[Data],$L155),"")))</f>
        <v/>
      </c>
      <c r="B155" t="str">
        <f>IF($L155="","",IF(INDEX(tblRegistros[Data],$L155)&gt;$D$4,"",IFERROR(INDEX(tblRegistros[Projeto],$L155),"")))</f>
        <v/>
      </c>
      <c r="C155" t="str">
        <f>IF($L155="","",IF(INDEX(tblRegistros[Data],$L155)&gt;$D$4,"",IFERROR(INDEX(tblRegistros[Atividade],$L155),"")))</f>
        <v/>
      </c>
      <c r="D155" s="4" t="str">
        <f>IF($L155="","",IF(INDEX(tblRegistros[Data],$L155)&gt;$D$4,"",IFERROR(INDEX(tblRegistros[Início],$L155),"")))</f>
        <v/>
      </c>
      <c r="E155" s="4" t="str">
        <f>IF($L155="","",IF(INDEX(tblRegistros[Data],$L155)&gt;$D$4,"",IFERROR(IF(INDEX(tblRegistros[Status],$L155)="EM ABERTO","",INDEX(tblRegistros[Fim],$L155)),"")))</f>
        <v/>
      </c>
      <c r="F155" s="14" t="str">
        <f>IF($L155="","",IF(INDEX(tblRegistros[Data],$L155)&gt;$D$4,"",IFERROR(IF(INDEX(tblRegistros[Status],$L155)="EM ABERTO","",INDEX(tblRegistros[Horas],$L155)),"")))</f>
        <v/>
      </c>
      <c r="G155" t="str">
        <f>IF($L155="","",IF(INDEX(tblRegistros[Data],$L155)&gt;$D$4,"",IFERROR(INDEX(tblRegistros[Base],$L155),"")))</f>
        <v/>
      </c>
      <c r="H155" s="3" t="str">
        <f>IF($L155="","",IF(INDEX(tblRegistros[Data],$L155)&gt;$D$4,"",IFERROR(INDEX(tblRegistros[Taxa aplicada],$L155),"")))</f>
        <v/>
      </c>
      <c r="I155" s="3" t="str">
        <f>IF($L155="","",IF(INDEX(tblRegistros[Data],$L155)&gt;$D$4,"",IFERROR(IF(INDEX(tblRegistros[Status],$L155)="EM ABERTO","",INDEX(tblRegistros[Valor],$L155)),"")))</f>
        <v/>
      </c>
      <c r="J155" t="str">
        <f>IF($L155="","",IF(INDEX(tblRegistros[Data],$L155)&gt;$D$4,"",IFERROR(INDEX(tblRegistros[Status],$L155),"")))</f>
        <v/>
      </c>
      <c r="K155" t="str">
        <f>IF($L155="","",IF(INDEX(tblRegistros[Data],$L155)&gt;$D$4,"",IFERROR(INDEX(tblRegistros[Observação],$L155),"")))</f>
        <v/>
      </c>
      <c r="L155" s="16" t="str">
        <f>IFERROR(MATCH($B$3*100000+COUNTIFS(tblRegistros[ID],$B$3,tblRegistros[Data],"&lt;"&amp;$B$4)+ROWS($L$10:L155),tblRegistros[Chave do cartão],0),"")</f>
        <v/>
      </c>
    </row>
    <row r="156" spans="1:12">
      <c r="A156" s="2" t="str">
        <f>IF($L156="","",IF(INDEX(tblRegistros[Data],$L156)&gt;$D$4,"",IFERROR(INDEX(tblRegistros[Data],$L156),"")))</f>
        <v/>
      </c>
      <c r="B156" t="str">
        <f>IF($L156="","",IF(INDEX(tblRegistros[Data],$L156)&gt;$D$4,"",IFERROR(INDEX(tblRegistros[Projeto],$L156),"")))</f>
        <v/>
      </c>
      <c r="C156" t="str">
        <f>IF($L156="","",IF(INDEX(tblRegistros[Data],$L156)&gt;$D$4,"",IFERROR(INDEX(tblRegistros[Atividade],$L156),"")))</f>
        <v/>
      </c>
      <c r="D156" s="4" t="str">
        <f>IF($L156="","",IF(INDEX(tblRegistros[Data],$L156)&gt;$D$4,"",IFERROR(INDEX(tblRegistros[Início],$L156),"")))</f>
        <v/>
      </c>
      <c r="E156" s="4" t="str">
        <f>IF($L156="","",IF(INDEX(tblRegistros[Data],$L156)&gt;$D$4,"",IFERROR(IF(INDEX(tblRegistros[Status],$L156)="EM ABERTO","",INDEX(tblRegistros[Fim],$L156)),"")))</f>
        <v/>
      </c>
      <c r="F156" s="14" t="str">
        <f>IF($L156="","",IF(INDEX(tblRegistros[Data],$L156)&gt;$D$4,"",IFERROR(IF(INDEX(tblRegistros[Status],$L156)="EM ABERTO","",INDEX(tblRegistros[Horas],$L156)),"")))</f>
        <v/>
      </c>
      <c r="G156" t="str">
        <f>IF($L156="","",IF(INDEX(tblRegistros[Data],$L156)&gt;$D$4,"",IFERROR(INDEX(tblRegistros[Base],$L156),"")))</f>
        <v/>
      </c>
      <c r="H156" s="3" t="str">
        <f>IF($L156="","",IF(INDEX(tblRegistros[Data],$L156)&gt;$D$4,"",IFERROR(INDEX(tblRegistros[Taxa aplicada],$L156),"")))</f>
        <v/>
      </c>
      <c r="I156" s="3" t="str">
        <f>IF($L156="","",IF(INDEX(tblRegistros[Data],$L156)&gt;$D$4,"",IFERROR(IF(INDEX(tblRegistros[Status],$L156)="EM ABERTO","",INDEX(tblRegistros[Valor],$L156)),"")))</f>
        <v/>
      </c>
      <c r="J156" t="str">
        <f>IF($L156="","",IF(INDEX(tblRegistros[Data],$L156)&gt;$D$4,"",IFERROR(INDEX(tblRegistros[Status],$L156),"")))</f>
        <v/>
      </c>
      <c r="K156" t="str">
        <f>IF($L156="","",IF(INDEX(tblRegistros[Data],$L156)&gt;$D$4,"",IFERROR(INDEX(tblRegistros[Observação],$L156),"")))</f>
        <v/>
      </c>
      <c r="L156" s="16" t="str">
        <f>IFERROR(MATCH($B$3*100000+COUNTIFS(tblRegistros[ID],$B$3,tblRegistros[Data],"&lt;"&amp;$B$4)+ROWS($L$10:L156),tblRegistros[Chave do cartão],0),"")</f>
        <v/>
      </c>
    </row>
    <row r="157" spans="1:12">
      <c r="A157" s="2" t="str">
        <f>IF($L157="","",IF(INDEX(tblRegistros[Data],$L157)&gt;$D$4,"",IFERROR(INDEX(tblRegistros[Data],$L157),"")))</f>
        <v/>
      </c>
      <c r="B157" t="str">
        <f>IF($L157="","",IF(INDEX(tblRegistros[Data],$L157)&gt;$D$4,"",IFERROR(INDEX(tblRegistros[Projeto],$L157),"")))</f>
        <v/>
      </c>
      <c r="C157" t="str">
        <f>IF($L157="","",IF(INDEX(tblRegistros[Data],$L157)&gt;$D$4,"",IFERROR(INDEX(tblRegistros[Atividade],$L157),"")))</f>
        <v/>
      </c>
      <c r="D157" s="4" t="str">
        <f>IF($L157="","",IF(INDEX(tblRegistros[Data],$L157)&gt;$D$4,"",IFERROR(INDEX(tblRegistros[Início],$L157),"")))</f>
        <v/>
      </c>
      <c r="E157" s="4" t="str">
        <f>IF($L157="","",IF(INDEX(tblRegistros[Data],$L157)&gt;$D$4,"",IFERROR(IF(INDEX(tblRegistros[Status],$L157)="EM ABERTO","",INDEX(tblRegistros[Fim],$L157)),"")))</f>
        <v/>
      </c>
      <c r="F157" s="14" t="str">
        <f>IF($L157="","",IF(INDEX(tblRegistros[Data],$L157)&gt;$D$4,"",IFERROR(IF(INDEX(tblRegistros[Status],$L157)="EM ABERTO","",INDEX(tblRegistros[Horas],$L157)),"")))</f>
        <v/>
      </c>
      <c r="G157" t="str">
        <f>IF($L157="","",IF(INDEX(tblRegistros[Data],$L157)&gt;$D$4,"",IFERROR(INDEX(tblRegistros[Base],$L157),"")))</f>
        <v/>
      </c>
      <c r="H157" s="3" t="str">
        <f>IF($L157="","",IF(INDEX(tblRegistros[Data],$L157)&gt;$D$4,"",IFERROR(INDEX(tblRegistros[Taxa aplicada],$L157),"")))</f>
        <v/>
      </c>
      <c r="I157" s="3" t="str">
        <f>IF($L157="","",IF(INDEX(tblRegistros[Data],$L157)&gt;$D$4,"",IFERROR(IF(INDEX(tblRegistros[Status],$L157)="EM ABERTO","",INDEX(tblRegistros[Valor],$L157)),"")))</f>
        <v/>
      </c>
      <c r="J157" t="str">
        <f>IF($L157="","",IF(INDEX(tblRegistros[Data],$L157)&gt;$D$4,"",IFERROR(INDEX(tblRegistros[Status],$L157),"")))</f>
        <v/>
      </c>
      <c r="K157" t="str">
        <f>IF($L157="","",IF(INDEX(tblRegistros[Data],$L157)&gt;$D$4,"",IFERROR(INDEX(tblRegistros[Observação],$L157),"")))</f>
        <v/>
      </c>
      <c r="L157" s="16" t="str">
        <f>IFERROR(MATCH($B$3*100000+COUNTIFS(tblRegistros[ID],$B$3,tblRegistros[Data],"&lt;"&amp;$B$4)+ROWS($L$10:L157),tblRegistros[Chave do cartão],0),"")</f>
        <v/>
      </c>
    </row>
    <row r="158" spans="1:12">
      <c r="A158" s="2" t="str">
        <f>IF($L158="","",IF(INDEX(tblRegistros[Data],$L158)&gt;$D$4,"",IFERROR(INDEX(tblRegistros[Data],$L158),"")))</f>
        <v/>
      </c>
      <c r="B158" t="str">
        <f>IF($L158="","",IF(INDEX(tblRegistros[Data],$L158)&gt;$D$4,"",IFERROR(INDEX(tblRegistros[Projeto],$L158),"")))</f>
        <v/>
      </c>
      <c r="C158" t="str">
        <f>IF($L158="","",IF(INDEX(tblRegistros[Data],$L158)&gt;$D$4,"",IFERROR(INDEX(tblRegistros[Atividade],$L158),"")))</f>
        <v/>
      </c>
      <c r="D158" s="4" t="str">
        <f>IF($L158="","",IF(INDEX(tblRegistros[Data],$L158)&gt;$D$4,"",IFERROR(INDEX(tblRegistros[Início],$L158),"")))</f>
        <v/>
      </c>
      <c r="E158" s="4" t="str">
        <f>IF($L158="","",IF(INDEX(tblRegistros[Data],$L158)&gt;$D$4,"",IFERROR(IF(INDEX(tblRegistros[Status],$L158)="EM ABERTO","",INDEX(tblRegistros[Fim],$L158)),"")))</f>
        <v/>
      </c>
      <c r="F158" s="14" t="str">
        <f>IF($L158="","",IF(INDEX(tblRegistros[Data],$L158)&gt;$D$4,"",IFERROR(IF(INDEX(tblRegistros[Status],$L158)="EM ABERTO","",INDEX(tblRegistros[Horas],$L158)),"")))</f>
        <v/>
      </c>
      <c r="G158" t="str">
        <f>IF($L158="","",IF(INDEX(tblRegistros[Data],$L158)&gt;$D$4,"",IFERROR(INDEX(tblRegistros[Base],$L158),"")))</f>
        <v/>
      </c>
      <c r="H158" s="3" t="str">
        <f>IF($L158="","",IF(INDEX(tblRegistros[Data],$L158)&gt;$D$4,"",IFERROR(INDEX(tblRegistros[Taxa aplicada],$L158),"")))</f>
        <v/>
      </c>
      <c r="I158" s="3" t="str">
        <f>IF($L158="","",IF(INDEX(tblRegistros[Data],$L158)&gt;$D$4,"",IFERROR(IF(INDEX(tblRegistros[Status],$L158)="EM ABERTO","",INDEX(tblRegistros[Valor],$L158)),"")))</f>
        <v/>
      </c>
      <c r="J158" t="str">
        <f>IF($L158="","",IF(INDEX(tblRegistros[Data],$L158)&gt;$D$4,"",IFERROR(INDEX(tblRegistros[Status],$L158),"")))</f>
        <v/>
      </c>
      <c r="K158" t="str">
        <f>IF($L158="","",IF(INDEX(tblRegistros[Data],$L158)&gt;$D$4,"",IFERROR(INDEX(tblRegistros[Observação],$L158),"")))</f>
        <v/>
      </c>
      <c r="L158" s="16" t="str">
        <f>IFERROR(MATCH($B$3*100000+COUNTIFS(tblRegistros[ID],$B$3,tblRegistros[Data],"&lt;"&amp;$B$4)+ROWS($L$10:L158),tblRegistros[Chave do cartão],0),"")</f>
        <v/>
      </c>
    </row>
    <row r="159" spans="1:12">
      <c r="A159" s="2" t="str">
        <f>IF($L159="","",IF(INDEX(tblRegistros[Data],$L159)&gt;$D$4,"",IFERROR(INDEX(tblRegistros[Data],$L159),"")))</f>
        <v/>
      </c>
      <c r="B159" t="str">
        <f>IF($L159="","",IF(INDEX(tblRegistros[Data],$L159)&gt;$D$4,"",IFERROR(INDEX(tblRegistros[Projeto],$L159),"")))</f>
        <v/>
      </c>
      <c r="C159" t="str">
        <f>IF($L159="","",IF(INDEX(tblRegistros[Data],$L159)&gt;$D$4,"",IFERROR(INDEX(tblRegistros[Atividade],$L159),"")))</f>
        <v/>
      </c>
      <c r="D159" s="4" t="str">
        <f>IF($L159="","",IF(INDEX(tblRegistros[Data],$L159)&gt;$D$4,"",IFERROR(INDEX(tblRegistros[Início],$L159),"")))</f>
        <v/>
      </c>
      <c r="E159" s="4" t="str">
        <f>IF($L159="","",IF(INDEX(tblRegistros[Data],$L159)&gt;$D$4,"",IFERROR(IF(INDEX(tblRegistros[Status],$L159)="EM ABERTO","",INDEX(tblRegistros[Fim],$L159)),"")))</f>
        <v/>
      </c>
      <c r="F159" s="14" t="str">
        <f>IF($L159="","",IF(INDEX(tblRegistros[Data],$L159)&gt;$D$4,"",IFERROR(IF(INDEX(tblRegistros[Status],$L159)="EM ABERTO","",INDEX(tblRegistros[Horas],$L159)),"")))</f>
        <v/>
      </c>
      <c r="G159" t="str">
        <f>IF($L159="","",IF(INDEX(tblRegistros[Data],$L159)&gt;$D$4,"",IFERROR(INDEX(tblRegistros[Base],$L159),"")))</f>
        <v/>
      </c>
      <c r="H159" s="3" t="str">
        <f>IF($L159="","",IF(INDEX(tblRegistros[Data],$L159)&gt;$D$4,"",IFERROR(INDEX(tblRegistros[Taxa aplicada],$L159),"")))</f>
        <v/>
      </c>
      <c r="I159" s="3" t="str">
        <f>IF($L159="","",IF(INDEX(tblRegistros[Data],$L159)&gt;$D$4,"",IFERROR(IF(INDEX(tblRegistros[Status],$L159)="EM ABERTO","",INDEX(tblRegistros[Valor],$L159)),"")))</f>
        <v/>
      </c>
      <c r="J159" t="str">
        <f>IF($L159="","",IF(INDEX(tblRegistros[Data],$L159)&gt;$D$4,"",IFERROR(INDEX(tblRegistros[Status],$L159),"")))</f>
        <v/>
      </c>
      <c r="K159" t="str">
        <f>IF($L159="","",IF(INDEX(tblRegistros[Data],$L159)&gt;$D$4,"",IFERROR(INDEX(tblRegistros[Observação],$L159),"")))</f>
        <v/>
      </c>
      <c r="L159" s="16" t="str">
        <f>IFERROR(MATCH($B$3*100000+COUNTIFS(tblRegistros[ID],$B$3,tblRegistros[Data],"&lt;"&amp;$B$4)+ROWS($L$10:L159),tblRegistros[Chave do cartão],0),"")</f>
        <v/>
      </c>
    </row>
    <row r="160" spans="1:12">
      <c r="A160" s="2" t="str">
        <f>IF($L160="","",IF(INDEX(tblRegistros[Data],$L160)&gt;$D$4,"",IFERROR(INDEX(tblRegistros[Data],$L160),"")))</f>
        <v/>
      </c>
      <c r="B160" t="str">
        <f>IF($L160="","",IF(INDEX(tblRegistros[Data],$L160)&gt;$D$4,"",IFERROR(INDEX(tblRegistros[Projeto],$L160),"")))</f>
        <v/>
      </c>
      <c r="C160" t="str">
        <f>IF($L160="","",IF(INDEX(tblRegistros[Data],$L160)&gt;$D$4,"",IFERROR(INDEX(tblRegistros[Atividade],$L160),"")))</f>
        <v/>
      </c>
      <c r="D160" s="4" t="str">
        <f>IF($L160="","",IF(INDEX(tblRegistros[Data],$L160)&gt;$D$4,"",IFERROR(INDEX(tblRegistros[Início],$L160),"")))</f>
        <v/>
      </c>
      <c r="E160" s="4" t="str">
        <f>IF($L160="","",IF(INDEX(tblRegistros[Data],$L160)&gt;$D$4,"",IFERROR(IF(INDEX(tblRegistros[Status],$L160)="EM ABERTO","",INDEX(tblRegistros[Fim],$L160)),"")))</f>
        <v/>
      </c>
      <c r="F160" s="14" t="str">
        <f>IF($L160="","",IF(INDEX(tblRegistros[Data],$L160)&gt;$D$4,"",IFERROR(IF(INDEX(tblRegistros[Status],$L160)="EM ABERTO","",INDEX(tblRegistros[Horas],$L160)),"")))</f>
        <v/>
      </c>
      <c r="G160" t="str">
        <f>IF($L160="","",IF(INDEX(tblRegistros[Data],$L160)&gt;$D$4,"",IFERROR(INDEX(tblRegistros[Base],$L160),"")))</f>
        <v/>
      </c>
      <c r="H160" s="3" t="str">
        <f>IF($L160="","",IF(INDEX(tblRegistros[Data],$L160)&gt;$D$4,"",IFERROR(INDEX(tblRegistros[Taxa aplicada],$L160),"")))</f>
        <v/>
      </c>
      <c r="I160" s="3" t="str">
        <f>IF($L160="","",IF(INDEX(tblRegistros[Data],$L160)&gt;$D$4,"",IFERROR(IF(INDEX(tblRegistros[Status],$L160)="EM ABERTO","",INDEX(tblRegistros[Valor],$L160)),"")))</f>
        <v/>
      </c>
      <c r="J160" t="str">
        <f>IF($L160="","",IF(INDEX(tblRegistros[Data],$L160)&gt;$D$4,"",IFERROR(INDEX(tblRegistros[Status],$L160),"")))</f>
        <v/>
      </c>
      <c r="K160" t="str">
        <f>IF($L160="","",IF(INDEX(tblRegistros[Data],$L160)&gt;$D$4,"",IFERROR(INDEX(tblRegistros[Observação],$L160),"")))</f>
        <v/>
      </c>
      <c r="L160" s="16" t="str">
        <f>IFERROR(MATCH($B$3*100000+COUNTIFS(tblRegistros[ID],$B$3,tblRegistros[Data],"&lt;"&amp;$B$4)+ROWS($L$10:L160),tblRegistros[Chave do cartão],0),"")</f>
        <v/>
      </c>
    </row>
    <row r="161" spans="1:12">
      <c r="A161" s="2" t="str">
        <f>IF($L161="","",IF(INDEX(tblRegistros[Data],$L161)&gt;$D$4,"",IFERROR(INDEX(tblRegistros[Data],$L161),"")))</f>
        <v/>
      </c>
      <c r="B161" t="str">
        <f>IF($L161="","",IF(INDEX(tblRegistros[Data],$L161)&gt;$D$4,"",IFERROR(INDEX(tblRegistros[Projeto],$L161),"")))</f>
        <v/>
      </c>
      <c r="C161" t="str">
        <f>IF($L161="","",IF(INDEX(tblRegistros[Data],$L161)&gt;$D$4,"",IFERROR(INDEX(tblRegistros[Atividade],$L161),"")))</f>
        <v/>
      </c>
      <c r="D161" s="4" t="str">
        <f>IF($L161="","",IF(INDEX(tblRegistros[Data],$L161)&gt;$D$4,"",IFERROR(INDEX(tblRegistros[Início],$L161),"")))</f>
        <v/>
      </c>
      <c r="E161" s="4" t="str">
        <f>IF($L161="","",IF(INDEX(tblRegistros[Data],$L161)&gt;$D$4,"",IFERROR(IF(INDEX(tblRegistros[Status],$L161)="EM ABERTO","",INDEX(tblRegistros[Fim],$L161)),"")))</f>
        <v/>
      </c>
      <c r="F161" s="14" t="str">
        <f>IF($L161="","",IF(INDEX(tblRegistros[Data],$L161)&gt;$D$4,"",IFERROR(IF(INDEX(tblRegistros[Status],$L161)="EM ABERTO","",INDEX(tblRegistros[Horas],$L161)),"")))</f>
        <v/>
      </c>
      <c r="G161" t="str">
        <f>IF($L161="","",IF(INDEX(tblRegistros[Data],$L161)&gt;$D$4,"",IFERROR(INDEX(tblRegistros[Base],$L161),"")))</f>
        <v/>
      </c>
      <c r="H161" s="3" t="str">
        <f>IF($L161="","",IF(INDEX(tblRegistros[Data],$L161)&gt;$D$4,"",IFERROR(INDEX(tblRegistros[Taxa aplicada],$L161),"")))</f>
        <v/>
      </c>
      <c r="I161" s="3" t="str">
        <f>IF($L161="","",IF(INDEX(tblRegistros[Data],$L161)&gt;$D$4,"",IFERROR(IF(INDEX(tblRegistros[Status],$L161)="EM ABERTO","",INDEX(tblRegistros[Valor],$L161)),"")))</f>
        <v/>
      </c>
      <c r="J161" t="str">
        <f>IF($L161="","",IF(INDEX(tblRegistros[Data],$L161)&gt;$D$4,"",IFERROR(INDEX(tblRegistros[Status],$L161),"")))</f>
        <v/>
      </c>
      <c r="K161" t="str">
        <f>IF($L161="","",IF(INDEX(tblRegistros[Data],$L161)&gt;$D$4,"",IFERROR(INDEX(tblRegistros[Observação],$L161),"")))</f>
        <v/>
      </c>
      <c r="L161" s="16" t="str">
        <f>IFERROR(MATCH($B$3*100000+COUNTIFS(tblRegistros[ID],$B$3,tblRegistros[Data],"&lt;"&amp;$B$4)+ROWS($L$10:L161),tblRegistros[Chave do cartão],0),"")</f>
        <v/>
      </c>
    </row>
    <row r="162" spans="1:12">
      <c r="A162" s="2" t="str">
        <f>IF($L162="","",IF(INDEX(tblRegistros[Data],$L162)&gt;$D$4,"",IFERROR(INDEX(tblRegistros[Data],$L162),"")))</f>
        <v/>
      </c>
      <c r="B162" t="str">
        <f>IF($L162="","",IF(INDEX(tblRegistros[Data],$L162)&gt;$D$4,"",IFERROR(INDEX(tblRegistros[Projeto],$L162),"")))</f>
        <v/>
      </c>
      <c r="C162" t="str">
        <f>IF($L162="","",IF(INDEX(tblRegistros[Data],$L162)&gt;$D$4,"",IFERROR(INDEX(tblRegistros[Atividade],$L162),"")))</f>
        <v/>
      </c>
      <c r="D162" s="4" t="str">
        <f>IF($L162="","",IF(INDEX(tblRegistros[Data],$L162)&gt;$D$4,"",IFERROR(INDEX(tblRegistros[Início],$L162),"")))</f>
        <v/>
      </c>
      <c r="E162" s="4" t="str">
        <f>IF($L162="","",IF(INDEX(tblRegistros[Data],$L162)&gt;$D$4,"",IFERROR(IF(INDEX(tblRegistros[Status],$L162)="EM ABERTO","",INDEX(tblRegistros[Fim],$L162)),"")))</f>
        <v/>
      </c>
      <c r="F162" s="14" t="str">
        <f>IF($L162="","",IF(INDEX(tblRegistros[Data],$L162)&gt;$D$4,"",IFERROR(IF(INDEX(tblRegistros[Status],$L162)="EM ABERTO","",INDEX(tblRegistros[Horas],$L162)),"")))</f>
        <v/>
      </c>
      <c r="G162" t="str">
        <f>IF($L162="","",IF(INDEX(tblRegistros[Data],$L162)&gt;$D$4,"",IFERROR(INDEX(tblRegistros[Base],$L162),"")))</f>
        <v/>
      </c>
      <c r="H162" s="3" t="str">
        <f>IF($L162="","",IF(INDEX(tblRegistros[Data],$L162)&gt;$D$4,"",IFERROR(INDEX(tblRegistros[Taxa aplicada],$L162),"")))</f>
        <v/>
      </c>
      <c r="I162" s="3" t="str">
        <f>IF($L162="","",IF(INDEX(tblRegistros[Data],$L162)&gt;$D$4,"",IFERROR(IF(INDEX(tblRegistros[Status],$L162)="EM ABERTO","",INDEX(tblRegistros[Valor],$L162)),"")))</f>
        <v/>
      </c>
      <c r="J162" t="str">
        <f>IF($L162="","",IF(INDEX(tblRegistros[Data],$L162)&gt;$D$4,"",IFERROR(INDEX(tblRegistros[Status],$L162),"")))</f>
        <v/>
      </c>
      <c r="K162" t="str">
        <f>IF($L162="","",IF(INDEX(tblRegistros[Data],$L162)&gt;$D$4,"",IFERROR(INDEX(tblRegistros[Observação],$L162),"")))</f>
        <v/>
      </c>
      <c r="L162" s="16" t="str">
        <f>IFERROR(MATCH($B$3*100000+COUNTIFS(tblRegistros[ID],$B$3,tblRegistros[Data],"&lt;"&amp;$B$4)+ROWS($L$10:L162),tblRegistros[Chave do cartão],0),"")</f>
        <v/>
      </c>
    </row>
    <row r="163" spans="1:12">
      <c r="A163" s="2" t="str">
        <f>IF($L163="","",IF(INDEX(tblRegistros[Data],$L163)&gt;$D$4,"",IFERROR(INDEX(tblRegistros[Data],$L163),"")))</f>
        <v/>
      </c>
      <c r="B163" t="str">
        <f>IF($L163="","",IF(INDEX(tblRegistros[Data],$L163)&gt;$D$4,"",IFERROR(INDEX(tblRegistros[Projeto],$L163),"")))</f>
        <v/>
      </c>
      <c r="C163" t="str">
        <f>IF($L163="","",IF(INDEX(tblRegistros[Data],$L163)&gt;$D$4,"",IFERROR(INDEX(tblRegistros[Atividade],$L163),"")))</f>
        <v/>
      </c>
      <c r="D163" s="4" t="str">
        <f>IF($L163="","",IF(INDEX(tblRegistros[Data],$L163)&gt;$D$4,"",IFERROR(INDEX(tblRegistros[Início],$L163),"")))</f>
        <v/>
      </c>
      <c r="E163" s="4" t="str">
        <f>IF($L163="","",IF(INDEX(tblRegistros[Data],$L163)&gt;$D$4,"",IFERROR(IF(INDEX(tblRegistros[Status],$L163)="EM ABERTO","",INDEX(tblRegistros[Fim],$L163)),"")))</f>
        <v/>
      </c>
      <c r="F163" s="14" t="str">
        <f>IF($L163="","",IF(INDEX(tblRegistros[Data],$L163)&gt;$D$4,"",IFERROR(IF(INDEX(tblRegistros[Status],$L163)="EM ABERTO","",INDEX(tblRegistros[Horas],$L163)),"")))</f>
        <v/>
      </c>
      <c r="G163" t="str">
        <f>IF($L163="","",IF(INDEX(tblRegistros[Data],$L163)&gt;$D$4,"",IFERROR(INDEX(tblRegistros[Base],$L163),"")))</f>
        <v/>
      </c>
      <c r="H163" s="3" t="str">
        <f>IF($L163="","",IF(INDEX(tblRegistros[Data],$L163)&gt;$D$4,"",IFERROR(INDEX(tblRegistros[Taxa aplicada],$L163),"")))</f>
        <v/>
      </c>
      <c r="I163" s="3" t="str">
        <f>IF($L163="","",IF(INDEX(tblRegistros[Data],$L163)&gt;$D$4,"",IFERROR(IF(INDEX(tblRegistros[Status],$L163)="EM ABERTO","",INDEX(tblRegistros[Valor],$L163)),"")))</f>
        <v/>
      </c>
      <c r="J163" t="str">
        <f>IF($L163="","",IF(INDEX(tblRegistros[Data],$L163)&gt;$D$4,"",IFERROR(INDEX(tblRegistros[Status],$L163),"")))</f>
        <v/>
      </c>
      <c r="K163" t="str">
        <f>IF($L163="","",IF(INDEX(tblRegistros[Data],$L163)&gt;$D$4,"",IFERROR(INDEX(tblRegistros[Observação],$L163),"")))</f>
        <v/>
      </c>
      <c r="L163" s="16" t="str">
        <f>IFERROR(MATCH($B$3*100000+COUNTIFS(tblRegistros[ID],$B$3,tblRegistros[Data],"&lt;"&amp;$B$4)+ROWS($L$10:L163),tblRegistros[Chave do cartão],0),"")</f>
        <v/>
      </c>
    </row>
    <row r="164" spans="1:12">
      <c r="A164" s="2" t="str">
        <f>IF($L164="","",IF(INDEX(tblRegistros[Data],$L164)&gt;$D$4,"",IFERROR(INDEX(tblRegistros[Data],$L164),"")))</f>
        <v/>
      </c>
      <c r="B164" t="str">
        <f>IF($L164="","",IF(INDEX(tblRegistros[Data],$L164)&gt;$D$4,"",IFERROR(INDEX(tblRegistros[Projeto],$L164),"")))</f>
        <v/>
      </c>
      <c r="C164" t="str">
        <f>IF($L164="","",IF(INDEX(tblRegistros[Data],$L164)&gt;$D$4,"",IFERROR(INDEX(tblRegistros[Atividade],$L164),"")))</f>
        <v/>
      </c>
      <c r="D164" s="4" t="str">
        <f>IF($L164="","",IF(INDEX(tblRegistros[Data],$L164)&gt;$D$4,"",IFERROR(INDEX(tblRegistros[Início],$L164),"")))</f>
        <v/>
      </c>
      <c r="E164" s="4" t="str">
        <f>IF($L164="","",IF(INDEX(tblRegistros[Data],$L164)&gt;$D$4,"",IFERROR(IF(INDEX(tblRegistros[Status],$L164)="EM ABERTO","",INDEX(tblRegistros[Fim],$L164)),"")))</f>
        <v/>
      </c>
      <c r="F164" s="14" t="str">
        <f>IF($L164="","",IF(INDEX(tblRegistros[Data],$L164)&gt;$D$4,"",IFERROR(IF(INDEX(tblRegistros[Status],$L164)="EM ABERTO","",INDEX(tblRegistros[Horas],$L164)),"")))</f>
        <v/>
      </c>
      <c r="G164" t="str">
        <f>IF($L164="","",IF(INDEX(tblRegistros[Data],$L164)&gt;$D$4,"",IFERROR(INDEX(tblRegistros[Base],$L164),"")))</f>
        <v/>
      </c>
      <c r="H164" s="3" t="str">
        <f>IF($L164="","",IF(INDEX(tblRegistros[Data],$L164)&gt;$D$4,"",IFERROR(INDEX(tblRegistros[Taxa aplicada],$L164),"")))</f>
        <v/>
      </c>
      <c r="I164" s="3" t="str">
        <f>IF($L164="","",IF(INDEX(tblRegistros[Data],$L164)&gt;$D$4,"",IFERROR(IF(INDEX(tblRegistros[Status],$L164)="EM ABERTO","",INDEX(tblRegistros[Valor],$L164)),"")))</f>
        <v/>
      </c>
      <c r="J164" t="str">
        <f>IF($L164="","",IF(INDEX(tblRegistros[Data],$L164)&gt;$D$4,"",IFERROR(INDEX(tblRegistros[Status],$L164),"")))</f>
        <v/>
      </c>
      <c r="K164" t="str">
        <f>IF($L164="","",IF(INDEX(tblRegistros[Data],$L164)&gt;$D$4,"",IFERROR(INDEX(tblRegistros[Observação],$L164),"")))</f>
        <v/>
      </c>
      <c r="L164" s="16" t="str">
        <f>IFERROR(MATCH($B$3*100000+COUNTIFS(tblRegistros[ID],$B$3,tblRegistros[Data],"&lt;"&amp;$B$4)+ROWS($L$10:L164),tblRegistros[Chave do cartão],0),"")</f>
        <v/>
      </c>
    </row>
    <row r="165" spans="1:12">
      <c r="A165" s="2" t="str">
        <f>IF($L165="","",IF(INDEX(tblRegistros[Data],$L165)&gt;$D$4,"",IFERROR(INDEX(tblRegistros[Data],$L165),"")))</f>
        <v/>
      </c>
      <c r="B165" t="str">
        <f>IF($L165="","",IF(INDEX(tblRegistros[Data],$L165)&gt;$D$4,"",IFERROR(INDEX(tblRegistros[Projeto],$L165),"")))</f>
        <v/>
      </c>
      <c r="C165" t="str">
        <f>IF($L165="","",IF(INDEX(tblRegistros[Data],$L165)&gt;$D$4,"",IFERROR(INDEX(tblRegistros[Atividade],$L165),"")))</f>
        <v/>
      </c>
      <c r="D165" s="4" t="str">
        <f>IF($L165="","",IF(INDEX(tblRegistros[Data],$L165)&gt;$D$4,"",IFERROR(INDEX(tblRegistros[Início],$L165),"")))</f>
        <v/>
      </c>
      <c r="E165" s="4" t="str">
        <f>IF($L165="","",IF(INDEX(tblRegistros[Data],$L165)&gt;$D$4,"",IFERROR(IF(INDEX(tblRegistros[Status],$L165)="EM ABERTO","",INDEX(tblRegistros[Fim],$L165)),"")))</f>
        <v/>
      </c>
      <c r="F165" s="14" t="str">
        <f>IF($L165="","",IF(INDEX(tblRegistros[Data],$L165)&gt;$D$4,"",IFERROR(IF(INDEX(tblRegistros[Status],$L165)="EM ABERTO","",INDEX(tblRegistros[Horas],$L165)),"")))</f>
        <v/>
      </c>
      <c r="G165" t="str">
        <f>IF($L165="","",IF(INDEX(tblRegistros[Data],$L165)&gt;$D$4,"",IFERROR(INDEX(tblRegistros[Base],$L165),"")))</f>
        <v/>
      </c>
      <c r="H165" s="3" t="str">
        <f>IF($L165="","",IF(INDEX(tblRegistros[Data],$L165)&gt;$D$4,"",IFERROR(INDEX(tblRegistros[Taxa aplicada],$L165),"")))</f>
        <v/>
      </c>
      <c r="I165" s="3" t="str">
        <f>IF($L165="","",IF(INDEX(tblRegistros[Data],$L165)&gt;$D$4,"",IFERROR(IF(INDEX(tblRegistros[Status],$L165)="EM ABERTO","",INDEX(tblRegistros[Valor],$L165)),"")))</f>
        <v/>
      </c>
      <c r="J165" t="str">
        <f>IF($L165="","",IF(INDEX(tblRegistros[Data],$L165)&gt;$D$4,"",IFERROR(INDEX(tblRegistros[Status],$L165),"")))</f>
        <v/>
      </c>
      <c r="K165" t="str">
        <f>IF($L165="","",IF(INDEX(tblRegistros[Data],$L165)&gt;$D$4,"",IFERROR(INDEX(tblRegistros[Observação],$L165),"")))</f>
        <v/>
      </c>
      <c r="L165" s="16" t="str">
        <f>IFERROR(MATCH($B$3*100000+COUNTIFS(tblRegistros[ID],$B$3,tblRegistros[Data],"&lt;"&amp;$B$4)+ROWS($L$10:L165),tblRegistros[Chave do cartão],0),"")</f>
        <v/>
      </c>
    </row>
    <row r="166" spans="1:12">
      <c r="A166" s="2" t="str">
        <f>IF($L166="","",IF(INDEX(tblRegistros[Data],$L166)&gt;$D$4,"",IFERROR(INDEX(tblRegistros[Data],$L166),"")))</f>
        <v/>
      </c>
      <c r="B166" t="str">
        <f>IF($L166="","",IF(INDEX(tblRegistros[Data],$L166)&gt;$D$4,"",IFERROR(INDEX(tblRegistros[Projeto],$L166),"")))</f>
        <v/>
      </c>
      <c r="C166" t="str">
        <f>IF($L166="","",IF(INDEX(tblRegistros[Data],$L166)&gt;$D$4,"",IFERROR(INDEX(tblRegistros[Atividade],$L166),"")))</f>
        <v/>
      </c>
      <c r="D166" s="4" t="str">
        <f>IF($L166="","",IF(INDEX(tblRegistros[Data],$L166)&gt;$D$4,"",IFERROR(INDEX(tblRegistros[Início],$L166),"")))</f>
        <v/>
      </c>
      <c r="E166" s="4" t="str">
        <f>IF($L166="","",IF(INDEX(tblRegistros[Data],$L166)&gt;$D$4,"",IFERROR(IF(INDEX(tblRegistros[Status],$L166)="EM ABERTO","",INDEX(tblRegistros[Fim],$L166)),"")))</f>
        <v/>
      </c>
      <c r="F166" s="14" t="str">
        <f>IF($L166="","",IF(INDEX(tblRegistros[Data],$L166)&gt;$D$4,"",IFERROR(IF(INDEX(tblRegistros[Status],$L166)="EM ABERTO","",INDEX(tblRegistros[Horas],$L166)),"")))</f>
        <v/>
      </c>
      <c r="G166" t="str">
        <f>IF($L166="","",IF(INDEX(tblRegistros[Data],$L166)&gt;$D$4,"",IFERROR(INDEX(tblRegistros[Base],$L166),"")))</f>
        <v/>
      </c>
      <c r="H166" s="3" t="str">
        <f>IF($L166="","",IF(INDEX(tblRegistros[Data],$L166)&gt;$D$4,"",IFERROR(INDEX(tblRegistros[Taxa aplicada],$L166),"")))</f>
        <v/>
      </c>
      <c r="I166" s="3" t="str">
        <f>IF($L166="","",IF(INDEX(tblRegistros[Data],$L166)&gt;$D$4,"",IFERROR(IF(INDEX(tblRegistros[Status],$L166)="EM ABERTO","",INDEX(tblRegistros[Valor],$L166)),"")))</f>
        <v/>
      </c>
      <c r="J166" t="str">
        <f>IF($L166="","",IF(INDEX(tblRegistros[Data],$L166)&gt;$D$4,"",IFERROR(INDEX(tblRegistros[Status],$L166),"")))</f>
        <v/>
      </c>
      <c r="K166" t="str">
        <f>IF($L166="","",IF(INDEX(tblRegistros[Data],$L166)&gt;$D$4,"",IFERROR(INDEX(tblRegistros[Observação],$L166),"")))</f>
        <v/>
      </c>
      <c r="L166" s="16" t="str">
        <f>IFERROR(MATCH($B$3*100000+COUNTIFS(tblRegistros[ID],$B$3,tblRegistros[Data],"&lt;"&amp;$B$4)+ROWS($L$10:L166),tblRegistros[Chave do cartão],0),"")</f>
        <v/>
      </c>
    </row>
    <row r="167" spans="1:12">
      <c r="A167" s="2" t="str">
        <f>IF($L167="","",IF(INDEX(tblRegistros[Data],$L167)&gt;$D$4,"",IFERROR(INDEX(tblRegistros[Data],$L167),"")))</f>
        <v/>
      </c>
      <c r="B167" t="str">
        <f>IF($L167="","",IF(INDEX(tblRegistros[Data],$L167)&gt;$D$4,"",IFERROR(INDEX(tblRegistros[Projeto],$L167),"")))</f>
        <v/>
      </c>
      <c r="C167" t="str">
        <f>IF($L167="","",IF(INDEX(tblRegistros[Data],$L167)&gt;$D$4,"",IFERROR(INDEX(tblRegistros[Atividade],$L167),"")))</f>
        <v/>
      </c>
      <c r="D167" s="4" t="str">
        <f>IF($L167="","",IF(INDEX(tblRegistros[Data],$L167)&gt;$D$4,"",IFERROR(INDEX(tblRegistros[Início],$L167),"")))</f>
        <v/>
      </c>
      <c r="E167" s="4" t="str">
        <f>IF($L167="","",IF(INDEX(tblRegistros[Data],$L167)&gt;$D$4,"",IFERROR(IF(INDEX(tblRegistros[Status],$L167)="EM ABERTO","",INDEX(tblRegistros[Fim],$L167)),"")))</f>
        <v/>
      </c>
      <c r="F167" s="14" t="str">
        <f>IF($L167="","",IF(INDEX(tblRegistros[Data],$L167)&gt;$D$4,"",IFERROR(IF(INDEX(tblRegistros[Status],$L167)="EM ABERTO","",INDEX(tblRegistros[Horas],$L167)),"")))</f>
        <v/>
      </c>
      <c r="G167" t="str">
        <f>IF($L167="","",IF(INDEX(tblRegistros[Data],$L167)&gt;$D$4,"",IFERROR(INDEX(tblRegistros[Base],$L167),"")))</f>
        <v/>
      </c>
      <c r="H167" s="3" t="str">
        <f>IF($L167="","",IF(INDEX(tblRegistros[Data],$L167)&gt;$D$4,"",IFERROR(INDEX(tblRegistros[Taxa aplicada],$L167),"")))</f>
        <v/>
      </c>
      <c r="I167" s="3" t="str">
        <f>IF($L167="","",IF(INDEX(tblRegistros[Data],$L167)&gt;$D$4,"",IFERROR(IF(INDEX(tblRegistros[Status],$L167)="EM ABERTO","",INDEX(tblRegistros[Valor],$L167)),"")))</f>
        <v/>
      </c>
      <c r="J167" t="str">
        <f>IF($L167="","",IF(INDEX(tblRegistros[Data],$L167)&gt;$D$4,"",IFERROR(INDEX(tblRegistros[Status],$L167),"")))</f>
        <v/>
      </c>
      <c r="K167" t="str">
        <f>IF($L167="","",IF(INDEX(tblRegistros[Data],$L167)&gt;$D$4,"",IFERROR(INDEX(tblRegistros[Observação],$L167),"")))</f>
        <v/>
      </c>
      <c r="L167" s="16" t="str">
        <f>IFERROR(MATCH($B$3*100000+COUNTIFS(tblRegistros[ID],$B$3,tblRegistros[Data],"&lt;"&amp;$B$4)+ROWS($L$10:L167),tblRegistros[Chave do cartão],0),"")</f>
        <v/>
      </c>
    </row>
    <row r="168" spans="1:12">
      <c r="A168" s="2" t="str">
        <f>IF($L168="","",IF(INDEX(tblRegistros[Data],$L168)&gt;$D$4,"",IFERROR(INDEX(tblRegistros[Data],$L168),"")))</f>
        <v/>
      </c>
      <c r="B168" t="str">
        <f>IF($L168="","",IF(INDEX(tblRegistros[Data],$L168)&gt;$D$4,"",IFERROR(INDEX(tblRegistros[Projeto],$L168),"")))</f>
        <v/>
      </c>
      <c r="C168" t="str">
        <f>IF($L168="","",IF(INDEX(tblRegistros[Data],$L168)&gt;$D$4,"",IFERROR(INDEX(tblRegistros[Atividade],$L168),"")))</f>
        <v/>
      </c>
      <c r="D168" s="4" t="str">
        <f>IF($L168="","",IF(INDEX(tblRegistros[Data],$L168)&gt;$D$4,"",IFERROR(INDEX(tblRegistros[Início],$L168),"")))</f>
        <v/>
      </c>
      <c r="E168" s="4" t="str">
        <f>IF($L168="","",IF(INDEX(tblRegistros[Data],$L168)&gt;$D$4,"",IFERROR(IF(INDEX(tblRegistros[Status],$L168)="EM ABERTO","",INDEX(tblRegistros[Fim],$L168)),"")))</f>
        <v/>
      </c>
      <c r="F168" s="14" t="str">
        <f>IF($L168="","",IF(INDEX(tblRegistros[Data],$L168)&gt;$D$4,"",IFERROR(IF(INDEX(tblRegistros[Status],$L168)="EM ABERTO","",INDEX(tblRegistros[Horas],$L168)),"")))</f>
        <v/>
      </c>
      <c r="G168" t="str">
        <f>IF($L168="","",IF(INDEX(tblRegistros[Data],$L168)&gt;$D$4,"",IFERROR(INDEX(tblRegistros[Base],$L168),"")))</f>
        <v/>
      </c>
      <c r="H168" s="3" t="str">
        <f>IF($L168="","",IF(INDEX(tblRegistros[Data],$L168)&gt;$D$4,"",IFERROR(INDEX(tblRegistros[Taxa aplicada],$L168),"")))</f>
        <v/>
      </c>
      <c r="I168" s="3" t="str">
        <f>IF($L168="","",IF(INDEX(tblRegistros[Data],$L168)&gt;$D$4,"",IFERROR(IF(INDEX(tblRegistros[Status],$L168)="EM ABERTO","",INDEX(tblRegistros[Valor],$L168)),"")))</f>
        <v/>
      </c>
      <c r="J168" t="str">
        <f>IF($L168="","",IF(INDEX(tblRegistros[Data],$L168)&gt;$D$4,"",IFERROR(INDEX(tblRegistros[Status],$L168),"")))</f>
        <v/>
      </c>
      <c r="K168" t="str">
        <f>IF($L168="","",IF(INDEX(tblRegistros[Data],$L168)&gt;$D$4,"",IFERROR(INDEX(tblRegistros[Observação],$L168),"")))</f>
        <v/>
      </c>
      <c r="L168" s="16" t="str">
        <f>IFERROR(MATCH($B$3*100000+COUNTIFS(tblRegistros[ID],$B$3,tblRegistros[Data],"&lt;"&amp;$B$4)+ROWS($L$10:L168),tblRegistros[Chave do cartão],0),"")</f>
        <v/>
      </c>
    </row>
    <row r="169" spans="1:12">
      <c r="A169" s="2" t="str">
        <f>IF($L169="","",IF(INDEX(tblRegistros[Data],$L169)&gt;$D$4,"",IFERROR(INDEX(tblRegistros[Data],$L169),"")))</f>
        <v/>
      </c>
      <c r="B169" t="str">
        <f>IF($L169="","",IF(INDEX(tblRegistros[Data],$L169)&gt;$D$4,"",IFERROR(INDEX(tblRegistros[Projeto],$L169),"")))</f>
        <v/>
      </c>
      <c r="C169" t="str">
        <f>IF($L169="","",IF(INDEX(tblRegistros[Data],$L169)&gt;$D$4,"",IFERROR(INDEX(tblRegistros[Atividade],$L169),"")))</f>
        <v/>
      </c>
      <c r="D169" s="4" t="str">
        <f>IF($L169="","",IF(INDEX(tblRegistros[Data],$L169)&gt;$D$4,"",IFERROR(INDEX(tblRegistros[Início],$L169),"")))</f>
        <v/>
      </c>
      <c r="E169" s="4" t="str">
        <f>IF($L169="","",IF(INDEX(tblRegistros[Data],$L169)&gt;$D$4,"",IFERROR(IF(INDEX(tblRegistros[Status],$L169)="EM ABERTO","",INDEX(tblRegistros[Fim],$L169)),"")))</f>
        <v/>
      </c>
      <c r="F169" s="14" t="str">
        <f>IF($L169="","",IF(INDEX(tblRegistros[Data],$L169)&gt;$D$4,"",IFERROR(IF(INDEX(tblRegistros[Status],$L169)="EM ABERTO","",INDEX(tblRegistros[Horas],$L169)),"")))</f>
        <v/>
      </c>
      <c r="G169" t="str">
        <f>IF($L169="","",IF(INDEX(tblRegistros[Data],$L169)&gt;$D$4,"",IFERROR(INDEX(tblRegistros[Base],$L169),"")))</f>
        <v/>
      </c>
      <c r="H169" s="3" t="str">
        <f>IF($L169="","",IF(INDEX(tblRegistros[Data],$L169)&gt;$D$4,"",IFERROR(INDEX(tblRegistros[Taxa aplicada],$L169),"")))</f>
        <v/>
      </c>
      <c r="I169" s="3" t="str">
        <f>IF($L169="","",IF(INDEX(tblRegistros[Data],$L169)&gt;$D$4,"",IFERROR(IF(INDEX(tblRegistros[Status],$L169)="EM ABERTO","",INDEX(tblRegistros[Valor],$L169)),"")))</f>
        <v/>
      </c>
      <c r="J169" t="str">
        <f>IF($L169="","",IF(INDEX(tblRegistros[Data],$L169)&gt;$D$4,"",IFERROR(INDEX(tblRegistros[Status],$L169),"")))</f>
        <v/>
      </c>
      <c r="K169" t="str">
        <f>IF($L169="","",IF(INDEX(tblRegistros[Data],$L169)&gt;$D$4,"",IFERROR(INDEX(tblRegistros[Observação],$L169),"")))</f>
        <v/>
      </c>
      <c r="L169" s="16" t="str">
        <f>IFERROR(MATCH($B$3*100000+COUNTIFS(tblRegistros[ID],$B$3,tblRegistros[Data],"&lt;"&amp;$B$4)+ROWS($L$10:L169),tblRegistros[Chave do cartão],0),"")</f>
        <v/>
      </c>
    </row>
    <row r="170" spans="1:12">
      <c r="A170" s="2" t="str">
        <f>IF($L170="","",IF(INDEX(tblRegistros[Data],$L170)&gt;$D$4,"",IFERROR(INDEX(tblRegistros[Data],$L170),"")))</f>
        <v/>
      </c>
      <c r="B170" t="str">
        <f>IF($L170="","",IF(INDEX(tblRegistros[Data],$L170)&gt;$D$4,"",IFERROR(INDEX(tblRegistros[Projeto],$L170),"")))</f>
        <v/>
      </c>
      <c r="C170" t="str">
        <f>IF($L170="","",IF(INDEX(tblRegistros[Data],$L170)&gt;$D$4,"",IFERROR(INDEX(tblRegistros[Atividade],$L170),"")))</f>
        <v/>
      </c>
      <c r="D170" s="4" t="str">
        <f>IF($L170="","",IF(INDEX(tblRegistros[Data],$L170)&gt;$D$4,"",IFERROR(INDEX(tblRegistros[Início],$L170),"")))</f>
        <v/>
      </c>
      <c r="E170" s="4" t="str">
        <f>IF($L170="","",IF(INDEX(tblRegistros[Data],$L170)&gt;$D$4,"",IFERROR(IF(INDEX(tblRegistros[Status],$L170)="EM ABERTO","",INDEX(tblRegistros[Fim],$L170)),"")))</f>
        <v/>
      </c>
      <c r="F170" s="14" t="str">
        <f>IF($L170="","",IF(INDEX(tblRegistros[Data],$L170)&gt;$D$4,"",IFERROR(IF(INDEX(tblRegistros[Status],$L170)="EM ABERTO","",INDEX(tblRegistros[Horas],$L170)),"")))</f>
        <v/>
      </c>
      <c r="G170" t="str">
        <f>IF($L170="","",IF(INDEX(tblRegistros[Data],$L170)&gt;$D$4,"",IFERROR(INDEX(tblRegistros[Base],$L170),"")))</f>
        <v/>
      </c>
      <c r="H170" s="3" t="str">
        <f>IF($L170="","",IF(INDEX(tblRegistros[Data],$L170)&gt;$D$4,"",IFERROR(INDEX(tblRegistros[Taxa aplicada],$L170),"")))</f>
        <v/>
      </c>
      <c r="I170" s="3" t="str">
        <f>IF($L170="","",IF(INDEX(tblRegistros[Data],$L170)&gt;$D$4,"",IFERROR(IF(INDEX(tblRegistros[Status],$L170)="EM ABERTO","",INDEX(tblRegistros[Valor],$L170)),"")))</f>
        <v/>
      </c>
      <c r="J170" t="str">
        <f>IF($L170="","",IF(INDEX(tblRegistros[Data],$L170)&gt;$D$4,"",IFERROR(INDEX(tblRegistros[Status],$L170),"")))</f>
        <v/>
      </c>
      <c r="K170" t="str">
        <f>IF($L170="","",IF(INDEX(tblRegistros[Data],$L170)&gt;$D$4,"",IFERROR(INDEX(tblRegistros[Observação],$L170),"")))</f>
        <v/>
      </c>
      <c r="L170" s="16" t="str">
        <f>IFERROR(MATCH($B$3*100000+COUNTIFS(tblRegistros[ID],$B$3,tblRegistros[Data],"&lt;"&amp;$B$4)+ROWS($L$10:L170),tblRegistros[Chave do cartão],0),"")</f>
        <v/>
      </c>
    </row>
    <row r="171" spans="1:12">
      <c r="A171" s="2" t="str">
        <f>IF($L171="","",IF(INDEX(tblRegistros[Data],$L171)&gt;$D$4,"",IFERROR(INDEX(tblRegistros[Data],$L171),"")))</f>
        <v/>
      </c>
      <c r="B171" t="str">
        <f>IF($L171="","",IF(INDEX(tblRegistros[Data],$L171)&gt;$D$4,"",IFERROR(INDEX(tblRegistros[Projeto],$L171),"")))</f>
        <v/>
      </c>
      <c r="C171" t="str">
        <f>IF($L171="","",IF(INDEX(tblRegistros[Data],$L171)&gt;$D$4,"",IFERROR(INDEX(tblRegistros[Atividade],$L171),"")))</f>
        <v/>
      </c>
      <c r="D171" s="4" t="str">
        <f>IF($L171="","",IF(INDEX(tblRegistros[Data],$L171)&gt;$D$4,"",IFERROR(INDEX(tblRegistros[Início],$L171),"")))</f>
        <v/>
      </c>
      <c r="E171" s="4" t="str">
        <f>IF($L171="","",IF(INDEX(tblRegistros[Data],$L171)&gt;$D$4,"",IFERROR(IF(INDEX(tblRegistros[Status],$L171)="EM ABERTO","",INDEX(tblRegistros[Fim],$L171)),"")))</f>
        <v/>
      </c>
      <c r="F171" s="14" t="str">
        <f>IF($L171="","",IF(INDEX(tblRegistros[Data],$L171)&gt;$D$4,"",IFERROR(IF(INDEX(tblRegistros[Status],$L171)="EM ABERTO","",INDEX(tblRegistros[Horas],$L171)),"")))</f>
        <v/>
      </c>
      <c r="G171" t="str">
        <f>IF($L171="","",IF(INDEX(tblRegistros[Data],$L171)&gt;$D$4,"",IFERROR(INDEX(tblRegistros[Base],$L171),"")))</f>
        <v/>
      </c>
      <c r="H171" s="3" t="str">
        <f>IF($L171="","",IF(INDEX(tblRegistros[Data],$L171)&gt;$D$4,"",IFERROR(INDEX(tblRegistros[Taxa aplicada],$L171),"")))</f>
        <v/>
      </c>
      <c r="I171" s="3" t="str">
        <f>IF($L171="","",IF(INDEX(tblRegistros[Data],$L171)&gt;$D$4,"",IFERROR(IF(INDEX(tblRegistros[Status],$L171)="EM ABERTO","",INDEX(tblRegistros[Valor],$L171)),"")))</f>
        <v/>
      </c>
      <c r="J171" t="str">
        <f>IF($L171="","",IF(INDEX(tblRegistros[Data],$L171)&gt;$D$4,"",IFERROR(INDEX(tblRegistros[Status],$L171),"")))</f>
        <v/>
      </c>
      <c r="K171" t="str">
        <f>IF($L171="","",IF(INDEX(tblRegistros[Data],$L171)&gt;$D$4,"",IFERROR(INDEX(tblRegistros[Observação],$L171),"")))</f>
        <v/>
      </c>
      <c r="L171" s="16" t="str">
        <f>IFERROR(MATCH($B$3*100000+COUNTIFS(tblRegistros[ID],$B$3,tblRegistros[Data],"&lt;"&amp;$B$4)+ROWS($L$10:L171),tblRegistros[Chave do cartão],0),"")</f>
        <v/>
      </c>
    </row>
    <row r="172" spans="1:12">
      <c r="A172" s="2" t="str">
        <f>IF($L172="","",IF(INDEX(tblRegistros[Data],$L172)&gt;$D$4,"",IFERROR(INDEX(tblRegistros[Data],$L172),"")))</f>
        <v/>
      </c>
      <c r="B172" t="str">
        <f>IF($L172="","",IF(INDEX(tblRegistros[Data],$L172)&gt;$D$4,"",IFERROR(INDEX(tblRegistros[Projeto],$L172),"")))</f>
        <v/>
      </c>
      <c r="C172" t="str">
        <f>IF($L172="","",IF(INDEX(tblRegistros[Data],$L172)&gt;$D$4,"",IFERROR(INDEX(tblRegistros[Atividade],$L172),"")))</f>
        <v/>
      </c>
      <c r="D172" s="4" t="str">
        <f>IF($L172="","",IF(INDEX(tblRegistros[Data],$L172)&gt;$D$4,"",IFERROR(INDEX(tblRegistros[Início],$L172),"")))</f>
        <v/>
      </c>
      <c r="E172" s="4" t="str">
        <f>IF($L172="","",IF(INDEX(tblRegistros[Data],$L172)&gt;$D$4,"",IFERROR(IF(INDEX(tblRegistros[Status],$L172)="EM ABERTO","",INDEX(tblRegistros[Fim],$L172)),"")))</f>
        <v/>
      </c>
      <c r="F172" s="14" t="str">
        <f>IF($L172="","",IF(INDEX(tblRegistros[Data],$L172)&gt;$D$4,"",IFERROR(IF(INDEX(tblRegistros[Status],$L172)="EM ABERTO","",INDEX(tblRegistros[Horas],$L172)),"")))</f>
        <v/>
      </c>
      <c r="G172" t="str">
        <f>IF($L172="","",IF(INDEX(tblRegistros[Data],$L172)&gt;$D$4,"",IFERROR(INDEX(tblRegistros[Base],$L172),"")))</f>
        <v/>
      </c>
      <c r="H172" s="3" t="str">
        <f>IF($L172="","",IF(INDEX(tblRegistros[Data],$L172)&gt;$D$4,"",IFERROR(INDEX(tblRegistros[Taxa aplicada],$L172),"")))</f>
        <v/>
      </c>
      <c r="I172" s="3" t="str">
        <f>IF($L172="","",IF(INDEX(tblRegistros[Data],$L172)&gt;$D$4,"",IFERROR(IF(INDEX(tblRegistros[Status],$L172)="EM ABERTO","",INDEX(tblRegistros[Valor],$L172)),"")))</f>
        <v/>
      </c>
      <c r="J172" t="str">
        <f>IF($L172="","",IF(INDEX(tblRegistros[Data],$L172)&gt;$D$4,"",IFERROR(INDEX(tblRegistros[Status],$L172),"")))</f>
        <v/>
      </c>
      <c r="K172" t="str">
        <f>IF($L172="","",IF(INDEX(tblRegistros[Data],$L172)&gt;$D$4,"",IFERROR(INDEX(tblRegistros[Observação],$L172),"")))</f>
        <v/>
      </c>
      <c r="L172" s="16" t="str">
        <f>IFERROR(MATCH($B$3*100000+COUNTIFS(tblRegistros[ID],$B$3,tblRegistros[Data],"&lt;"&amp;$B$4)+ROWS($L$10:L172),tblRegistros[Chave do cartão],0),"")</f>
        <v/>
      </c>
    </row>
    <row r="173" spans="1:12">
      <c r="A173" s="2" t="str">
        <f>IF($L173="","",IF(INDEX(tblRegistros[Data],$L173)&gt;$D$4,"",IFERROR(INDEX(tblRegistros[Data],$L173),"")))</f>
        <v/>
      </c>
      <c r="B173" t="str">
        <f>IF($L173="","",IF(INDEX(tblRegistros[Data],$L173)&gt;$D$4,"",IFERROR(INDEX(tblRegistros[Projeto],$L173),"")))</f>
        <v/>
      </c>
      <c r="C173" t="str">
        <f>IF($L173="","",IF(INDEX(tblRegistros[Data],$L173)&gt;$D$4,"",IFERROR(INDEX(tblRegistros[Atividade],$L173),"")))</f>
        <v/>
      </c>
      <c r="D173" s="4" t="str">
        <f>IF($L173="","",IF(INDEX(tblRegistros[Data],$L173)&gt;$D$4,"",IFERROR(INDEX(tblRegistros[Início],$L173),"")))</f>
        <v/>
      </c>
      <c r="E173" s="4" t="str">
        <f>IF($L173="","",IF(INDEX(tblRegistros[Data],$L173)&gt;$D$4,"",IFERROR(IF(INDEX(tblRegistros[Status],$L173)="EM ABERTO","",INDEX(tblRegistros[Fim],$L173)),"")))</f>
        <v/>
      </c>
      <c r="F173" s="14" t="str">
        <f>IF($L173="","",IF(INDEX(tblRegistros[Data],$L173)&gt;$D$4,"",IFERROR(IF(INDEX(tblRegistros[Status],$L173)="EM ABERTO","",INDEX(tblRegistros[Horas],$L173)),"")))</f>
        <v/>
      </c>
      <c r="G173" t="str">
        <f>IF($L173="","",IF(INDEX(tblRegistros[Data],$L173)&gt;$D$4,"",IFERROR(INDEX(tblRegistros[Base],$L173),"")))</f>
        <v/>
      </c>
      <c r="H173" s="3" t="str">
        <f>IF($L173="","",IF(INDEX(tblRegistros[Data],$L173)&gt;$D$4,"",IFERROR(INDEX(tblRegistros[Taxa aplicada],$L173),"")))</f>
        <v/>
      </c>
      <c r="I173" s="3" t="str">
        <f>IF($L173="","",IF(INDEX(tblRegistros[Data],$L173)&gt;$D$4,"",IFERROR(IF(INDEX(tblRegistros[Status],$L173)="EM ABERTO","",INDEX(tblRegistros[Valor],$L173)),"")))</f>
        <v/>
      </c>
      <c r="J173" t="str">
        <f>IF($L173="","",IF(INDEX(tblRegistros[Data],$L173)&gt;$D$4,"",IFERROR(INDEX(tblRegistros[Status],$L173),"")))</f>
        <v/>
      </c>
      <c r="K173" t="str">
        <f>IF($L173="","",IF(INDEX(tblRegistros[Data],$L173)&gt;$D$4,"",IFERROR(INDEX(tblRegistros[Observação],$L173),"")))</f>
        <v/>
      </c>
      <c r="L173" s="16" t="str">
        <f>IFERROR(MATCH($B$3*100000+COUNTIFS(tblRegistros[ID],$B$3,tblRegistros[Data],"&lt;"&amp;$B$4)+ROWS($L$10:L173),tblRegistros[Chave do cartão],0),"")</f>
        <v/>
      </c>
    </row>
    <row r="174" spans="1:12">
      <c r="A174" s="2" t="str">
        <f>IF($L174="","",IF(INDEX(tblRegistros[Data],$L174)&gt;$D$4,"",IFERROR(INDEX(tblRegistros[Data],$L174),"")))</f>
        <v/>
      </c>
      <c r="B174" t="str">
        <f>IF($L174="","",IF(INDEX(tblRegistros[Data],$L174)&gt;$D$4,"",IFERROR(INDEX(tblRegistros[Projeto],$L174),"")))</f>
        <v/>
      </c>
      <c r="C174" t="str">
        <f>IF($L174="","",IF(INDEX(tblRegistros[Data],$L174)&gt;$D$4,"",IFERROR(INDEX(tblRegistros[Atividade],$L174),"")))</f>
        <v/>
      </c>
      <c r="D174" s="4" t="str">
        <f>IF($L174="","",IF(INDEX(tblRegistros[Data],$L174)&gt;$D$4,"",IFERROR(INDEX(tblRegistros[Início],$L174),"")))</f>
        <v/>
      </c>
      <c r="E174" s="4" t="str">
        <f>IF($L174="","",IF(INDEX(tblRegistros[Data],$L174)&gt;$D$4,"",IFERROR(IF(INDEX(tblRegistros[Status],$L174)="EM ABERTO","",INDEX(tblRegistros[Fim],$L174)),"")))</f>
        <v/>
      </c>
      <c r="F174" s="14" t="str">
        <f>IF($L174="","",IF(INDEX(tblRegistros[Data],$L174)&gt;$D$4,"",IFERROR(IF(INDEX(tblRegistros[Status],$L174)="EM ABERTO","",INDEX(tblRegistros[Horas],$L174)),"")))</f>
        <v/>
      </c>
      <c r="G174" t="str">
        <f>IF($L174="","",IF(INDEX(tblRegistros[Data],$L174)&gt;$D$4,"",IFERROR(INDEX(tblRegistros[Base],$L174),"")))</f>
        <v/>
      </c>
      <c r="H174" s="3" t="str">
        <f>IF($L174="","",IF(INDEX(tblRegistros[Data],$L174)&gt;$D$4,"",IFERROR(INDEX(tblRegistros[Taxa aplicada],$L174),"")))</f>
        <v/>
      </c>
      <c r="I174" s="3" t="str">
        <f>IF($L174="","",IF(INDEX(tblRegistros[Data],$L174)&gt;$D$4,"",IFERROR(IF(INDEX(tblRegistros[Status],$L174)="EM ABERTO","",INDEX(tblRegistros[Valor],$L174)),"")))</f>
        <v/>
      </c>
      <c r="J174" t="str">
        <f>IF($L174="","",IF(INDEX(tblRegistros[Data],$L174)&gt;$D$4,"",IFERROR(INDEX(tblRegistros[Status],$L174),"")))</f>
        <v/>
      </c>
      <c r="K174" t="str">
        <f>IF($L174="","",IF(INDEX(tblRegistros[Data],$L174)&gt;$D$4,"",IFERROR(INDEX(tblRegistros[Observação],$L174),"")))</f>
        <v/>
      </c>
      <c r="L174" s="16" t="str">
        <f>IFERROR(MATCH($B$3*100000+COUNTIFS(tblRegistros[ID],$B$3,tblRegistros[Data],"&lt;"&amp;$B$4)+ROWS($L$10:L174),tblRegistros[Chave do cartão],0),"")</f>
        <v/>
      </c>
    </row>
    <row r="175" spans="1:12">
      <c r="A175" s="2" t="str">
        <f>IF($L175="","",IF(INDEX(tblRegistros[Data],$L175)&gt;$D$4,"",IFERROR(INDEX(tblRegistros[Data],$L175),"")))</f>
        <v/>
      </c>
      <c r="B175" t="str">
        <f>IF($L175="","",IF(INDEX(tblRegistros[Data],$L175)&gt;$D$4,"",IFERROR(INDEX(tblRegistros[Projeto],$L175),"")))</f>
        <v/>
      </c>
      <c r="C175" t="str">
        <f>IF($L175="","",IF(INDEX(tblRegistros[Data],$L175)&gt;$D$4,"",IFERROR(INDEX(tblRegistros[Atividade],$L175),"")))</f>
        <v/>
      </c>
      <c r="D175" s="4" t="str">
        <f>IF($L175="","",IF(INDEX(tblRegistros[Data],$L175)&gt;$D$4,"",IFERROR(INDEX(tblRegistros[Início],$L175),"")))</f>
        <v/>
      </c>
      <c r="E175" s="4" t="str">
        <f>IF($L175="","",IF(INDEX(tblRegistros[Data],$L175)&gt;$D$4,"",IFERROR(IF(INDEX(tblRegistros[Status],$L175)="EM ABERTO","",INDEX(tblRegistros[Fim],$L175)),"")))</f>
        <v/>
      </c>
      <c r="F175" s="14" t="str">
        <f>IF($L175="","",IF(INDEX(tblRegistros[Data],$L175)&gt;$D$4,"",IFERROR(IF(INDEX(tblRegistros[Status],$L175)="EM ABERTO","",INDEX(tblRegistros[Horas],$L175)),"")))</f>
        <v/>
      </c>
      <c r="G175" t="str">
        <f>IF($L175="","",IF(INDEX(tblRegistros[Data],$L175)&gt;$D$4,"",IFERROR(INDEX(tblRegistros[Base],$L175),"")))</f>
        <v/>
      </c>
      <c r="H175" s="3" t="str">
        <f>IF($L175="","",IF(INDEX(tblRegistros[Data],$L175)&gt;$D$4,"",IFERROR(INDEX(tblRegistros[Taxa aplicada],$L175),"")))</f>
        <v/>
      </c>
      <c r="I175" s="3" t="str">
        <f>IF($L175="","",IF(INDEX(tblRegistros[Data],$L175)&gt;$D$4,"",IFERROR(IF(INDEX(tblRegistros[Status],$L175)="EM ABERTO","",INDEX(tblRegistros[Valor],$L175)),"")))</f>
        <v/>
      </c>
      <c r="J175" t="str">
        <f>IF($L175="","",IF(INDEX(tblRegistros[Data],$L175)&gt;$D$4,"",IFERROR(INDEX(tblRegistros[Status],$L175),"")))</f>
        <v/>
      </c>
      <c r="K175" t="str">
        <f>IF($L175="","",IF(INDEX(tblRegistros[Data],$L175)&gt;$D$4,"",IFERROR(INDEX(tblRegistros[Observação],$L175),"")))</f>
        <v/>
      </c>
      <c r="L175" s="16" t="str">
        <f>IFERROR(MATCH($B$3*100000+COUNTIFS(tblRegistros[ID],$B$3,tblRegistros[Data],"&lt;"&amp;$B$4)+ROWS($L$10:L175),tblRegistros[Chave do cartão],0),"")</f>
        <v/>
      </c>
    </row>
    <row r="176" spans="1:12">
      <c r="A176" s="2" t="str">
        <f>IF($L176="","",IF(INDEX(tblRegistros[Data],$L176)&gt;$D$4,"",IFERROR(INDEX(tblRegistros[Data],$L176),"")))</f>
        <v/>
      </c>
      <c r="B176" t="str">
        <f>IF($L176="","",IF(INDEX(tblRegistros[Data],$L176)&gt;$D$4,"",IFERROR(INDEX(tblRegistros[Projeto],$L176),"")))</f>
        <v/>
      </c>
      <c r="C176" t="str">
        <f>IF($L176="","",IF(INDEX(tblRegistros[Data],$L176)&gt;$D$4,"",IFERROR(INDEX(tblRegistros[Atividade],$L176),"")))</f>
        <v/>
      </c>
      <c r="D176" s="4" t="str">
        <f>IF($L176="","",IF(INDEX(tblRegistros[Data],$L176)&gt;$D$4,"",IFERROR(INDEX(tblRegistros[Início],$L176),"")))</f>
        <v/>
      </c>
      <c r="E176" s="4" t="str">
        <f>IF($L176="","",IF(INDEX(tblRegistros[Data],$L176)&gt;$D$4,"",IFERROR(IF(INDEX(tblRegistros[Status],$L176)="EM ABERTO","",INDEX(tblRegistros[Fim],$L176)),"")))</f>
        <v/>
      </c>
      <c r="F176" s="14" t="str">
        <f>IF($L176="","",IF(INDEX(tblRegistros[Data],$L176)&gt;$D$4,"",IFERROR(IF(INDEX(tblRegistros[Status],$L176)="EM ABERTO","",INDEX(tblRegistros[Horas],$L176)),"")))</f>
        <v/>
      </c>
      <c r="G176" t="str">
        <f>IF($L176="","",IF(INDEX(tblRegistros[Data],$L176)&gt;$D$4,"",IFERROR(INDEX(tblRegistros[Base],$L176),"")))</f>
        <v/>
      </c>
      <c r="H176" s="3" t="str">
        <f>IF($L176="","",IF(INDEX(tblRegistros[Data],$L176)&gt;$D$4,"",IFERROR(INDEX(tblRegistros[Taxa aplicada],$L176),"")))</f>
        <v/>
      </c>
      <c r="I176" s="3" t="str">
        <f>IF($L176="","",IF(INDEX(tblRegistros[Data],$L176)&gt;$D$4,"",IFERROR(IF(INDEX(tblRegistros[Status],$L176)="EM ABERTO","",INDEX(tblRegistros[Valor],$L176)),"")))</f>
        <v/>
      </c>
      <c r="J176" t="str">
        <f>IF($L176="","",IF(INDEX(tblRegistros[Data],$L176)&gt;$D$4,"",IFERROR(INDEX(tblRegistros[Status],$L176),"")))</f>
        <v/>
      </c>
      <c r="K176" t="str">
        <f>IF($L176="","",IF(INDEX(tblRegistros[Data],$L176)&gt;$D$4,"",IFERROR(INDEX(tblRegistros[Observação],$L176),"")))</f>
        <v/>
      </c>
      <c r="L176" s="16" t="str">
        <f>IFERROR(MATCH($B$3*100000+COUNTIFS(tblRegistros[ID],$B$3,tblRegistros[Data],"&lt;"&amp;$B$4)+ROWS($L$10:L176),tblRegistros[Chave do cartão],0),"")</f>
        <v/>
      </c>
    </row>
    <row r="177" spans="1:12">
      <c r="A177" s="2" t="str">
        <f>IF($L177="","",IF(INDEX(tblRegistros[Data],$L177)&gt;$D$4,"",IFERROR(INDEX(tblRegistros[Data],$L177),"")))</f>
        <v/>
      </c>
      <c r="B177" t="str">
        <f>IF($L177="","",IF(INDEX(tblRegistros[Data],$L177)&gt;$D$4,"",IFERROR(INDEX(tblRegistros[Projeto],$L177),"")))</f>
        <v/>
      </c>
      <c r="C177" t="str">
        <f>IF($L177="","",IF(INDEX(tblRegistros[Data],$L177)&gt;$D$4,"",IFERROR(INDEX(tblRegistros[Atividade],$L177),"")))</f>
        <v/>
      </c>
      <c r="D177" s="4" t="str">
        <f>IF($L177="","",IF(INDEX(tblRegistros[Data],$L177)&gt;$D$4,"",IFERROR(INDEX(tblRegistros[Início],$L177),"")))</f>
        <v/>
      </c>
      <c r="E177" s="4" t="str">
        <f>IF($L177="","",IF(INDEX(tblRegistros[Data],$L177)&gt;$D$4,"",IFERROR(IF(INDEX(tblRegistros[Status],$L177)="EM ABERTO","",INDEX(tblRegistros[Fim],$L177)),"")))</f>
        <v/>
      </c>
      <c r="F177" s="14" t="str">
        <f>IF($L177="","",IF(INDEX(tblRegistros[Data],$L177)&gt;$D$4,"",IFERROR(IF(INDEX(tblRegistros[Status],$L177)="EM ABERTO","",INDEX(tblRegistros[Horas],$L177)),"")))</f>
        <v/>
      </c>
      <c r="G177" t="str">
        <f>IF($L177="","",IF(INDEX(tblRegistros[Data],$L177)&gt;$D$4,"",IFERROR(INDEX(tblRegistros[Base],$L177),"")))</f>
        <v/>
      </c>
      <c r="H177" s="3" t="str">
        <f>IF($L177="","",IF(INDEX(tblRegistros[Data],$L177)&gt;$D$4,"",IFERROR(INDEX(tblRegistros[Taxa aplicada],$L177),"")))</f>
        <v/>
      </c>
      <c r="I177" s="3" t="str">
        <f>IF($L177="","",IF(INDEX(tblRegistros[Data],$L177)&gt;$D$4,"",IFERROR(IF(INDEX(tblRegistros[Status],$L177)="EM ABERTO","",INDEX(tblRegistros[Valor],$L177)),"")))</f>
        <v/>
      </c>
      <c r="J177" t="str">
        <f>IF($L177="","",IF(INDEX(tblRegistros[Data],$L177)&gt;$D$4,"",IFERROR(INDEX(tblRegistros[Status],$L177),"")))</f>
        <v/>
      </c>
      <c r="K177" t="str">
        <f>IF($L177="","",IF(INDEX(tblRegistros[Data],$L177)&gt;$D$4,"",IFERROR(INDEX(tblRegistros[Observação],$L177),"")))</f>
        <v/>
      </c>
      <c r="L177" s="16" t="str">
        <f>IFERROR(MATCH($B$3*100000+COUNTIFS(tblRegistros[ID],$B$3,tblRegistros[Data],"&lt;"&amp;$B$4)+ROWS($L$10:L177),tblRegistros[Chave do cartão],0),"")</f>
        <v/>
      </c>
    </row>
    <row r="178" spans="1:12">
      <c r="A178" s="2" t="str">
        <f>IF($L178="","",IF(INDEX(tblRegistros[Data],$L178)&gt;$D$4,"",IFERROR(INDEX(tblRegistros[Data],$L178),"")))</f>
        <v/>
      </c>
      <c r="B178" t="str">
        <f>IF($L178="","",IF(INDEX(tblRegistros[Data],$L178)&gt;$D$4,"",IFERROR(INDEX(tblRegistros[Projeto],$L178),"")))</f>
        <v/>
      </c>
      <c r="C178" t="str">
        <f>IF($L178="","",IF(INDEX(tblRegistros[Data],$L178)&gt;$D$4,"",IFERROR(INDEX(tblRegistros[Atividade],$L178),"")))</f>
        <v/>
      </c>
      <c r="D178" s="4" t="str">
        <f>IF($L178="","",IF(INDEX(tblRegistros[Data],$L178)&gt;$D$4,"",IFERROR(INDEX(tblRegistros[Início],$L178),"")))</f>
        <v/>
      </c>
      <c r="E178" s="4" t="str">
        <f>IF($L178="","",IF(INDEX(tblRegistros[Data],$L178)&gt;$D$4,"",IFERROR(IF(INDEX(tblRegistros[Status],$L178)="EM ABERTO","",INDEX(tblRegistros[Fim],$L178)),"")))</f>
        <v/>
      </c>
      <c r="F178" s="14" t="str">
        <f>IF($L178="","",IF(INDEX(tblRegistros[Data],$L178)&gt;$D$4,"",IFERROR(IF(INDEX(tblRegistros[Status],$L178)="EM ABERTO","",INDEX(tblRegistros[Horas],$L178)),"")))</f>
        <v/>
      </c>
      <c r="G178" t="str">
        <f>IF($L178="","",IF(INDEX(tblRegistros[Data],$L178)&gt;$D$4,"",IFERROR(INDEX(tblRegistros[Base],$L178),"")))</f>
        <v/>
      </c>
      <c r="H178" s="3" t="str">
        <f>IF($L178="","",IF(INDEX(tblRegistros[Data],$L178)&gt;$D$4,"",IFERROR(INDEX(tblRegistros[Taxa aplicada],$L178),"")))</f>
        <v/>
      </c>
      <c r="I178" s="3" t="str">
        <f>IF($L178="","",IF(INDEX(tblRegistros[Data],$L178)&gt;$D$4,"",IFERROR(IF(INDEX(tblRegistros[Status],$L178)="EM ABERTO","",INDEX(tblRegistros[Valor],$L178)),"")))</f>
        <v/>
      </c>
      <c r="J178" t="str">
        <f>IF($L178="","",IF(INDEX(tblRegistros[Data],$L178)&gt;$D$4,"",IFERROR(INDEX(tblRegistros[Status],$L178),"")))</f>
        <v/>
      </c>
      <c r="K178" t="str">
        <f>IF($L178="","",IF(INDEX(tblRegistros[Data],$L178)&gt;$D$4,"",IFERROR(INDEX(tblRegistros[Observação],$L178),"")))</f>
        <v/>
      </c>
      <c r="L178" s="16" t="str">
        <f>IFERROR(MATCH($B$3*100000+COUNTIFS(tblRegistros[ID],$B$3,tblRegistros[Data],"&lt;"&amp;$B$4)+ROWS($L$10:L178),tblRegistros[Chave do cartão],0),"")</f>
        <v/>
      </c>
    </row>
    <row r="179" spans="1:12">
      <c r="A179" s="2" t="str">
        <f>IF($L179="","",IF(INDEX(tblRegistros[Data],$L179)&gt;$D$4,"",IFERROR(INDEX(tblRegistros[Data],$L179),"")))</f>
        <v/>
      </c>
      <c r="B179" t="str">
        <f>IF($L179="","",IF(INDEX(tblRegistros[Data],$L179)&gt;$D$4,"",IFERROR(INDEX(tblRegistros[Projeto],$L179),"")))</f>
        <v/>
      </c>
      <c r="C179" t="str">
        <f>IF($L179="","",IF(INDEX(tblRegistros[Data],$L179)&gt;$D$4,"",IFERROR(INDEX(tblRegistros[Atividade],$L179),"")))</f>
        <v/>
      </c>
      <c r="D179" s="4" t="str">
        <f>IF($L179="","",IF(INDEX(tblRegistros[Data],$L179)&gt;$D$4,"",IFERROR(INDEX(tblRegistros[Início],$L179),"")))</f>
        <v/>
      </c>
      <c r="E179" s="4" t="str">
        <f>IF($L179="","",IF(INDEX(tblRegistros[Data],$L179)&gt;$D$4,"",IFERROR(IF(INDEX(tblRegistros[Status],$L179)="EM ABERTO","",INDEX(tblRegistros[Fim],$L179)),"")))</f>
        <v/>
      </c>
      <c r="F179" s="14" t="str">
        <f>IF($L179="","",IF(INDEX(tblRegistros[Data],$L179)&gt;$D$4,"",IFERROR(IF(INDEX(tblRegistros[Status],$L179)="EM ABERTO","",INDEX(tblRegistros[Horas],$L179)),"")))</f>
        <v/>
      </c>
      <c r="G179" t="str">
        <f>IF($L179="","",IF(INDEX(tblRegistros[Data],$L179)&gt;$D$4,"",IFERROR(INDEX(tblRegistros[Base],$L179),"")))</f>
        <v/>
      </c>
      <c r="H179" s="3" t="str">
        <f>IF($L179="","",IF(INDEX(tblRegistros[Data],$L179)&gt;$D$4,"",IFERROR(INDEX(tblRegistros[Taxa aplicada],$L179),"")))</f>
        <v/>
      </c>
      <c r="I179" s="3" t="str">
        <f>IF($L179="","",IF(INDEX(tblRegistros[Data],$L179)&gt;$D$4,"",IFERROR(IF(INDEX(tblRegistros[Status],$L179)="EM ABERTO","",INDEX(tblRegistros[Valor],$L179)),"")))</f>
        <v/>
      </c>
      <c r="J179" t="str">
        <f>IF($L179="","",IF(INDEX(tblRegistros[Data],$L179)&gt;$D$4,"",IFERROR(INDEX(tblRegistros[Status],$L179),"")))</f>
        <v/>
      </c>
      <c r="K179" t="str">
        <f>IF($L179="","",IF(INDEX(tblRegistros[Data],$L179)&gt;$D$4,"",IFERROR(INDEX(tblRegistros[Observação],$L179),"")))</f>
        <v/>
      </c>
      <c r="L179" s="16" t="str">
        <f>IFERROR(MATCH($B$3*100000+COUNTIFS(tblRegistros[ID],$B$3,tblRegistros[Data],"&lt;"&amp;$B$4)+ROWS($L$10:L179),tblRegistros[Chave do cartão],0),"")</f>
        <v/>
      </c>
    </row>
    <row r="180" spans="1:12">
      <c r="A180" s="2" t="str">
        <f>IF($L180="","",IF(INDEX(tblRegistros[Data],$L180)&gt;$D$4,"",IFERROR(INDEX(tblRegistros[Data],$L180),"")))</f>
        <v/>
      </c>
      <c r="B180" t="str">
        <f>IF($L180="","",IF(INDEX(tblRegistros[Data],$L180)&gt;$D$4,"",IFERROR(INDEX(tblRegistros[Projeto],$L180),"")))</f>
        <v/>
      </c>
      <c r="C180" t="str">
        <f>IF($L180="","",IF(INDEX(tblRegistros[Data],$L180)&gt;$D$4,"",IFERROR(INDEX(tblRegistros[Atividade],$L180),"")))</f>
        <v/>
      </c>
      <c r="D180" s="4" t="str">
        <f>IF($L180="","",IF(INDEX(tblRegistros[Data],$L180)&gt;$D$4,"",IFERROR(INDEX(tblRegistros[Início],$L180),"")))</f>
        <v/>
      </c>
      <c r="E180" s="4" t="str">
        <f>IF($L180="","",IF(INDEX(tblRegistros[Data],$L180)&gt;$D$4,"",IFERROR(IF(INDEX(tblRegistros[Status],$L180)="EM ABERTO","",INDEX(tblRegistros[Fim],$L180)),"")))</f>
        <v/>
      </c>
      <c r="F180" s="14" t="str">
        <f>IF($L180="","",IF(INDEX(tblRegistros[Data],$L180)&gt;$D$4,"",IFERROR(IF(INDEX(tblRegistros[Status],$L180)="EM ABERTO","",INDEX(tblRegistros[Horas],$L180)),"")))</f>
        <v/>
      </c>
      <c r="G180" t="str">
        <f>IF($L180="","",IF(INDEX(tblRegistros[Data],$L180)&gt;$D$4,"",IFERROR(INDEX(tblRegistros[Base],$L180),"")))</f>
        <v/>
      </c>
      <c r="H180" s="3" t="str">
        <f>IF($L180="","",IF(INDEX(tblRegistros[Data],$L180)&gt;$D$4,"",IFERROR(INDEX(tblRegistros[Taxa aplicada],$L180),"")))</f>
        <v/>
      </c>
      <c r="I180" s="3" t="str">
        <f>IF($L180="","",IF(INDEX(tblRegistros[Data],$L180)&gt;$D$4,"",IFERROR(IF(INDEX(tblRegistros[Status],$L180)="EM ABERTO","",INDEX(tblRegistros[Valor],$L180)),"")))</f>
        <v/>
      </c>
      <c r="J180" t="str">
        <f>IF($L180="","",IF(INDEX(tblRegistros[Data],$L180)&gt;$D$4,"",IFERROR(INDEX(tblRegistros[Status],$L180),"")))</f>
        <v/>
      </c>
      <c r="K180" t="str">
        <f>IF($L180="","",IF(INDEX(tblRegistros[Data],$L180)&gt;$D$4,"",IFERROR(INDEX(tblRegistros[Observação],$L180),"")))</f>
        <v/>
      </c>
      <c r="L180" s="16" t="str">
        <f>IFERROR(MATCH($B$3*100000+COUNTIFS(tblRegistros[ID],$B$3,tblRegistros[Data],"&lt;"&amp;$B$4)+ROWS($L$10:L180),tblRegistros[Chave do cartão],0),"")</f>
        <v/>
      </c>
    </row>
    <row r="181" spans="1:12">
      <c r="A181" s="2" t="str">
        <f>IF($L181="","",IF(INDEX(tblRegistros[Data],$L181)&gt;$D$4,"",IFERROR(INDEX(tblRegistros[Data],$L181),"")))</f>
        <v/>
      </c>
      <c r="B181" t="str">
        <f>IF($L181="","",IF(INDEX(tblRegistros[Data],$L181)&gt;$D$4,"",IFERROR(INDEX(tblRegistros[Projeto],$L181),"")))</f>
        <v/>
      </c>
      <c r="C181" t="str">
        <f>IF($L181="","",IF(INDEX(tblRegistros[Data],$L181)&gt;$D$4,"",IFERROR(INDEX(tblRegistros[Atividade],$L181),"")))</f>
        <v/>
      </c>
      <c r="D181" s="4" t="str">
        <f>IF($L181="","",IF(INDEX(tblRegistros[Data],$L181)&gt;$D$4,"",IFERROR(INDEX(tblRegistros[Início],$L181),"")))</f>
        <v/>
      </c>
      <c r="E181" s="4" t="str">
        <f>IF($L181="","",IF(INDEX(tblRegistros[Data],$L181)&gt;$D$4,"",IFERROR(IF(INDEX(tblRegistros[Status],$L181)="EM ABERTO","",INDEX(tblRegistros[Fim],$L181)),"")))</f>
        <v/>
      </c>
      <c r="F181" s="14" t="str">
        <f>IF($L181="","",IF(INDEX(tblRegistros[Data],$L181)&gt;$D$4,"",IFERROR(IF(INDEX(tblRegistros[Status],$L181)="EM ABERTO","",INDEX(tblRegistros[Horas],$L181)),"")))</f>
        <v/>
      </c>
      <c r="G181" t="str">
        <f>IF($L181="","",IF(INDEX(tblRegistros[Data],$L181)&gt;$D$4,"",IFERROR(INDEX(tblRegistros[Base],$L181),"")))</f>
        <v/>
      </c>
      <c r="H181" s="3" t="str">
        <f>IF($L181="","",IF(INDEX(tblRegistros[Data],$L181)&gt;$D$4,"",IFERROR(INDEX(tblRegistros[Taxa aplicada],$L181),"")))</f>
        <v/>
      </c>
      <c r="I181" s="3" t="str">
        <f>IF($L181="","",IF(INDEX(tblRegistros[Data],$L181)&gt;$D$4,"",IFERROR(IF(INDEX(tblRegistros[Status],$L181)="EM ABERTO","",INDEX(tblRegistros[Valor],$L181)),"")))</f>
        <v/>
      </c>
      <c r="J181" t="str">
        <f>IF($L181="","",IF(INDEX(tblRegistros[Data],$L181)&gt;$D$4,"",IFERROR(INDEX(tblRegistros[Status],$L181),"")))</f>
        <v/>
      </c>
      <c r="K181" t="str">
        <f>IF($L181="","",IF(INDEX(tblRegistros[Data],$L181)&gt;$D$4,"",IFERROR(INDEX(tblRegistros[Observação],$L181),"")))</f>
        <v/>
      </c>
      <c r="L181" s="16" t="str">
        <f>IFERROR(MATCH($B$3*100000+COUNTIFS(tblRegistros[ID],$B$3,tblRegistros[Data],"&lt;"&amp;$B$4)+ROWS($L$10:L181),tblRegistros[Chave do cartão],0),"")</f>
        <v/>
      </c>
    </row>
    <row r="182" spans="1:12">
      <c r="A182" s="2" t="str">
        <f>IF($L182="","",IF(INDEX(tblRegistros[Data],$L182)&gt;$D$4,"",IFERROR(INDEX(tblRegistros[Data],$L182),"")))</f>
        <v/>
      </c>
      <c r="B182" t="str">
        <f>IF($L182="","",IF(INDEX(tblRegistros[Data],$L182)&gt;$D$4,"",IFERROR(INDEX(tblRegistros[Projeto],$L182),"")))</f>
        <v/>
      </c>
      <c r="C182" t="str">
        <f>IF($L182="","",IF(INDEX(tblRegistros[Data],$L182)&gt;$D$4,"",IFERROR(INDEX(tblRegistros[Atividade],$L182),"")))</f>
        <v/>
      </c>
      <c r="D182" s="4" t="str">
        <f>IF($L182="","",IF(INDEX(tblRegistros[Data],$L182)&gt;$D$4,"",IFERROR(INDEX(tblRegistros[Início],$L182),"")))</f>
        <v/>
      </c>
      <c r="E182" s="4" t="str">
        <f>IF($L182="","",IF(INDEX(tblRegistros[Data],$L182)&gt;$D$4,"",IFERROR(IF(INDEX(tblRegistros[Status],$L182)="EM ABERTO","",INDEX(tblRegistros[Fim],$L182)),"")))</f>
        <v/>
      </c>
      <c r="F182" s="14" t="str">
        <f>IF($L182="","",IF(INDEX(tblRegistros[Data],$L182)&gt;$D$4,"",IFERROR(IF(INDEX(tblRegistros[Status],$L182)="EM ABERTO","",INDEX(tblRegistros[Horas],$L182)),"")))</f>
        <v/>
      </c>
      <c r="G182" t="str">
        <f>IF($L182="","",IF(INDEX(tblRegistros[Data],$L182)&gt;$D$4,"",IFERROR(INDEX(tblRegistros[Base],$L182),"")))</f>
        <v/>
      </c>
      <c r="H182" s="3" t="str">
        <f>IF($L182="","",IF(INDEX(tblRegistros[Data],$L182)&gt;$D$4,"",IFERROR(INDEX(tblRegistros[Taxa aplicada],$L182),"")))</f>
        <v/>
      </c>
      <c r="I182" s="3" t="str">
        <f>IF($L182="","",IF(INDEX(tblRegistros[Data],$L182)&gt;$D$4,"",IFERROR(IF(INDEX(tblRegistros[Status],$L182)="EM ABERTO","",INDEX(tblRegistros[Valor],$L182)),"")))</f>
        <v/>
      </c>
      <c r="J182" t="str">
        <f>IF($L182="","",IF(INDEX(tblRegistros[Data],$L182)&gt;$D$4,"",IFERROR(INDEX(tblRegistros[Status],$L182),"")))</f>
        <v/>
      </c>
      <c r="K182" t="str">
        <f>IF($L182="","",IF(INDEX(tblRegistros[Data],$L182)&gt;$D$4,"",IFERROR(INDEX(tblRegistros[Observação],$L182),"")))</f>
        <v/>
      </c>
      <c r="L182" s="16" t="str">
        <f>IFERROR(MATCH($B$3*100000+COUNTIFS(tblRegistros[ID],$B$3,tblRegistros[Data],"&lt;"&amp;$B$4)+ROWS($L$10:L182),tblRegistros[Chave do cartão],0),"")</f>
        <v/>
      </c>
    </row>
    <row r="183" spans="1:12">
      <c r="A183" s="2" t="str">
        <f>IF($L183="","",IF(INDEX(tblRegistros[Data],$L183)&gt;$D$4,"",IFERROR(INDEX(tblRegistros[Data],$L183),"")))</f>
        <v/>
      </c>
      <c r="B183" t="str">
        <f>IF($L183="","",IF(INDEX(tblRegistros[Data],$L183)&gt;$D$4,"",IFERROR(INDEX(tblRegistros[Projeto],$L183),"")))</f>
        <v/>
      </c>
      <c r="C183" t="str">
        <f>IF($L183="","",IF(INDEX(tblRegistros[Data],$L183)&gt;$D$4,"",IFERROR(INDEX(tblRegistros[Atividade],$L183),"")))</f>
        <v/>
      </c>
      <c r="D183" s="4" t="str">
        <f>IF($L183="","",IF(INDEX(tblRegistros[Data],$L183)&gt;$D$4,"",IFERROR(INDEX(tblRegistros[Início],$L183),"")))</f>
        <v/>
      </c>
      <c r="E183" s="4" t="str">
        <f>IF($L183="","",IF(INDEX(tblRegistros[Data],$L183)&gt;$D$4,"",IFERROR(IF(INDEX(tblRegistros[Status],$L183)="EM ABERTO","",INDEX(tblRegistros[Fim],$L183)),"")))</f>
        <v/>
      </c>
      <c r="F183" s="14" t="str">
        <f>IF($L183="","",IF(INDEX(tblRegistros[Data],$L183)&gt;$D$4,"",IFERROR(IF(INDEX(tblRegistros[Status],$L183)="EM ABERTO","",INDEX(tblRegistros[Horas],$L183)),"")))</f>
        <v/>
      </c>
      <c r="G183" t="str">
        <f>IF($L183="","",IF(INDEX(tblRegistros[Data],$L183)&gt;$D$4,"",IFERROR(INDEX(tblRegistros[Base],$L183),"")))</f>
        <v/>
      </c>
      <c r="H183" s="3" t="str">
        <f>IF($L183="","",IF(INDEX(tblRegistros[Data],$L183)&gt;$D$4,"",IFERROR(INDEX(tblRegistros[Taxa aplicada],$L183),"")))</f>
        <v/>
      </c>
      <c r="I183" s="3" t="str">
        <f>IF($L183="","",IF(INDEX(tblRegistros[Data],$L183)&gt;$D$4,"",IFERROR(IF(INDEX(tblRegistros[Status],$L183)="EM ABERTO","",INDEX(tblRegistros[Valor],$L183)),"")))</f>
        <v/>
      </c>
      <c r="J183" t="str">
        <f>IF($L183="","",IF(INDEX(tblRegistros[Data],$L183)&gt;$D$4,"",IFERROR(INDEX(tblRegistros[Status],$L183),"")))</f>
        <v/>
      </c>
      <c r="K183" t="str">
        <f>IF($L183="","",IF(INDEX(tblRegistros[Data],$L183)&gt;$D$4,"",IFERROR(INDEX(tblRegistros[Observação],$L183),"")))</f>
        <v/>
      </c>
      <c r="L183" s="16" t="str">
        <f>IFERROR(MATCH($B$3*100000+COUNTIFS(tblRegistros[ID],$B$3,tblRegistros[Data],"&lt;"&amp;$B$4)+ROWS($L$10:L183),tblRegistros[Chave do cartão],0),"")</f>
        <v/>
      </c>
    </row>
    <row r="184" spans="1:12">
      <c r="A184" s="2" t="str">
        <f>IF($L184="","",IF(INDEX(tblRegistros[Data],$L184)&gt;$D$4,"",IFERROR(INDEX(tblRegistros[Data],$L184),"")))</f>
        <v/>
      </c>
      <c r="B184" t="str">
        <f>IF($L184="","",IF(INDEX(tblRegistros[Data],$L184)&gt;$D$4,"",IFERROR(INDEX(tblRegistros[Projeto],$L184),"")))</f>
        <v/>
      </c>
      <c r="C184" t="str">
        <f>IF($L184="","",IF(INDEX(tblRegistros[Data],$L184)&gt;$D$4,"",IFERROR(INDEX(tblRegistros[Atividade],$L184),"")))</f>
        <v/>
      </c>
      <c r="D184" s="4" t="str">
        <f>IF($L184="","",IF(INDEX(tblRegistros[Data],$L184)&gt;$D$4,"",IFERROR(INDEX(tblRegistros[Início],$L184),"")))</f>
        <v/>
      </c>
      <c r="E184" s="4" t="str">
        <f>IF($L184="","",IF(INDEX(tblRegistros[Data],$L184)&gt;$D$4,"",IFERROR(IF(INDEX(tblRegistros[Status],$L184)="EM ABERTO","",INDEX(tblRegistros[Fim],$L184)),"")))</f>
        <v/>
      </c>
      <c r="F184" s="14" t="str">
        <f>IF($L184="","",IF(INDEX(tblRegistros[Data],$L184)&gt;$D$4,"",IFERROR(IF(INDEX(tblRegistros[Status],$L184)="EM ABERTO","",INDEX(tblRegistros[Horas],$L184)),"")))</f>
        <v/>
      </c>
      <c r="G184" t="str">
        <f>IF($L184="","",IF(INDEX(tblRegistros[Data],$L184)&gt;$D$4,"",IFERROR(INDEX(tblRegistros[Base],$L184),"")))</f>
        <v/>
      </c>
      <c r="H184" s="3" t="str">
        <f>IF($L184="","",IF(INDEX(tblRegistros[Data],$L184)&gt;$D$4,"",IFERROR(INDEX(tblRegistros[Taxa aplicada],$L184),"")))</f>
        <v/>
      </c>
      <c r="I184" s="3" t="str">
        <f>IF($L184="","",IF(INDEX(tblRegistros[Data],$L184)&gt;$D$4,"",IFERROR(IF(INDEX(tblRegistros[Status],$L184)="EM ABERTO","",INDEX(tblRegistros[Valor],$L184)),"")))</f>
        <v/>
      </c>
      <c r="J184" t="str">
        <f>IF($L184="","",IF(INDEX(tblRegistros[Data],$L184)&gt;$D$4,"",IFERROR(INDEX(tblRegistros[Status],$L184),"")))</f>
        <v/>
      </c>
      <c r="K184" t="str">
        <f>IF($L184="","",IF(INDEX(tblRegistros[Data],$L184)&gt;$D$4,"",IFERROR(INDEX(tblRegistros[Observação],$L184),"")))</f>
        <v/>
      </c>
      <c r="L184" s="16" t="str">
        <f>IFERROR(MATCH($B$3*100000+COUNTIFS(tblRegistros[ID],$B$3,tblRegistros[Data],"&lt;"&amp;$B$4)+ROWS($L$10:L184),tblRegistros[Chave do cartão],0),"")</f>
        <v/>
      </c>
    </row>
    <row r="185" spans="1:12">
      <c r="A185" s="2" t="str">
        <f>IF($L185="","",IF(INDEX(tblRegistros[Data],$L185)&gt;$D$4,"",IFERROR(INDEX(tblRegistros[Data],$L185),"")))</f>
        <v/>
      </c>
      <c r="B185" t="str">
        <f>IF($L185="","",IF(INDEX(tblRegistros[Data],$L185)&gt;$D$4,"",IFERROR(INDEX(tblRegistros[Projeto],$L185),"")))</f>
        <v/>
      </c>
      <c r="C185" t="str">
        <f>IF($L185="","",IF(INDEX(tblRegistros[Data],$L185)&gt;$D$4,"",IFERROR(INDEX(tblRegistros[Atividade],$L185),"")))</f>
        <v/>
      </c>
      <c r="D185" s="4" t="str">
        <f>IF($L185="","",IF(INDEX(tblRegistros[Data],$L185)&gt;$D$4,"",IFERROR(INDEX(tblRegistros[Início],$L185),"")))</f>
        <v/>
      </c>
      <c r="E185" s="4" t="str">
        <f>IF($L185="","",IF(INDEX(tblRegistros[Data],$L185)&gt;$D$4,"",IFERROR(IF(INDEX(tblRegistros[Status],$L185)="EM ABERTO","",INDEX(tblRegistros[Fim],$L185)),"")))</f>
        <v/>
      </c>
      <c r="F185" s="14" t="str">
        <f>IF($L185="","",IF(INDEX(tblRegistros[Data],$L185)&gt;$D$4,"",IFERROR(IF(INDEX(tblRegistros[Status],$L185)="EM ABERTO","",INDEX(tblRegistros[Horas],$L185)),"")))</f>
        <v/>
      </c>
      <c r="G185" t="str">
        <f>IF($L185="","",IF(INDEX(tblRegistros[Data],$L185)&gt;$D$4,"",IFERROR(INDEX(tblRegistros[Base],$L185),"")))</f>
        <v/>
      </c>
      <c r="H185" s="3" t="str">
        <f>IF($L185="","",IF(INDEX(tblRegistros[Data],$L185)&gt;$D$4,"",IFERROR(INDEX(tblRegistros[Taxa aplicada],$L185),"")))</f>
        <v/>
      </c>
      <c r="I185" s="3" t="str">
        <f>IF($L185="","",IF(INDEX(tblRegistros[Data],$L185)&gt;$D$4,"",IFERROR(IF(INDEX(tblRegistros[Status],$L185)="EM ABERTO","",INDEX(tblRegistros[Valor],$L185)),"")))</f>
        <v/>
      </c>
      <c r="J185" t="str">
        <f>IF($L185="","",IF(INDEX(tblRegistros[Data],$L185)&gt;$D$4,"",IFERROR(INDEX(tblRegistros[Status],$L185),"")))</f>
        <v/>
      </c>
      <c r="K185" t="str">
        <f>IF($L185="","",IF(INDEX(tblRegistros[Data],$L185)&gt;$D$4,"",IFERROR(INDEX(tblRegistros[Observação],$L185),"")))</f>
        <v/>
      </c>
      <c r="L185" s="16" t="str">
        <f>IFERROR(MATCH($B$3*100000+COUNTIFS(tblRegistros[ID],$B$3,tblRegistros[Data],"&lt;"&amp;$B$4)+ROWS($L$10:L185),tblRegistros[Chave do cartão],0),"")</f>
        <v/>
      </c>
    </row>
    <row r="186" spans="1:12">
      <c r="A186" s="2" t="str">
        <f>IF($L186="","",IF(INDEX(tblRegistros[Data],$L186)&gt;$D$4,"",IFERROR(INDEX(tblRegistros[Data],$L186),"")))</f>
        <v/>
      </c>
      <c r="B186" t="str">
        <f>IF($L186="","",IF(INDEX(tblRegistros[Data],$L186)&gt;$D$4,"",IFERROR(INDEX(tblRegistros[Projeto],$L186),"")))</f>
        <v/>
      </c>
      <c r="C186" t="str">
        <f>IF($L186="","",IF(INDEX(tblRegistros[Data],$L186)&gt;$D$4,"",IFERROR(INDEX(tblRegistros[Atividade],$L186),"")))</f>
        <v/>
      </c>
      <c r="D186" s="4" t="str">
        <f>IF($L186="","",IF(INDEX(tblRegistros[Data],$L186)&gt;$D$4,"",IFERROR(INDEX(tblRegistros[Início],$L186),"")))</f>
        <v/>
      </c>
      <c r="E186" s="4" t="str">
        <f>IF($L186="","",IF(INDEX(tblRegistros[Data],$L186)&gt;$D$4,"",IFERROR(IF(INDEX(tblRegistros[Status],$L186)="EM ABERTO","",INDEX(tblRegistros[Fim],$L186)),"")))</f>
        <v/>
      </c>
      <c r="F186" s="14" t="str">
        <f>IF($L186="","",IF(INDEX(tblRegistros[Data],$L186)&gt;$D$4,"",IFERROR(IF(INDEX(tblRegistros[Status],$L186)="EM ABERTO","",INDEX(tblRegistros[Horas],$L186)),"")))</f>
        <v/>
      </c>
      <c r="G186" t="str">
        <f>IF($L186="","",IF(INDEX(tblRegistros[Data],$L186)&gt;$D$4,"",IFERROR(INDEX(tblRegistros[Base],$L186),"")))</f>
        <v/>
      </c>
      <c r="H186" s="3" t="str">
        <f>IF($L186="","",IF(INDEX(tblRegistros[Data],$L186)&gt;$D$4,"",IFERROR(INDEX(tblRegistros[Taxa aplicada],$L186),"")))</f>
        <v/>
      </c>
      <c r="I186" s="3" t="str">
        <f>IF($L186="","",IF(INDEX(tblRegistros[Data],$L186)&gt;$D$4,"",IFERROR(IF(INDEX(tblRegistros[Status],$L186)="EM ABERTO","",INDEX(tblRegistros[Valor],$L186)),"")))</f>
        <v/>
      </c>
      <c r="J186" t="str">
        <f>IF($L186="","",IF(INDEX(tblRegistros[Data],$L186)&gt;$D$4,"",IFERROR(INDEX(tblRegistros[Status],$L186),"")))</f>
        <v/>
      </c>
      <c r="K186" t="str">
        <f>IF($L186="","",IF(INDEX(tblRegistros[Data],$L186)&gt;$D$4,"",IFERROR(INDEX(tblRegistros[Observação],$L186),"")))</f>
        <v/>
      </c>
      <c r="L186" s="16" t="str">
        <f>IFERROR(MATCH($B$3*100000+COUNTIFS(tblRegistros[ID],$B$3,tblRegistros[Data],"&lt;"&amp;$B$4)+ROWS($L$10:L186),tblRegistros[Chave do cartão],0),"")</f>
        <v/>
      </c>
    </row>
    <row r="187" spans="1:12">
      <c r="A187" s="2" t="str">
        <f>IF($L187="","",IF(INDEX(tblRegistros[Data],$L187)&gt;$D$4,"",IFERROR(INDEX(tblRegistros[Data],$L187),"")))</f>
        <v/>
      </c>
      <c r="B187" t="str">
        <f>IF($L187="","",IF(INDEX(tblRegistros[Data],$L187)&gt;$D$4,"",IFERROR(INDEX(tblRegistros[Projeto],$L187),"")))</f>
        <v/>
      </c>
      <c r="C187" t="str">
        <f>IF($L187="","",IF(INDEX(tblRegistros[Data],$L187)&gt;$D$4,"",IFERROR(INDEX(tblRegistros[Atividade],$L187),"")))</f>
        <v/>
      </c>
      <c r="D187" s="4" t="str">
        <f>IF($L187="","",IF(INDEX(tblRegistros[Data],$L187)&gt;$D$4,"",IFERROR(INDEX(tblRegistros[Início],$L187),"")))</f>
        <v/>
      </c>
      <c r="E187" s="4" t="str">
        <f>IF($L187="","",IF(INDEX(tblRegistros[Data],$L187)&gt;$D$4,"",IFERROR(IF(INDEX(tblRegistros[Status],$L187)="EM ABERTO","",INDEX(tblRegistros[Fim],$L187)),"")))</f>
        <v/>
      </c>
      <c r="F187" s="14" t="str">
        <f>IF($L187="","",IF(INDEX(tblRegistros[Data],$L187)&gt;$D$4,"",IFERROR(IF(INDEX(tblRegistros[Status],$L187)="EM ABERTO","",INDEX(tblRegistros[Horas],$L187)),"")))</f>
        <v/>
      </c>
      <c r="G187" t="str">
        <f>IF($L187="","",IF(INDEX(tblRegistros[Data],$L187)&gt;$D$4,"",IFERROR(INDEX(tblRegistros[Base],$L187),"")))</f>
        <v/>
      </c>
      <c r="H187" s="3" t="str">
        <f>IF($L187="","",IF(INDEX(tblRegistros[Data],$L187)&gt;$D$4,"",IFERROR(INDEX(tblRegistros[Taxa aplicada],$L187),"")))</f>
        <v/>
      </c>
      <c r="I187" s="3" t="str">
        <f>IF($L187="","",IF(INDEX(tblRegistros[Data],$L187)&gt;$D$4,"",IFERROR(IF(INDEX(tblRegistros[Status],$L187)="EM ABERTO","",INDEX(tblRegistros[Valor],$L187)),"")))</f>
        <v/>
      </c>
      <c r="J187" t="str">
        <f>IF($L187="","",IF(INDEX(tblRegistros[Data],$L187)&gt;$D$4,"",IFERROR(INDEX(tblRegistros[Status],$L187),"")))</f>
        <v/>
      </c>
      <c r="K187" t="str">
        <f>IF($L187="","",IF(INDEX(tblRegistros[Data],$L187)&gt;$D$4,"",IFERROR(INDEX(tblRegistros[Observação],$L187),"")))</f>
        <v/>
      </c>
      <c r="L187" s="16" t="str">
        <f>IFERROR(MATCH($B$3*100000+COUNTIFS(tblRegistros[ID],$B$3,tblRegistros[Data],"&lt;"&amp;$B$4)+ROWS($L$10:L187),tblRegistros[Chave do cartão],0),"")</f>
        <v/>
      </c>
    </row>
    <row r="188" spans="1:12">
      <c r="A188" s="2" t="str">
        <f>IF($L188="","",IF(INDEX(tblRegistros[Data],$L188)&gt;$D$4,"",IFERROR(INDEX(tblRegistros[Data],$L188),"")))</f>
        <v/>
      </c>
      <c r="B188" t="str">
        <f>IF($L188="","",IF(INDEX(tblRegistros[Data],$L188)&gt;$D$4,"",IFERROR(INDEX(tblRegistros[Projeto],$L188),"")))</f>
        <v/>
      </c>
      <c r="C188" t="str">
        <f>IF($L188="","",IF(INDEX(tblRegistros[Data],$L188)&gt;$D$4,"",IFERROR(INDEX(tblRegistros[Atividade],$L188),"")))</f>
        <v/>
      </c>
      <c r="D188" s="4" t="str">
        <f>IF($L188="","",IF(INDEX(tblRegistros[Data],$L188)&gt;$D$4,"",IFERROR(INDEX(tblRegistros[Início],$L188),"")))</f>
        <v/>
      </c>
      <c r="E188" s="4" t="str">
        <f>IF($L188="","",IF(INDEX(tblRegistros[Data],$L188)&gt;$D$4,"",IFERROR(IF(INDEX(tblRegistros[Status],$L188)="EM ABERTO","",INDEX(tblRegistros[Fim],$L188)),"")))</f>
        <v/>
      </c>
      <c r="F188" s="14" t="str">
        <f>IF($L188="","",IF(INDEX(tblRegistros[Data],$L188)&gt;$D$4,"",IFERROR(IF(INDEX(tblRegistros[Status],$L188)="EM ABERTO","",INDEX(tblRegistros[Horas],$L188)),"")))</f>
        <v/>
      </c>
      <c r="G188" t="str">
        <f>IF($L188="","",IF(INDEX(tblRegistros[Data],$L188)&gt;$D$4,"",IFERROR(INDEX(tblRegistros[Base],$L188),"")))</f>
        <v/>
      </c>
      <c r="H188" s="3" t="str">
        <f>IF($L188="","",IF(INDEX(tblRegistros[Data],$L188)&gt;$D$4,"",IFERROR(INDEX(tblRegistros[Taxa aplicada],$L188),"")))</f>
        <v/>
      </c>
      <c r="I188" s="3" t="str">
        <f>IF($L188="","",IF(INDEX(tblRegistros[Data],$L188)&gt;$D$4,"",IFERROR(IF(INDEX(tblRegistros[Status],$L188)="EM ABERTO","",INDEX(tblRegistros[Valor],$L188)),"")))</f>
        <v/>
      </c>
      <c r="J188" t="str">
        <f>IF($L188="","",IF(INDEX(tblRegistros[Data],$L188)&gt;$D$4,"",IFERROR(INDEX(tblRegistros[Status],$L188),"")))</f>
        <v/>
      </c>
      <c r="K188" t="str">
        <f>IF($L188="","",IF(INDEX(tblRegistros[Data],$L188)&gt;$D$4,"",IFERROR(INDEX(tblRegistros[Observação],$L188),"")))</f>
        <v/>
      </c>
      <c r="L188" s="16" t="str">
        <f>IFERROR(MATCH($B$3*100000+COUNTIFS(tblRegistros[ID],$B$3,tblRegistros[Data],"&lt;"&amp;$B$4)+ROWS($L$10:L188),tblRegistros[Chave do cartão],0),"")</f>
        <v/>
      </c>
    </row>
    <row r="189" spans="1:12">
      <c r="A189" s="2" t="str">
        <f>IF($L189="","",IF(INDEX(tblRegistros[Data],$L189)&gt;$D$4,"",IFERROR(INDEX(tblRegistros[Data],$L189),"")))</f>
        <v/>
      </c>
      <c r="B189" t="str">
        <f>IF($L189="","",IF(INDEX(tblRegistros[Data],$L189)&gt;$D$4,"",IFERROR(INDEX(tblRegistros[Projeto],$L189),"")))</f>
        <v/>
      </c>
      <c r="C189" t="str">
        <f>IF($L189="","",IF(INDEX(tblRegistros[Data],$L189)&gt;$D$4,"",IFERROR(INDEX(tblRegistros[Atividade],$L189),"")))</f>
        <v/>
      </c>
      <c r="D189" s="4" t="str">
        <f>IF($L189="","",IF(INDEX(tblRegistros[Data],$L189)&gt;$D$4,"",IFERROR(INDEX(tblRegistros[Início],$L189),"")))</f>
        <v/>
      </c>
      <c r="E189" s="4" t="str">
        <f>IF($L189="","",IF(INDEX(tblRegistros[Data],$L189)&gt;$D$4,"",IFERROR(IF(INDEX(tblRegistros[Status],$L189)="EM ABERTO","",INDEX(tblRegistros[Fim],$L189)),"")))</f>
        <v/>
      </c>
      <c r="F189" s="14" t="str">
        <f>IF($L189="","",IF(INDEX(tblRegistros[Data],$L189)&gt;$D$4,"",IFERROR(IF(INDEX(tblRegistros[Status],$L189)="EM ABERTO","",INDEX(tblRegistros[Horas],$L189)),"")))</f>
        <v/>
      </c>
      <c r="G189" t="str">
        <f>IF($L189="","",IF(INDEX(tblRegistros[Data],$L189)&gt;$D$4,"",IFERROR(INDEX(tblRegistros[Base],$L189),"")))</f>
        <v/>
      </c>
      <c r="H189" s="3" t="str">
        <f>IF($L189="","",IF(INDEX(tblRegistros[Data],$L189)&gt;$D$4,"",IFERROR(INDEX(tblRegistros[Taxa aplicada],$L189),"")))</f>
        <v/>
      </c>
      <c r="I189" s="3" t="str">
        <f>IF($L189="","",IF(INDEX(tblRegistros[Data],$L189)&gt;$D$4,"",IFERROR(IF(INDEX(tblRegistros[Status],$L189)="EM ABERTO","",INDEX(tblRegistros[Valor],$L189)),"")))</f>
        <v/>
      </c>
      <c r="J189" t="str">
        <f>IF($L189="","",IF(INDEX(tblRegistros[Data],$L189)&gt;$D$4,"",IFERROR(INDEX(tblRegistros[Status],$L189),"")))</f>
        <v/>
      </c>
      <c r="K189" t="str">
        <f>IF($L189="","",IF(INDEX(tblRegistros[Data],$L189)&gt;$D$4,"",IFERROR(INDEX(tblRegistros[Observação],$L189),"")))</f>
        <v/>
      </c>
      <c r="L189" s="16" t="str">
        <f>IFERROR(MATCH($B$3*100000+COUNTIFS(tblRegistros[ID],$B$3,tblRegistros[Data],"&lt;"&amp;$B$4)+ROWS($L$10:L189),tblRegistros[Chave do cartão],0),"")</f>
        <v/>
      </c>
    </row>
    <row r="190" spans="1:12">
      <c r="A190" s="2" t="str">
        <f>IF($L190="","",IF(INDEX(tblRegistros[Data],$L190)&gt;$D$4,"",IFERROR(INDEX(tblRegistros[Data],$L190),"")))</f>
        <v/>
      </c>
      <c r="B190" t="str">
        <f>IF($L190="","",IF(INDEX(tblRegistros[Data],$L190)&gt;$D$4,"",IFERROR(INDEX(tblRegistros[Projeto],$L190),"")))</f>
        <v/>
      </c>
      <c r="C190" t="str">
        <f>IF($L190="","",IF(INDEX(tblRegistros[Data],$L190)&gt;$D$4,"",IFERROR(INDEX(tblRegistros[Atividade],$L190),"")))</f>
        <v/>
      </c>
      <c r="D190" s="4" t="str">
        <f>IF($L190="","",IF(INDEX(tblRegistros[Data],$L190)&gt;$D$4,"",IFERROR(INDEX(tblRegistros[Início],$L190),"")))</f>
        <v/>
      </c>
      <c r="E190" s="4" t="str">
        <f>IF($L190="","",IF(INDEX(tblRegistros[Data],$L190)&gt;$D$4,"",IFERROR(IF(INDEX(tblRegistros[Status],$L190)="EM ABERTO","",INDEX(tblRegistros[Fim],$L190)),"")))</f>
        <v/>
      </c>
      <c r="F190" s="14" t="str">
        <f>IF($L190="","",IF(INDEX(tblRegistros[Data],$L190)&gt;$D$4,"",IFERROR(IF(INDEX(tblRegistros[Status],$L190)="EM ABERTO","",INDEX(tblRegistros[Horas],$L190)),"")))</f>
        <v/>
      </c>
      <c r="G190" t="str">
        <f>IF($L190="","",IF(INDEX(tblRegistros[Data],$L190)&gt;$D$4,"",IFERROR(INDEX(tblRegistros[Base],$L190),"")))</f>
        <v/>
      </c>
      <c r="H190" s="3" t="str">
        <f>IF($L190="","",IF(INDEX(tblRegistros[Data],$L190)&gt;$D$4,"",IFERROR(INDEX(tblRegistros[Taxa aplicada],$L190),"")))</f>
        <v/>
      </c>
      <c r="I190" s="3" t="str">
        <f>IF($L190="","",IF(INDEX(tblRegistros[Data],$L190)&gt;$D$4,"",IFERROR(IF(INDEX(tblRegistros[Status],$L190)="EM ABERTO","",INDEX(tblRegistros[Valor],$L190)),"")))</f>
        <v/>
      </c>
      <c r="J190" t="str">
        <f>IF($L190="","",IF(INDEX(tblRegistros[Data],$L190)&gt;$D$4,"",IFERROR(INDEX(tblRegistros[Status],$L190),"")))</f>
        <v/>
      </c>
      <c r="K190" t="str">
        <f>IF($L190="","",IF(INDEX(tblRegistros[Data],$L190)&gt;$D$4,"",IFERROR(INDEX(tblRegistros[Observação],$L190),"")))</f>
        <v/>
      </c>
      <c r="L190" s="16" t="str">
        <f>IFERROR(MATCH($B$3*100000+COUNTIFS(tblRegistros[ID],$B$3,tblRegistros[Data],"&lt;"&amp;$B$4)+ROWS($L$10:L190),tblRegistros[Chave do cartão],0),"")</f>
        <v/>
      </c>
    </row>
    <row r="191" spans="1:12">
      <c r="A191" s="2" t="str">
        <f>IF($L191="","",IF(INDEX(tblRegistros[Data],$L191)&gt;$D$4,"",IFERROR(INDEX(tblRegistros[Data],$L191),"")))</f>
        <v/>
      </c>
      <c r="B191" t="str">
        <f>IF($L191="","",IF(INDEX(tblRegistros[Data],$L191)&gt;$D$4,"",IFERROR(INDEX(tblRegistros[Projeto],$L191),"")))</f>
        <v/>
      </c>
      <c r="C191" t="str">
        <f>IF($L191="","",IF(INDEX(tblRegistros[Data],$L191)&gt;$D$4,"",IFERROR(INDEX(tblRegistros[Atividade],$L191),"")))</f>
        <v/>
      </c>
      <c r="D191" s="4" t="str">
        <f>IF($L191="","",IF(INDEX(tblRegistros[Data],$L191)&gt;$D$4,"",IFERROR(INDEX(tblRegistros[Início],$L191),"")))</f>
        <v/>
      </c>
      <c r="E191" s="4" t="str">
        <f>IF($L191="","",IF(INDEX(tblRegistros[Data],$L191)&gt;$D$4,"",IFERROR(IF(INDEX(tblRegistros[Status],$L191)="EM ABERTO","",INDEX(tblRegistros[Fim],$L191)),"")))</f>
        <v/>
      </c>
      <c r="F191" s="14" t="str">
        <f>IF($L191="","",IF(INDEX(tblRegistros[Data],$L191)&gt;$D$4,"",IFERROR(IF(INDEX(tblRegistros[Status],$L191)="EM ABERTO","",INDEX(tblRegistros[Horas],$L191)),"")))</f>
        <v/>
      </c>
      <c r="G191" t="str">
        <f>IF($L191="","",IF(INDEX(tblRegistros[Data],$L191)&gt;$D$4,"",IFERROR(INDEX(tblRegistros[Base],$L191),"")))</f>
        <v/>
      </c>
      <c r="H191" s="3" t="str">
        <f>IF($L191="","",IF(INDEX(tblRegistros[Data],$L191)&gt;$D$4,"",IFERROR(INDEX(tblRegistros[Taxa aplicada],$L191),"")))</f>
        <v/>
      </c>
      <c r="I191" s="3" t="str">
        <f>IF($L191="","",IF(INDEX(tblRegistros[Data],$L191)&gt;$D$4,"",IFERROR(IF(INDEX(tblRegistros[Status],$L191)="EM ABERTO","",INDEX(tblRegistros[Valor],$L191)),"")))</f>
        <v/>
      </c>
      <c r="J191" t="str">
        <f>IF($L191="","",IF(INDEX(tblRegistros[Data],$L191)&gt;$D$4,"",IFERROR(INDEX(tblRegistros[Status],$L191),"")))</f>
        <v/>
      </c>
      <c r="K191" t="str">
        <f>IF($L191="","",IF(INDEX(tblRegistros[Data],$L191)&gt;$D$4,"",IFERROR(INDEX(tblRegistros[Observação],$L191),"")))</f>
        <v/>
      </c>
      <c r="L191" s="16" t="str">
        <f>IFERROR(MATCH($B$3*100000+COUNTIFS(tblRegistros[ID],$B$3,tblRegistros[Data],"&lt;"&amp;$B$4)+ROWS($L$10:L191),tblRegistros[Chave do cartão],0),"")</f>
        <v/>
      </c>
    </row>
    <row r="192" spans="1:12">
      <c r="A192" s="2" t="str">
        <f>IF($L192="","",IF(INDEX(tblRegistros[Data],$L192)&gt;$D$4,"",IFERROR(INDEX(tblRegistros[Data],$L192),"")))</f>
        <v/>
      </c>
      <c r="B192" t="str">
        <f>IF($L192="","",IF(INDEX(tblRegistros[Data],$L192)&gt;$D$4,"",IFERROR(INDEX(tblRegistros[Projeto],$L192),"")))</f>
        <v/>
      </c>
      <c r="C192" t="str">
        <f>IF($L192="","",IF(INDEX(tblRegistros[Data],$L192)&gt;$D$4,"",IFERROR(INDEX(tblRegistros[Atividade],$L192),"")))</f>
        <v/>
      </c>
      <c r="D192" s="4" t="str">
        <f>IF($L192="","",IF(INDEX(tblRegistros[Data],$L192)&gt;$D$4,"",IFERROR(INDEX(tblRegistros[Início],$L192),"")))</f>
        <v/>
      </c>
      <c r="E192" s="4" t="str">
        <f>IF($L192="","",IF(INDEX(tblRegistros[Data],$L192)&gt;$D$4,"",IFERROR(IF(INDEX(tblRegistros[Status],$L192)="EM ABERTO","",INDEX(tblRegistros[Fim],$L192)),"")))</f>
        <v/>
      </c>
      <c r="F192" s="14" t="str">
        <f>IF($L192="","",IF(INDEX(tblRegistros[Data],$L192)&gt;$D$4,"",IFERROR(IF(INDEX(tblRegistros[Status],$L192)="EM ABERTO","",INDEX(tblRegistros[Horas],$L192)),"")))</f>
        <v/>
      </c>
      <c r="G192" t="str">
        <f>IF($L192="","",IF(INDEX(tblRegistros[Data],$L192)&gt;$D$4,"",IFERROR(INDEX(tblRegistros[Base],$L192),"")))</f>
        <v/>
      </c>
      <c r="H192" s="3" t="str">
        <f>IF($L192="","",IF(INDEX(tblRegistros[Data],$L192)&gt;$D$4,"",IFERROR(INDEX(tblRegistros[Taxa aplicada],$L192),"")))</f>
        <v/>
      </c>
      <c r="I192" s="3" t="str">
        <f>IF($L192="","",IF(INDEX(tblRegistros[Data],$L192)&gt;$D$4,"",IFERROR(IF(INDEX(tblRegistros[Status],$L192)="EM ABERTO","",INDEX(tblRegistros[Valor],$L192)),"")))</f>
        <v/>
      </c>
      <c r="J192" t="str">
        <f>IF($L192="","",IF(INDEX(tblRegistros[Data],$L192)&gt;$D$4,"",IFERROR(INDEX(tblRegistros[Status],$L192),"")))</f>
        <v/>
      </c>
      <c r="K192" t="str">
        <f>IF($L192="","",IF(INDEX(tblRegistros[Data],$L192)&gt;$D$4,"",IFERROR(INDEX(tblRegistros[Observação],$L192),"")))</f>
        <v/>
      </c>
      <c r="L192" s="16" t="str">
        <f>IFERROR(MATCH($B$3*100000+COUNTIFS(tblRegistros[ID],$B$3,tblRegistros[Data],"&lt;"&amp;$B$4)+ROWS($L$10:L192),tblRegistros[Chave do cartão],0),"")</f>
        <v/>
      </c>
    </row>
    <row r="193" spans="1:12">
      <c r="A193" s="2" t="str">
        <f>IF($L193="","",IF(INDEX(tblRegistros[Data],$L193)&gt;$D$4,"",IFERROR(INDEX(tblRegistros[Data],$L193),"")))</f>
        <v/>
      </c>
      <c r="B193" t="str">
        <f>IF($L193="","",IF(INDEX(tblRegistros[Data],$L193)&gt;$D$4,"",IFERROR(INDEX(tblRegistros[Projeto],$L193),"")))</f>
        <v/>
      </c>
      <c r="C193" t="str">
        <f>IF($L193="","",IF(INDEX(tblRegistros[Data],$L193)&gt;$D$4,"",IFERROR(INDEX(tblRegistros[Atividade],$L193),"")))</f>
        <v/>
      </c>
      <c r="D193" s="4" t="str">
        <f>IF($L193="","",IF(INDEX(tblRegistros[Data],$L193)&gt;$D$4,"",IFERROR(INDEX(tblRegistros[Início],$L193),"")))</f>
        <v/>
      </c>
      <c r="E193" s="4" t="str">
        <f>IF($L193="","",IF(INDEX(tblRegistros[Data],$L193)&gt;$D$4,"",IFERROR(IF(INDEX(tblRegistros[Status],$L193)="EM ABERTO","",INDEX(tblRegistros[Fim],$L193)),"")))</f>
        <v/>
      </c>
      <c r="F193" s="14" t="str">
        <f>IF($L193="","",IF(INDEX(tblRegistros[Data],$L193)&gt;$D$4,"",IFERROR(IF(INDEX(tblRegistros[Status],$L193)="EM ABERTO","",INDEX(tblRegistros[Horas],$L193)),"")))</f>
        <v/>
      </c>
      <c r="G193" t="str">
        <f>IF($L193="","",IF(INDEX(tblRegistros[Data],$L193)&gt;$D$4,"",IFERROR(INDEX(tblRegistros[Base],$L193),"")))</f>
        <v/>
      </c>
      <c r="H193" s="3" t="str">
        <f>IF($L193="","",IF(INDEX(tblRegistros[Data],$L193)&gt;$D$4,"",IFERROR(INDEX(tblRegistros[Taxa aplicada],$L193),"")))</f>
        <v/>
      </c>
      <c r="I193" s="3" t="str">
        <f>IF($L193="","",IF(INDEX(tblRegistros[Data],$L193)&gt;$D$4,"",IFERROR(IF(INDEX(tblRegistros[Status],$L193)="EM ABERTO","",INDEX(tblRegistros[Valor],$L193)),"")))</f>
        <v/>
      </c>
      <c r="J193" t="str">
        <f>IF($L193="","",IF(INDEX(tblRegistros[Data],$L193)&gt;$D$4,"",IFERROR(INDEX(tblRegistros[Status],$L193),"")))</f>
        <v/>
      </c>
      <c r="K193" t="str">
        <f>IF($L193="","",IF(INDEX(tblRegistros[Data],$L193)&gt;$D$4,"",IFERROR(INDEX(tblRegistros[Observação],$L193),"")))</f>
        <v/>
      </c>
      <c r="L193" s="16" t="str">
        <f>IFERROR(MATCH($B$3*100000+COUNTIFS(tblRegistros[ID],$B$3,tblRegistros[Data],"&lt;"&amp;$B$4)+ROWS($L$10:L193),tblRegistros[Chave do cartão],0),"")</f>
        <v/>
      </c>
    </row>
    <row r="194" spans="1:12">
      <c r="A194" s="2" t="str">
        <f>IF($L194="","",IF(INDEX(tblRegistros[Data],$L194)&gt;$D$4,"",IFERROR(INDEX(tblRegistros[Data],$L194),"")))</f>
        <v/>
      </c>
      <c r="B194" t="str">
        <f>IF($L194="","",IF(INDEX(tblRegistros[Data],$L194)&gt;$D$4,"",IFERROR(INDEX(tblRegistros[Projeto],$L194),"")))</f>
        <v/>
      </c>
      <c r="C194" t="str">
        <f>IF($L194="","",IF(INDEX(tblRegistros[Data],$L194)&gt;$D$4,"",IFERROR(INDEX(tblRegistros[Atividade],$L194),"")))</f>
        <v/>
      </c>
      <c r="D194" s="4" t="str">
        <f>IF($L194="","",IF(INDEX(tblRegistros[Data],$L194)&gt;$D$4,"",IFERROR(INDEX(tblRegistros[Início],$L194),"")))</f>
        <v/>
      </c>
      <c r="E194" s="4" t="str">
        <f>IF($L194="","",IF(INDEX(tblRegistros[Data],$L194)&gt;$D$4,"",IFERROR(IF(INDEX(tblRegistros[Status],$L194)="EM ABERTO","",INDEX(tblRegistros[Fim],$L194)),"")))</f>
        <v/>
      </c>
      <c r="F194" s="14" t="str">
        <f>IF($L194="","",IF(INDEX(tblRegistros[Data],$L194)&gt;$D$4,"",IFERROR(IF(INDEX(tblRegistros[Status],$L194)="EM ABERTO","",INDEX(tblRegistros[Horas],$L194)),"")))</f>
        <v/>
      </c>
      <c r="G194" t="str">
        <f>IF($L194="","",IF(INDEX(tblRegistros[Data],$L194)&gt;$D$4,"",IFERROR(INDEX(tblRegistros[Base],$L194),"")))</f>
        <v/>
      </c>
      <c r="H194" s="3" t="str">
        <f>IF($L194="","",IF(INDEX(tblRegistros[Data],$L194)&gt;$D$4,"",IFERROR(INDEX(tblRegistros[Taxa aplicada],$L194),"")))</f>
        <v/>
      </c>
      <c r="I194" s="3" t="str">
        <f>IF($L194="","",IF(INDEX(tblRegistros[Data],$L194)&gt;$D$4,"",IFERROR(IF(INDEX(tblRegistros[Status],$L194)="EM ABERTO","",INDEX(tblRegistros[Valor],$L194)),"")))</f>
        <v/>
      </c>
      <c r="J194" t="str">
        <f>IF($L194="","",IF(INDEX(tblRegistros[Data],$L194)&gt;$D$4,"",IFERROR(INDEX(tblRegistros[Status],$L194),"")))</f>
        <v/>
      </c>
      <c r="K194" t="str">
        <f>IF($L194="","",IF(INDEX(tblRegistros[Data],$L194)&gt;$D$4,"",IFERROR(INDEX(tblRegistros[Observação],$L194),"")))</f>
        <v/>
      </c>
      <c r="L194" s="16" t="str">
        <f>IFERROR(MATCH($B$3*100000+COUNTIFS(tblRegistros[ID],$B$3,tblRegistros[Data],"&lt;"&amp;$B$4)+ROWS($L$10:L194),tblRegistros[Chave do cartão],0),"")</f>
        <v/>
      </c>
    </row>
    <row r="195" spans="1:12">
      <c r="A195" s="2" t="str">
        <f>IF($L195="","",IF(INDEX(tblRegistros[Data],$L195)&gt;$D$4,"",IFERROR(INDEX(tblRegistros[Data],$L195),"")))</f>
        <v/>
      </c>
      <c r="B195" t="str">
        <f>IF($L195="","",IF(INDEX(tblRegistros[Data],$L195)&gt;$D$4,"",IFERROR(INDEX(tblRegistros[Projeto],$L195),"")))</f>
        <v/>
      </c>
      <c r="C195" t="str">
        <f>IF($L195="","",IF(INDEX(tblRegistros[Data],$L195)&gt;$D$4,"",IFERROR(INDEX(tblRegistros[Atividade],$L195),"")))</f>
        <v/>
      </c>
      <c r="D195" s="4" t="str">
        <f>IF($L195="","",IF(INDEX(tblRegistros[Data],$L195)&gt;$D$4,"",IFERROR(INDEX(tblRegistros[Início],$L195),"")))</f>
        <v/>
      </c>
      <c r="E195" s="4" t="str">
        <f>IF($L195="","",IF(INDEX(tblRegistros[Data],$L195)&gt;$D$4,"",IFERROR(IF(INDEX(tblRegistros[Status],$L195)="EM ABERTO","",INDEX(tblRegistros[Fim],$L195)),"")))</f>
        <v/>
      </c>
      <c r="F195" s="14" t="str">
        <f>IF($L195="","",IF(INDEX(tblRegistros[Data],$L195)&gt;$D$4,"",IFERROR(IF(INDEX(tblRegistros[Status],$L195)="EM ABERTO","",INDEX(tblRegistros[Horas],$L195)),"")))</f>
        <v/>
      </c>
      <c r="G195" t="str">
        <f>IF($L195="","",IF(INDEX(tblRegistros[Data],$L195)&gt;$D$4,"",IFERROR(INDEX(tblRegistros[Base],$L195),"")))</f>
        <v/>
      </c>
      <c r="H195" s="3" t="str">
        <f>IF($L195="","",IF(INDEX(tblRegistros[Data],$L195)&gt;$D$4,"",IFERROR(INDEX(tblRegistros[Taxa aplicada],$L195),"")))</f>
        <v/>
      </c>
      <c r="I195" s="3" t="str">
        <f>IF($L195="","",IF(INDEX(tblRegistros[Data],$L195)&gt;$D$4,"",IFERROR(IF(INDEX(tblRegistros[Status],$L195)="EM ABERTO","",INDEX(tblRegistros[Valor],$L195)),"")))</f>
        <v/>
      </c>
      <c r="J195" t="str">
        <f>IF($L195="","",IF(INDEX(tblRegistros[Data],$L195)&gt;$D$4,"",IFERROR(INDEX(tblRegistros[Status],$L195),"")))</f>
        <v/>
      </c>
      <c r="K195" t="str">
        <f>IF($L195="","",IF(INDEX(tblRegistros[Data],$L195)&gt;$D$4,"",IFERROR(INDEX(tblRegistros[Observação],$L195),"")))</f>
        <v/>
      </c>
      <c r="L195" s="16" t="str">
        <f>IFERROR(MATCH($B$3*100000+COUNTIFS(tblRegistros[ID],$B$3,tblRegistros[Data],"&lt;"&amp;$B$4)+ROWS($L$10:L195),tblRegistros[Chave do cartão],0),"")</f>
        <v/>
      </c>
    </row>
    <row r="196" spans="1:12">
      <c r="A196" s="2" t="str">
        <f>IF($L196="","",IF(INDEX(tblRegistros[Data],$L196)&gt;$D$4,"",IFERROR(INDEX(tblRegistros[Data],$L196),"")))</f>
        <v/>
      </c>
      <c r="B196" t="str">
        <f>IF($L196="","",IF(INDEX(tblRegistros[Data],$L196)&gt;$D$4,"",IFERROR(INDEX(tblRegistros[Projeto],$L196),"")))</f>
        <v/>
      </c>
      <c r="C196" t="str">
        <f>IF($L196="","",IF(INDEX(tblRegistros[Data],$L196)&gt;$D$4,"",IFERROR(INDEX(tblRegistros[Atividade],$L196),"")))</f>
        <v/>
      </c>
      <c r="D196" s="4" t="str">
        <f>IF($L196="","",IF(INDEX(tblRegistros[Data],$L196)&gt;$D$4,"",IFERROR(INDEX(tblRegistros[Início],$L196),"")))</f>
        <v/>
      </c>
      <c r="E196" s="4" t="str">
        <f>IF($L196="","",IF(INDEX(tblRegistros[Data],$L196)&gt;$D$4,"",IFERROR(IF(INDEX(tblRegistros[Status],$L196)="EM ABERTO","",INDEX(tblRegistros[Fim],$L196)),"")))</f>
        <v/>
      </c>
      <c r="F196" s="14" t="str">
        <f>IF($L196="","",IF(INDEX(tblRegistros[Data],$L196)&gt;$D$4,"",IFERROR(IF(INDEX(tblRegistros[Status],$L196)="EM ABERTO","",INDEX(tblRegistros[Horas],$L196)),"")))</f>
        <v/>
      </c>
      <c r="G196" t="str">
        <f>IF($L196="","",IF(INDEX(tblRegistros[Data],$L196)&gt;$D$4,"",IFERROR(INDEX(tblRegistros[Base],$L196),"")))</f>
        <v/>
      </c>
      <c r="H196" s="3" t="str">
        <f>IF($L196="","",IF(INDEX(tblRegistros[Data],$L196)&gt;$D$4,"",IFERROR(INDEX(tblRegistros[Taxa aplicada],$L196),"")))</f>
        <v/>
      </c>
      <c r="I196" s="3" t="str">
        <f>IF($L196="","",IF(INDEX(tblRegistros[Data],$L196)&gt;$D$4,"",IFERROR(IF(INDEX(tblRegistros[Status],$L196)="EM ABERTO","",INDEX(tblRegistros[Valor],$L196)),"")))</f>
        <v/>
      </c>
      <c r="J196" t="str">
        <f>IF($L196="","",IF(INDEX(tblRegistros[Data],$L196)&gt;$D$4,"",IFERROR(INDEX(tblRegistros[Status],$L196),"")))</f>
        <v/>
      </c>
      <c r="K196" t="str">
        <f>IF($L196="","",IF(INDEX(tblRegistros[Data],$L196)&gt;$D$4,"",IFERROR(INDEX(tblRegistros[Observação],$L196),"")))</f>
        <v/>
      </c>
      <c r="L196" s="16" t="str">
        <f>IFERROR(MATCH($B$3*100000+COUNTIFS(tblRegistros[ID],$B$3,tblRegistros[Data],"&lt;"&amp;$B$4)+ROWS($L$10:L196),tblRegistros[Chave do cartão],0),"")</f>
        <v/>
      </c>
    </row>
    <row r="197" spans="1:12">
      <c r="A197" s="2" t="str">
        <f>IF($L197="","",IF(INDEX(tblRegistros[Data],$L197)&gt;$D$4,"",IFERROR(INDEX(tblRegistros[Data],$L197),"")))</f>
        <v/>
      </c>
      <c r="B197" t="str">
        <f>IF($L197="","",IF(INDEX(tblRegistros[Data],$L197)&gt;$D$4,"",IFERROR(INDEX(tblRegistros[Projeto],$L197),"")))</f>
        <v/>
      </c>
      <c r="C197" t="str">
        <f>IF($L197="","",IF(INDEX(tblRegistros[Data],$L197)&gt;$D$4,"",IFERROR(INDEX(tblRegistros[Atividade],$L197),"")))</f>
        <v/>
      </c>
      <c r="D197" s="4" t="str">
        <f>IF($L197="","",IF(INDEX(tblRegistros[Data],$L197)&gt;$D$4,"",IFERROR(INDEX(tblRegistros[Início],$L197),"")))</f>
        <v/>
      </c>
      <c r="E197" s="4" t="str">
        <f>IF($L197="","",IF(INDEX(tblRegistros[Data],$L197)&gt;$D$4,"",IFERROR(IF(INDEX(tblRegistros[Status],$L197)="EM ABERTO","",INDEX(tblRegistros[Fim],$L197)),"")))</f>
        <v/>
      </c>
      <c r="F197" s="14" t="str">
        <f>IF($L197="","",IF(INDEX(tblRegistros[Data],$L197)&gt;$D$4,"",IFERROR(IF(INDEX(tblRegistros[Status],$L197)="EM ABERTO","",INDEX(tblRegistros[Horas],$L197)),"")))</f>
        <v/>
      </c>
      <c r="G197" t="str">
        <f>IF($L197="","",IF(INDEX(tblRegistros[Data],$L197)&gt;$D$4,"",IFERROR(INDEX(tblRegistros[Base],$L197),"")))</f>
        <v/>
      </c>
      <c r="H197" s="3" t="str">
        <f>IF($L197="","",IF(INDEX(tblRegistros[Data],$L197)&gt;$D$4,"",IFERROR(INDEX(tblRegistros[Taxa aplicada],$L197),"")))</f>
        <v/>
      </c>
      <c r="I197" s="3" t="str">
        <f>IF($L197="","",IF(INDEX(tblRegistros[Data],$L197)&gt;$D$4,"",IFERROR(IF(INDEX(tblRegistros[Status],$L197)="EM ABERTO","",INDEX(tblRegistros[Valor],$L197)),"")))</f>
        <v/>
      </c>
      <c r="J197" t="str">
        <f>IF($L197="","",IF(INDEX(tblRegistros[Data],$L197)&gt;$D$4,"",IFERROR(INDEX(tblRegistros[Status],$L197),"")))</f>
        <v/>
      </c>
      <c r="K197" t="str">
        <f>IF($L197="","",IF(INDEX(tblRegistros[Data],$L197)&gt;$D$4,"",IFERROR(INDEX(tblRegistros[Observação],$L197),"")))</f>
        <v/>
      </c>
      <c r="L197" s="16" t="str">
        <f>IFERROR(MATCH($B$3*100000+COUNTIFS(tblRegistros[ID],$B$3,tblRegistros[Data],"&lt;"&amp;$B$4)+ROWS($L$10:L197),tblRegistros[Chave do cartão],0),"")</f>
        <v/>
      </c>
    </row>
    <row r="198" spans="1:12">
      <c r="A198" s="2" t="str">
        <f>IF($L198="","",IF(INDEX(tblRegistros[Data],$L198)&gt;$D$4,"",IFERROR(INDEX(tblRegistros[Data],$L198),"")))</f>
        <v/>
      </c>
      <c r="B198" t="str">
        <f>IF($L198="","",IF(INDEX(tblRegistros[Data],$L198)&gt;$D$4,"",IFERROR(INDEX(tblRegistros[Projeto],$L198),"")))</f>
        <v/>
      </c>
      <c r="C198" t="str">
        <f>IF($L198="","",IF(INDEX(tblRegistros[Data],$L198)&gt;$D$4,"",IFERROR(INDEX(tblRegistros[Atividade],$L198),"")))</f>
        <v/>
      </c>
      <c r="D198" s="4" t="str">
        <f>IF($L198="","",IF(INDEX(tblRegistros[Data],$L198)&gt;$D$4,"",IFERROR(INDEX(tblRegistros[Início],$L198),"")))</f>
        <v/>
      </c>
      <c r="E198" s="4" t="str">
        <f>IF($L198="","",IF(INDEX(tblRegistros[Data],$L198)&gt;$D$4,"",IFERROR(IF(INDEX(tblRegistros[Status],$L198)="EM ABERTO","",INDEX(tblRegistros[Fim],$L198)),"")))</f>
        <v/>
      </c>
      <c r="F198" s="14" t="str">
        <f>IF($L198="","",IF(INDEX(tblRegistros[Data],$L198)&gt;$D$4,"",IFERROR(IF(INDEX(tblRegistros[Status],$L198)="EM ABERTO","",INDEX(tblRegistros[Horas],$L198)),"")))</f>
        <v/>
      </c>
      <c r="G198" t="str">
        <f>IF($L198="","",IF(INDEX(tblRegistros[Data],$L198)&gt;$D$4,"",IFERROR(INDEX(tblRegistros[Base],$L198),"")))</f>
        <v/>
      </c>
      <c r="H198" s="3" t="str">
        <f>IF($L198="","",IF(INDEX(tblRegistros[Data],$L198)&gt;$D$4,"",IFERROR(INDEX(tblRegistros[Taxa aplicada],$L198),"")))</f>
        <v/>
      </c>
      <c r="I198" s="3" t="str">
        <f>IF($L198="","",IF(INDEX(tblRegistros[Data],$L198)&gt;$D$4,"",IFERROR(IF(INDEX(tblRegistros[Status],$L198)="EM ABERTO","",INDEX(tblRegistros[Valor],$L198)),"")))</f>
        <v/>
      </c>
      <c r="J198" t="str">
        <f>IF($L198="","",IF(INDEX(tblRegistros[Data],$L198)&gt;$D$4,"",IFERROR(INDEX(tblRegistros[Status],$L198),"")))</f>
        <v/>
      </c>
      <c r="K198" t="str">
        <f>IF($L198="","",IF(INDEX(tblRegistros[Data],$L198)&gt;$D$4,"",IFERROR(INDEX(tblRegistros[Observação],$L198),"")))</f>
        <v/>
      </c>
      <c r="L198" s="16" t="str">
        <f>IFERROR(MATCH($B$3*100000+COUNTIFS(tblRegistros[ID],$B$3,tblRegistros[Data],"&lt;"&amp;$B$4)+ROWS($L$10:L198),tblRegistros[Chave do cartão],0),"")</f>
        <v/>
      </c>
    </row>
    <row r="199" spans="1:12">
      <c r="A199" s="2" t="str">
        <f>IF($L199="","",IF(INDEX(tblRegistros[Data],$L199)&gt;$D$4,"",IFERROR(INDEX(tblRegistros[Data],$L199),"")))</f>
        <v/>
      </c>
      <c r="B199" t="str">
        <f>IF($L199="","",IF(INDEX(tblRegistros[Data],$L199)&gt;$D$4,"",IFERROR(INDEX(tblRegistros[Projeto],$L199),"")))</f>
        <v/>
      </c>
      <c r="C199" t="str">
        <f>IF($L199="","",IF(INDEX(tblRegistros[Data],$L199)&gt;$D$4,"",IFERROR(INDEX(tblRegistros[Atividade],$L199),"")))</f>
        <v/>
      </c>
      <c r="D199" s="4" t="str">
        <f>IF($L199="","",IF(INDEX(tblRegistros[Data],$L199)&gt;$D$4,"",IFERROR(INDEX(tblRegistros[Início],$L199),"")))</f>
        <v/>
      </c>
      <c r="E199" s="4" t="str">
        <f>IF($L199="","",IF(INDEX(tblRegistros[Data],$L199)&gt;$D$4,"",IFERROR(IF(INDEX(tblRegistros[Status],$L199)="EM ABERTO","",INDEX(tblRegistros[Fim],$L199)),"")))</f>
        <v/>
      </c>
      <c r="F199" s="14" t="str">
        <f>IF($L199="","",IF(INDEX(tblRegistros[Data],$L199)&gt;$D$4,"",IFERROR(IF(INDEX(tblRegistros[Status],$L199)="EM ABERTO","",INDEX(tblRegistros[Horas],$L199)),"")))</f>
        <v/>
      </c>
      <c r="G199" t="str">
        <f>IF($L199="","",IF(INDEX(tblRegistros[Data],$L199)&gt;$D$4,"",IFERROR(INDEX(tblRegistros[Base],$L199),"")))</f>
        <v/>
      </c>
      <c r="H199" s="3" t="str">
        <f>IF($L199="","",IF(INDEX(tblRegistros[Data],$L199)&gt;$D$4,"",IFERROR(INDEX(tblRegistros[Taxa aplicada],$L199),"")))</f>
        <v/>
      </c>
      <c r="I199" s="3" t="str">
        <f>IF($L199="","",IF(INDEX(tblRegistros[Data],$L199)&gt;$D$4,"",IFERROR(IF(INDEX(tblRegistros[Status],$L199)="EM ABERTO","",INDEX(tblRegistros[Valor],$L199)),"")))</f>
        <v/>
      </c>
      <c r="J199" t="str">
        <f>IF($L199="","",IF(INDEX(tblRegistros[Data],$L199)&gt;$D$4,"",IFERROR(INDEX(tblRegistros[Status],$L199),"")))</f>
        <v/>
      </c>
      <c r="K199" t="str">
        <f>IF($L199="","",IF(INDEX(tblRegistros[Data],$L199)&gt;$D$4,"",IFERROR(INDEX(tblRegistros[Observação],$L199),"")))</f>
        <v/>
      </c>
      <c r="L199" s="16" t="str">
        <f>IFERROR(MATCH($B$3*100000+COUNTIFS(tblRegistros[ID],$B$3,tblRegistros[Data],"&lt;"&amp;$B$4)+ROWS($L$10:L199),tblRegistros[Chave do cartão],0),"")</f>
        <v/>
      </c>
    </row>
    <row r="200" spans="1:12">
      <c r="A200" s="2" t="str">
        <f>IF($L200="","",IF(INDEX(tblRegistros[Data],$L200)&gt;$D$4,"",IFERROR(INDEX(tblRegistros[Data],$L200),"")))</f>
        <v/>
      </c>
      <c r="B200" t="str">
        <f>IF($L200="","",IF(INDEX(tblRegistros[Data],$L200)&gt;$D$4,"",IFERROR(INDEX(tblRegistros[Projeto],$L200),"")))</f>
        <v/>
      </c>
      <c r="C200" t="str">
        <f>IF($L200="","",IF(INDEX(tblRegistros[Data],$L200)&gt;$D$4,"",IFERROR(INDEX(tblRegistros[Atividade],$L200),"")))</f>
        <v/>
      </c>
      <c r="D200" s="4" t="str">
        <f>IF($L200="","",IF(INDEX(tblRegistros[Data],$L200)&gt;$D$4,"",IFERROR(INDEX(tblRegistros[Início],$L200),"")))</f>
        <v/>
      </c>
      <c r="E200" s="4" t="str">
        <f>IF($L200="","",IF(INDEX(tblRegistros[Data],$L200)&gt;$D$4,"",IFERROR(IF(INDEX(tblRegistros[Status],$L200)="EM ABERTO","",INDEX(tblRegistros[Fim],$L200)),"")))</f>
        <v/>
      </c>
      <c r="F200" s="14" t="str">
        <f>IF($L200="","",IF(INDEX(tblRegistros[Data],$L200)&gt;$D$4,"",IFERROR(IF(INDEX(tblRegistros[Status],$L200)="EM ABERTO","",INDEX(tblRegistros[Horas],$L200)),"")))</f>
        <v/>
      </c>
      <c r="G200" t="str">
        <f>IF($L200="","",IF(INDEX(tblRegistros[Data],$L200)&gt;$D$4,"",IFERROR(INDEX(tblRegistros[Base],$L200),"")))</f>
        <v/>
      </c>
      <c r="H200" s="3" t="str">
        <f>IF($L200="","",IF(INDEX(tblRegistros[Data],$L200)&gt;$D$4,"",IFERROR(INDEX(tblRegistros[Taxa aplicada],$L200),"")))</f>
        <v/>
      </c>
      <c r="I200" s="3" t="str">
        <f>IF($L200="","",IF(INDEX(tblRegistros[Data],$L200)&gt;$D$4,"",IFERROR(IF(INDEX(tblRegistros[Status],$L200)="EM ABERTO","",INDEX(tblRegistros[Valor],$L200)),"")))</f>
        <v/>
      </c>
      <c r="J200" t="str">
        <f>IF($L200="","",IF(INDEX(tblRegistros[Data],$L200)&gt;$D$4,"",IFERROR(INDEX(tblRegistros[Status],$L200),"")))</f>
        <v/>
      </c>
      <c r="K200" t="str">
        <f>IF($L200="","",IF(INDEX(tblRegistros[Data],$L200)&gt;$D$4,"",IFERROR(INDEX(tblRegistros[Observação],$L200),"")))</f>
        <v/>
      </c>
      <c r="L200" s="16" t="str">
        <f>IFERROR(MATCH($B$3*100000+COUNTIFS(tblRegistros[ID],$B$3,tblRegistros[Data],"&lt;"&amp;$B$4)+ROWS($L$10:L200),tblRegistros[Chave do cartão],0),"")</f>
        <v/>
      </c>
    </row>
    <row r="201" spans="1:12">
      <c r="A201" s="2" t="str">
        <f>IF($L201="","",IF(INDEX(tblRegistros[Data],$L201)&gt;$D$4,"",IFERROR(INDEX(tblRegistros[Data],$L201),"")))</f>
        <v/>
      </c>
      <c r="B201" t="str">
        <f>IF($L201="","",IF(INDEX(tblRegistros[Data],$L201)&gt;$D$4,"",IFERROR(INDEX(tblRegistros[Projeto],$L201),"")))</f>
        <v/>
      </c>
      <c r="C201" t="str">
        <f>IF($L201="","",IF(INDEX(tblRegistros[Data],$L201)&gt;$D$4,"",IFERROR(INDEX(tblRegistros[Atividade],$L201),"")))</f>
        <v/>
      </c>
      <c r="D201" s="4" t="str">
        <f>IF($L201="","",IF(INDEX(tblRegistros[Data],$L201)&gt;$D$4,"",IFERROR(INDEX(tblRegistros[Início],$L201),"")))</f>
        <v/>
      </c>
      <c r="E201" s="4" t="str">
        <f>IF($L201="","",IF(INDEX(tblRegistros[Data],$L201)&gt;$D$4,"",IFERROR(IF(INDEX(tblRegistros[Status],$L201)="EM ABERTO","",INDEX(tblRegistros[Fim],$L201)),"")))</f>
        <v/>
      </c>
      <c r="F201" s="14" t="str">
        <f>IF($L201="","",IF(INDEX(tblRegistros[Data],$L201)&gt;$D$4,"",IFERROR(IF(INDEX(tblRegistros[Status],$L201)="EM ABERTO","",INDEX(tblRegistros[Horas],$L201)),"")))</f>
        <v/>
      </c>
      <c r="G201" t="str">
        <f>IF($L201="","",IF(INDEX(tblRegistros[Data],$L201)&gt;$D$4,"",IFERROR(INDEX(tblRegistros[Base],$L201),"")))</f>
        <v/>
      </c>
      <c r="H201" s="3" t="str">
        <f>IF($L201="","",IF(INDEX(tblRegistros[Data],$L201)&gt;$D$4,"",IFERROR(INDEX(tblRegistros[Taxa aplicada],$L201),"")))</f>
        <v/>
      </c>
      <c r="I201" s="3" t="str">
        <f>IF($L201="","",IF(INDEX(tblRegistros[Data],$L201)&gt;$D$4,"",IFERROR(IF(INDEX(tblRegistros[Status],$L201)="EM ABERTO","",INDEX(tblRegistros[Valor],$L201)),"")))</f>
        <v/>
      </c>
      <c r="J201" t="str">
        <f>IF($L201="","",IF(INDEX(tblRegistros[Data],$L201)&gt;$D$4,"",IFERROR(INDEX(tblRegistros[Status],$L201),"")))</f>
        <v/>
      </c>
      <c r="K201" t="str">
        <f>IF($L201="","",IF(INDEX(tblRegistros[Data],$L201)&gt;$D$4,"",IFERROR(INDEX(tblRegistros[Observação],$L201),"")))</f>
        <v/>
      </c>
      <c r="L201" s="16" t="str">
        <f>IFERROR(MATCH($B$3*100000+COUNTIFS(tblRegistros[ID],$B$3,tblRegistros[Data],"&lt;"&amp;$B$4)+ROWS($L$10:L201),tblRegistros[Chave do cartão],0),"")</f>
        <v/>
      </c>
    </row>
    <row r="202" spans="1:12">
      <c r="A202" s="2" t="str">
        <f>IF($L202="","",IF(INDEX(tblRegistros[Data],$L202)&gt;$D$4,"",IFERROR(INDEX(tblRegistros[Data],$L202),"")))</f>
        <v/>
      </c>
      <c r="B202" t="str">
        <f>IF($L202="","",IF(INDEX(tblRegistros[Data],$L202)&gt;$D$4,"",IFERROR(INDEX(tblRegistros[Projeto],$L202),"")))</f>
        <v/>
      </c>
      <c r="C202" t="str">
        <f>IF($L202="","",IF(INDEX(tblRegistros[Data],$L202)&gt;$D$4,"",IFERROR(INDEX(tblRegistros[Atividade],$L202),"")))</f>
        <v/>
      </c>
      <c r="D202" s="4" t="str">
        <f>IF($L202="","",IF(INDEX(tblRegistros[Data],$L202)&gt;$D$4,"",IFERROR(INDEX(tblRegistros[Início],$L202),"")))</f>
        <v/>
      </c>
      <c r="E202" s="4" t="str">
        <f>IF($L202="","",IF(INDEX(tblRegistros[Data],$L202)&gt;$D$4,"",IFERROR(IF(INDEX(tblRegistros[Status],$L202)="EM ABERTO","",INDEX(tblRegistros[Fim],$L202)),"")))</f>
        <v/>
      </c>
      <c r="F202" s="14" t="str">
        <f>IF($L202="","",IF(INDEX(tblRegistros[Data],$L202)&gt;$D$4,"",IFERROR(IF(INDEX(tblRegistros[Status],$L202)="EM ABERTO","",INDEX(tblRegistros[Horas],$L202)),"")))</f>
        <v/>
      </c>
      <c r="G202" t="str">
        <f>IF($L202="","",IF(INDEX(tblRegistros[Data],$L202)&gt;$D$4,"",IFERROR(INDEX(tblRegistros[Base],$L202),"")))</f>
        <v/>
      </c>
      <c r="H202" s="3" t="str">
        <f>IF($L202="","",IF(INDEX(tblRegistros[Data],$L202)&gt;$D$4,"",IFERROR(INDEX(tblRegistros[Taxa aplicada],$L202),"")))</f>
        <v/>
      </c>
      <c r="I202" s="3" t="str">
        <f>IF($L202="","",IF(INDEX(tblRegistros[Data],$L202)&gt;$D$4,"",IFERROR(IF(INDEX(tblRegistros[Status],$L202)="EM ABERTO","",INDEX(tblRegistros[Valor],$L202)),"")))</f>
        <v/>
      </c>
      <c r="J202" t="str">
        <f>IF($L202="","",IF(INDEX(tblRegistros[Data],$L202)&gt;$D$4,"",IFERROR(INDEX(tblRegistros[Status],$L202),"")))</f>
        <v/>
      </c>
      <c r="K202" t="str">
        <f>IF($L202="","",IF(INDEX(tblRegistros[Data],$L202)&gt;$D$4,"",IFERROR(INDEX(tblRegistros[Observação],$L202),"")))</f>
        <v/>
      </c>
      <c r="L202" s="16" t="str">
        <f>IFERROR(MATCH($B$3*100000+COUNTIFS(tblRegistros[ID],$B$3,tblRegistros[Data],"&lt;"&amp;$B$4)+ROWS($L$10:L202),tblRegistros[Chave do cartão],0),"")</f>
        <v/>
      </c>
    </row>
    <row r="203" spans="1:12">
      <c r="A203" s="2" t="str">
        <f>IF($L203="","",IF(INDEX(tblRegistros[Data],$L203)&gt;$D$4,"",IFERROR(INDEX(tblRegistros[Data],$L203),"")))</f>
        <v/>
      </c>
      <c r="B203" t="str">
        <f>IF($L203="","",IF(INDEX(tblRegistros[Data],$L203)&gt;$D$4,"",IFERROR(INDEX(tblRegistros[Projeto],$L203),"")))</f>
        <v/>
      </c>
      <c r="C203" t="str">
        <f>IF($L203="","",IF(INDEX(tblRegistros[Data],$L203)&gt;$D$4,"",IFERROR(INDEX(tblRegistros[Atividade],$L203),"")))</f>
        <v/>
      </c>
      <c r="D203" s="4" t="str">
        <f>IF($L203="","",IF(INDEX(tblRegistros[Data],$L203)&gt;$D$4,"",IFERROR(INDEX(tblRegistros[Início],$L203),"")))</f>
        <v/>
      </c>
      <c r="E203" s="4" t="str">
        <f>IF($L203="","",IF(INDEX(tblRegistros[Data],$L203)&gt;$D$4,"",IFERROR(IF(INDEX(tblRegistros[Status],$L203)="EM ABERTO","",INDEX(tblRegistros[Fim],$L203)),"")))</f>
        <v/>
      </c>
      <c r="F203" s="14" t="str">
        <f>IF($L203="","",IF(INDEX(tblRegistros[Data],$L203)&gt;$D$4,"",IFERROR(IF(INDEX(tblRegistros[Status],$L203)="EM ABERTO","",INDEX(tblRegistros[Horas],$L203)),"")))</f>
        <v/>
      </c>
      <c r="G203" t="str">
        <f>IF($L203="","",IF(INDEX(tblRegistros[Data],$L203)&gt;$D$4,"",IFERROR(INDEX(tblRegistros[Base],$L203),"")))</f>
        <v/>
      </c>
      <c r="H203" s="3" t="str">
        <f>IF($L203="","",IF(INDEX(tblRegistros[Data],$L203)&gt;$D$4,"",IFERROR(INDEX(tblRegistros[Taxa aplicada],$L203),"")))</f>
        <v/>
      </c>
      <c r="I203" s="3" t="str">
        <f>IF($L203="","",IF(INDEX(tblRegistros[Data],$L203)&gt;$D$4,"",IFERROR(IF(INDEX(tblRegistros[Status],$L203)="EM ABERTO","",INDEX(tblRegistros[Valor],$L203)),"")))</f>
        <v/>
      </c>
      <c r="J203" t="str">
        <f>IF($L203="","",IF(INDEX(tblRegistros[Data],$L203)&gt;$D$4,"",IFERROR(INDEX(tblRegistros[Status],$L203),"")))</f>
        <v/>
      </c>
      <c r="K203" t="str">
        <f>IF($L203="","",IF(INDEX(tblRegistros[Data],$L203)&gt;$D$4,"",IFERROR(INDEX(tblRegistros[Observação],$L203),"")))</f>
        <v/>
      </c>
      <c r="L203" s="16" t="str">
        <f>IFERROR(MATCH($B$3*100000+COUNTIFS(tblRegistros[ID],$B$3,tblRegistros[Data],"&lt;"&amp;$B$4)+ROWS($L$10:L203),tblRegistros[Chave do cartão],0),"")</f>
        <v/>
      </c>
    </row>
    <row r="204" spans="1:12">
      <c r="A204" s="2" t="str">
        <f>IF($L204="","",IF(INDEX(tblRegistros[Data],$L204)&gt;$D$4,"",IFERROR(INDEX(tblRegistros[Data],$L204),"")))</f>
        <v/>
      </c>
      <c r="B204" t="str">
        <f>IF($L204="","",IF(INDEX(tblRegistros[Data],$L204)&gt;$D$4,"",IFERROR(INDEX(tblRegistros[Projeto],$L204),"")))</f>
        <v/>
      </c>
      <c r="C204" t="str">
        <f>IF($L204="","",IF(INDEX(tblRegistros[Data],$L204)&gt;$D$4,"",IFERROR(INDEX(tblRegistros[Atividade],$L204),"")))</f>
        <v/>
      </c>
      <c r="D204" s="4" t="str">
        <f>IF($L204="","",IF(INDEX(tblRegistros[Data],$L204)&gt;$D$4,"",IFERROR(INDEX(tblRegistros[Início],$L204),"")))</f>
        <v/>
      </c>
      <c r="E204" s="4" t="str">
        <f>IF($L204="","",IF(INDEX(tblRegistros[Data],$L204)&gt;$D$4,"",IFERROR(IF(INDEX(tblRegistros[Status],$L204)="EM ABERTO","",INDEX(tblRegistros[Fim],$L204)),"")))</f>
        <v/>
      </c>
      <c r="F204" s="14" t="str">
        <f>IF($L204="","",IF(INDEX(tblRegistros[Data],$L204)&gt;$D$4,"",IFERROR(IF(INDEX(tblRegistros[Status],$L204)="EM ABERTO","",INDEX(tblRegistros[Horas],$L204)),"")))</f>
        <v/>
      </c>
      <c r="G204" t="str">
        <f>IF($L204="","",IF(INDEX(tblRegistros[Data],$L204)&gt;$D$4,"",IFERROR(INDEX(tblRegistros[Base],$L204),"")))</f>
        <v/>
      </c>
      <c r="H204" s="3" t="str">
        <f>IF($L204="","",IF(INDEX(tblRegistros[Data],$L204)&gt;$D$4,"",IFERROR(INDEX(tblRegistros[Taxa aplicada],$L204),"")))</f>
        <v/>
      </c>
      <c r="I204" s="3" t="str">
        <f>IF($L204="","",IF(INDEX(tblRegistros[Data],$L204)&gt;$D$4,"",IFERROR(IF(INDEX(tblRegistros[Status],$L204)="EM ABERTO","",INDEX(tblRegistros[Valor],$L204)),"")))</f>
        <v/>
      </c>
      <c r="J204" t="str">
        <f>IF($L204="","",IF(INDEX(tblRegistros[Data],$L204)&gt;$D$4,"",IFERROR(INDEX(tblRegistros[Status],$L204),"")))</f>
        <v/>
      </c>
      <c r="K204" t="str">
        <f>IF($L204="","",IF(INDEX(tblRegistros[Data],$L204)&gt;$D$4,"",IFERROR(INDEX(tblRegistros[Observação],$L204),"")))</f>
        <v/>
      </c>
      <c r="L204" s="16" t="str">
        <f>IFERROR(MATCH($B$3*100000+COUNTIFS(tblRegistros[ID],$B$3,tblRegistros[Data],"&lt;"&amp;$B$4)+ROWS($L$10:L204),tblRegistros[Chave do cartão],0),"")</f>
        <v/>
      </c>
    </row>
    <row r="205" spans="1:12">
      <c r="A205" s="2" t="str">
        <f>IF($L205="","",IF(INDEX(tblRegistros[Data],$L205)&gt;$D$4,"",IFERROR(INDEX(tblRegistros[Data],$L205),"")))</f>
        <v/>
      </c>
      <c r="B205" t="str">
        <f>IF($L205="","",IF(INDEX(tblRegistros[Data],$L205)&gt;$D$4,"",IFERROR(INDEX(tblRegistros[Projeto],$L205),"")))</f>
        <v/>
      </c>
      <c r="C205" t="str">
        <f>IF($L205="","",IF(INDEX(tblRegistros[Data],$L205)&gt;$D$4,"",IFERROR(INDEX(tblRegistros[Atividade],$L205),"")))</f>
        <v/>
      </c>
      <c r="D205" s="4" t="str">
        <f>IF($L205="","",IF(INDEX(tblRegistros[Data],$L205)&gt;$D$4,"",IFERROR(INDEX(tblRegistros[Início],$L205),"")))</f>
        <v/>
      </c>
      <c r="E205" s="4" t="str">
        <f>IF($L205="","",IF(INDEX(tblRegistros[Data],$L205)&gt;$D$4,"",IFERROR(IF(INDEX(tblRegistros[Status],$L205)="EM ABERTO","",INDEX(tblRegistros[Fim],$L205)),"")))</f>
        <v/>
      </c>
      <c r="F205" s="14" t="str">
        <f>IF($L205="","",IF(INDEX(tblRegistros[Data],$L205)&gt;$D$4,"",IFERROR(IF(INDEX(tblRegistros[Status],$L205)="EM ABERTO","",INDEX(tblRegistros[Horas],$L205)),"")))</f>
        <v/>
      </c>
      <c r="G205" t="str">
        <f>IF($L205="","",IF(INDEX(tblRegistros[Data],$L205)&gt;$D$4,"",IFERROR(INDEX(tblRegistros[Base],$L205),"")))</f>
        <v/>
      </c>
      <c r="H205" s="3" t="str">
        <f>IF($L205="","",IF(INDEX(tblRegistros[Data],$L205)&gt;$D$4,"",IFERROR(INDEX(tblRegistros[Taxa aplicada],$L205),"")))</f>
        <v/>
      </c>
      <c r="I205" s="3" t="str">
        <f>IF($L205="","",IF(INDEX(tblRegistros[Data],$L205)&gt;$D$4,"",IFERROR(IF(INDEX(tblRegistros[Status],$L205)="EM ABERTO","",INDEX(tblRegistros[Valor],$L205)),"")))</f>
        <v/>
      </c>
      <c r="J205" t="str">
        <f>IF($L205="","",IF(INDEX(tblRegistros[Data],$L205)&gt;$D$4,"",IFERROR(INDEX(tblRegistros[Status],$L205),"")))</f>
        <v/>
      </c>
      <c r="K205" t="str">
        <f>IF($L205="","",IF(INDEX(tblRegistros[Data],$L205)&gt;$D$4,"",IFERROR(INDEX(tblRegistros[Observação],$L205),"")))</f>
        <v/>
      </c>
      <c r="L205" s="16" t="str">
        <f>IFERROR(MATCH($B$3*100000+COUNTIFS(tblRegistros[ID],$B$3,tblRegistros[Data],"&lt;"&amp;$B$4)+ROWS($L$10:L205),tblRegistros[Chave do cartão],0),"")</f>
        <v/>
      </c>
    </row>
    <row r="206" spans="1:12">
      <c r="A206" s="2" t="str">
        <f>IF($L206="","",IF(INDEX(tblRegistros[Data],$L206)&gt;$D$4,"",IFERROR(INDEX(tblRegistros[Data],$L206),"")))</f>
        <v/>
      </c>
      <c r="B206" t="str">
        <f>IF($L206="","",IF(INDEX(tblRegistros[Data],$L206)&gt;$D$4,"",IFERROR(INDEX(tblRegistros[Projeto],$L206),"")))</f>
        <v/>
      </c>
      <c r="C206" t="str">
        <f>IF($L206="","",IF(INDEX(tblRegistros[Data],$L206)&gt;$D$4,"",IFERROR(INDEX(tblRegistros[Atividade],$L206),"")))</f>
        <v/>
      </c>
      <c r="D206" s="4" t="str">
        <f>IF($L206="","",IF(INDEX(tblRegistros[Data],$L206)&gt;$D$4,"",IFERROR(INDEX(tblRegistros[Início],$L206),"")))</f>
        <v/>
      </c>
      <c r="E206" s="4" t="str">
        <f>IF($L206="","",IF(INDEX(tblRegistros[Data],$L206)&gt;$D$4,"",IFERROR(IF(INDEX(tblRegistros[Status],$L206)="EM ABERTO","",INDEX(tblRegistros[Fim],$L206)),"")))</f>
        <v/>
      </c>
      <c r="F206" s="14" t="str">
        <f>IF($L206="","",IF(INDEX(tblRegistros[Data],$L206)&gt;$D$4,"",IFERROR(IF(INDEX(tblRegistros[Status],$L206)="EM ABERTO","",INDEX(tblRegistros[Horas],$L206)),"")))</f>
        <v/>
      </c>
      <c r="G206" t="str">
        <f>IF($L206="","",IF(INDEX(tblRegistros[Data],$L206)&gt;$D$4,"",IFERROR(INDEX(tblRegistros[Base],$L206),"")))</f>
        <v/>
      </c>
      <c r="H206" s="3" t="str">
        <f>IF($L206="","",IF(INDEX(tblRegistros[Data],$L206)&gt;$D$4,"",IFERROR(INDEX(tblRegistros[Taxa aplicada],$L206),"")))</f>
        <v/>
      </c>
      <c r="I206" s="3" t="str">
        <f>IF($L206="","",IF(INDEX(tblRegistros[Data],$L206)&gt;$D$4,"",IFERROR(IF(INDEX(tblRegistros[Status],$L206)="EM ABERTO","",INDEX(tblRegistros[Valor],$L206)),"")))</f>
        <v/>
      </c>
      <c r="J206" t="str">
        <f>IF($L206="","",IF(INDEX(tblRegistros[Data],$L206)&gt;$D$4,"",IFERROR(INDEX(tblRegistros[Status],$L206),"")))</f>
        <v/>
      </c>
      <c r="K206" t="str">
        <f>IF($L206="","",IF(INDEX(tblRegistros[Data],$L206)&gt;$D$4,"",IFERROR(INDEX(tblRegistros[Observação],$L206),"")))</f>
        <v/>
      </c>
      <c r="L206" s="16" t="str">
        <f>IFERROR(MATCH($B$3*100000+COUNTIFS(tblRegistros[ID],$B$3,tblRegistros[Data],"&lt;"&amp;$B$4)+ROWS($L$10:L206),tblRegistros[Chave do cartão],0),"")</f>
        <v/>
      </c>
    </row>
    <row r="207" spans="1:12">
      <c r="A207" s="2" t="str">
        <f>IF($L207="","",IF(INDEX(tblRegistros[Data],$L207)&gt;$D$4,"",IFERROR(INDEX(tblRegistros[Data],$L207),"")))</f>
        <v/>
      </c>
      <c r="B207" t="str">
        <f>IF($L207="","",IF(INDEX(tblRegistros[Data],$L207)&gt;$D$4,"",IFERROR(INDEX(tblRegistros[Projeto],$L207),"")))</f>
        <v/>
      </c>
      <c r="C207" t="str">
        <f>IF($L207="","",IF(INDEX(tblRegistros[Data],$L207)&gt;$D$4,"",IFERROR(INDEX(tblRegistros[Atividade],$L207),"")))</f>
        <v/>
      </c>
      <c r="D207" s="4" t="str">
        <f>IF($L207="","",IF(INDEX(tblRegistros[Data],$L207)&gt;$D$4,"",IFERROR(INDEX(tblRegistros[Início],$L207),"")))</f>
        <v/>
      </c>
      <c r="E207" s="4" t="str">
        <f>IF($L207="","",IF(INDEX(tblRegistros[Data],$L207)&gt;$D$4,"",IFERROR(IF(INDEX(tblRegistros[Status],$L207)="EM ABERTO","",INDEX(tblRegistros[Fim],$L207)),"")))</f>
        <v/>
      </c>
      <c r="F207" s="14" t="str">
        <f>IF($L207="","",IF(INDEX(tblRegistros[Data],$L207)&gt;$D$4,"",IFERROR(IF(INDEX(tblRegistros[Status],$L207)="EM ABERTO","",INDEX(tblRegistros[Horas],$L207)),"")))</f>
        <v/>
      </c>
      <c r="G207" t="str">
        <f>IF($L207="","",IF(INDEX(tblRegistros[Data],$L207)&gt;$D$4,"",IFERROR(INDEX(tblRegistros[Base],$L207),"")))</f>
        <v/>
      </c>
      <c r="H207" s="3" t="str">
        <f>IF($L207="","",IF(INDEX(tblRegistros[Data],$L207)&gt;$D$4,"",IFERROR(INDEX(tblRegistros[Taxa aplicada],$L207),"")))</f>
        <v/>
      </c>
      <c r="I207" s="3" t="str">
        <f>IF($L207="","",IF(INDEX(tblRegistros[Data],$L207)&gt;$D$4,"",IFERROR(IF(INDEX(tblRegistros[Status],$L207)="EM ABERTO","",INDEX(tblRegistros[Valor],$L207)),"")))</f>
        <v/>
      </c>
      <c r="J207" t="str">
        <f>IF($L207="","",IF(INDEX(tblRegistros[Data],$L207)&gt;$D$4,"",IFERROR(INDEX(tblRegistros[Status],$L207),"")))</f>
        <v/>
      </c>
      <c r="K207" t="str">
        <f>IF($L207="","",IF(INDEX(tblRegistros[Data],$L207)&gt;$D$4,"",IFERROR(INDEX(tblRegistros[Observação],$L207),"")))</f>
        <v/>
      </c>
      <c r="L207" s="16" t="str">
        <f>IFERROR(MATCH($B$3*100000+COUNTIFS(tblRegistros[ID],$B$3,tblRegistros[Data],"&lt;"&amp;$B$4)+ROWS($L$10:L207),tblRegistros[Chave do cartão],0),"")</f>
        <v/>
      </c>
    </row>
    <row r="208" spans="1:12">
      <c r="A208" s="2" t="str">
        <f>IF($L208="","",IF(INDEX(tblRegistros[Data],$L208)&gt;$D$4,"",IFERROR(INDEX(tblRegistros[Data],$L208),"")))</f>
        <v/>
      </c>
      <c r="B208" t="str">
        <f>IF($L208="","",IF(INDEX(tblRegistros[Data],$L208)&gt;$D$4,"",IFERROR(INDEX(tblRegistros[Projeto],$L208),"")))</f>
        <v/>
      </c>
      <c r="C208" t="str">
        <f>IF($L208="","",IF(INDEX(tblRegistros[Data],$L208)&gt;$D$4,"",IFERROR(INDEX(tblRegistros[Atividade],$L208),"")))</f>
        <v/>
      </c>
      <c r="D208" s="4" t="str">
        <f>IF($L208="","",IF(INDEX(tblRegistros[Data],$L208)&gt;$D$4,"",IFERROR(INDEX(tblRegistros[Início],$L208),"")))</f>
        <v/>
      </c>
      <c r="E208" s="4" t="str">
        <f>IF($L208="","",IF(INDEX(tblRegistros[Data],$L208)&gt;$D$4,"",IFERROR(IF(INDEX(tblRegistros[Status],$L208)="EM ABERTO","",INDEX(tblRegistros[Fim],$L208)),"")))</f>
        <v/>
      </c>
      <c r="F208" s="14" t="str">
        <f>IF($L208="","",IF(INDEX(tblRegistros[Data],$L208)&gt;$D$4,"",IFERROR(IF(INDEX(tblRegistros[Status],$L208)="EM ABERTO","",INDEX(tblRegistros[Horas],$L208)),"")))</f>
        <v/>
      </c>
      <c r="G208" t="str">
        <f>IF($L208="","",IF(INDEX(tblRegistros[Data],$L208)&gt;$D$4,"",IFERROR(INDEX(tblRegistros[Base],$L208),"")))</f>
        <v/>
      </c>
      <c r="H208" s="3" t="str">
        <f>IF($L208="","",IF(INDEX(tblRegistros[Data],$L208)&gt;$D$4,"",IFERROR(INDEX(tblRegistros[Taxa aplicada],$L208),"")))</f>
        <v/>
      </c>
      <c r="I208" s="3" t="str">
        <f>IF($L208="","",IF(INDEX(tblRegistros[Data],$L208)&gt;$D$4,"",IFERROR(IF(INDEX(tblRegistros[Status],$L208)="EM ABERTO","",INDEX(tblRegistros[Valor],$L208)),"")))</f>
        <v/>
      </c>
      <c r="J208" t="str">
        <f>IF($L208="","",IF(INDEX(tblRegistros[Data],$L208)&gt;$D$4,"",IFERROR(INDEX(tblRegistros[Status],$L208),"")))</f>
        <v/>
      </c>
      <c r="K208" t="str">
        <f>IF($L208="","",IF(INDEX(tblRegistros[Data],$L208)&gt;$D$4,"",IFERROR(INDEX(tblRegistros[Observação],$L208),"")))</f>
        <v/>
      </c>
      <c r="L208" s="16" t="str">
        <f>IFERROR(MATCH($B$3*100000+COUNTIFS(tblRegistros[ID],$B$3,tblRegistros[Data],"&lt;"&amp;$B$4)+ROWS($L$10:L208),tblRegistros[Chave do cartão],0),"")</f>
        <v/>
      </c>
    </row>
    <row r="209" spans="1:12">
      <c r="A209" s="2" t="str">
        <f>IF($L209="","",IF(INDEX(tblRegistros[Data],$L209)&gt;$D$4,"",IFERROR(INDEX(tblRegistros[Data],$L209),"")))</f>
        <v/>
      </c>
      <c r="B209" t="str">
        <f>IF($L209="","",IF(INDEX(tblRegistros[Data],$L209)&gt;$D$4,"",IFERROR(INDEX(tblRegistros[Projeto],$L209),"")))</f>
        <v/>
      </c>
      <c r="C209" t="str">
        <f>IF($L209="","",IF(INDEX(tblRegistros[Data],$L209)&gt;$D$4,"",IFERROR(INDEX(tblRegistros[Atividade],$L209),"")))</f>
        <v/>
      </c>
      <c r="D209" s="4" t="str">
        <f>IF($L209="","",IF(INDEX(tblRegistros[Data],$L209)&gt;$D$4,"",IFERROR(INDEX(tblRegistros[Início],$L209),"")))</f>
        <v/>
      </c>
      <c r="E209" s="4" t="str">
        <f>IF($L209="","",IF(INDEX(tblRegistros[Data],$L209)&gt;$D$4,"",IFERROR(IF(INDEX(tblRegistros[Status],$L209)="EM ABERTO","",INDEX(tblRegistros[Fim],$L209)),"")))</f>
        <v/>
      </c>
      <c r="F209" s="14" t="str">
        <f>IF($L209="","",IF(INDEX(tblRegistros[Data],$L209)&gt;$D$4,"",IFERROR(IF(INDEX(tblRegistros[Status],$L209)="EM ABERTO","",INDEX(tblRegistros[Horas],$L209)),"")))</f>
        <v/>
      </c>
      <c r="G209" t="str">
        <f>IF($L209="","",IF(INDEX(tblRegistros[Data],$L209)&gt;$D$4,"",IFERROR(INDEX(tblRegistros[Base],$L209),"")))</f>
        <v/>
      </c>
      <c r="H209" s="3" t="str">
        <f>IF($L209="","",IF(INDEX(tblRegistros[Data],$L209)&gt;$D$4,"",IFERROR(INDEX(tblRegistros[Taxa aplicada],$L209),"")))</f>
        <v/>
      </c>
      <c r="I209" s="3" t="str">
        <f>IF($L209="","",IF(INDEX(tblRegistros[Data],$L209)&gt;$D$4,"",IFERROR(IF(INDEX(tblRegistros[Status],$L209)="EM ABERTO","",INDEX(tblRegistros[Valor],$L209)),"")))</f>
        <v/>
      </c>
      <c r="J209" t="str">
        <f>IF($L209="","",IF(INDEX(tblRegistros[Data],$L209)&gt;$D$4,"",IFERROR(INDEX(tblRegistros[Status],$L209),"")))</f>
        <v/>
      </c>
      <c r="K209" t="str">
        <f>IF($L209="","",IF(INDEX(tblRegistros[Data],$L209)&gt;$D$4,"",IFERROR(INDEX(tblRegistros[Observação],$L209),"")))</f>
        <v/>
      </c>
      <c r="L209" s="16" t="str">
        <f>IFERROR(MATCH($B$3*100000+COUNTIFS(tblRegistros[ID],$B$3,tblRegistros[Data],"&lt;"&amp;$B$4)+ROWS($L$10:L209),tblRegistros[Chave do cartão],0),"")</f>
        <v/>
      </c>
    </row>
    <row r="210" spans="1:12">
      <c r="A210" s="2" t="str">
        <f>IF($L210="","",IF(INDEX(tblRegistros[Data],$L210)&gt;$D$4,"",IFERROR(INDEX(tblRegistros[Data],$L210),"")))</f>
        <v/>
      </c>
      <c r="B210" t="str">
        <f>IF($L210="","",IF(INDEX(tblRegistros[Data],$L210)&gt;$D$4,"",IFERROR(INDEX(tblRegistros[Projeto],$L210),"")))</f>
        <v/>
      </c>
      <c r="C210" t="str">
        <f>IF($L210="","",IF(INDEX(tblRegistros[Data],$L210)&gt;$D$4,"",IFERROR(INDEX(tblRegistros[Atividade],$L210),"")))</f>
        <v/>
      </c>
      <c r="D210" s="4" t="str">
        <f>IF($L210="","",IF(INDEX(tblRegistros[Data],$L210)&gt;$D$4,"",IFERROR(INDEX(tblRegistros[Início],$L210),"")))</f>
        <v/>
      </c>
      <c r="E210" s="4" t="str">
        <f>IF($L210="","",IF(INDEX(tblRegistros[Data],$L210)&gt;$D$4,"",IFERROR(IF(INDEX(tblRegistros[Status],$L210)="EM ABERTO","",INDEX(tblRegistros[Fim],$L210)),"")))</f>
        <v/>
      </c>
      <c r="F210" s="14" t="str">
        <f>IF($L210="","",IF(INDEX(tblRegistros[Data],$L210)&gt;$D$4,"",IFERROR(IF(INDEX(tblRegistros[Status],$L210)="EM ABERTO","",INDEX(tblRegistros[Horas],$L210)),"")))</f>
        <v/>
      </c>
      <c r="G210" t="str">
        <f>IF($L210="","",IF(INDEX(tblRegistros[Data],$L210)&gt;$D$4,"",IFERROR(INDEX(tblRegistros[Base],$L210),"")))</f>
        <v/>
      </c>
      <c r="H210" s="3" t="str">
        <f>IF($L210="","",IF(INDEX(tblRegistros[Data],$L210)&gt;$D$4,"",IFERROR(INDEX(tblRegistros[Taxa aplicada],$L210),"")))</f>
        <v/>
      </c>
      <c r="I210" s="3" t="str">
        <f>IF($L210="","",IF(INDEX(tblRegistros[Data],$L210)&gt;$D$4,"",IFERROR(IF(INDEX(tblRegistros[Status],$L210)="EM ABERTO","",INDEX(tblRegistros[Valor],$L210)),"")))</f>
        <v/>
      </c>
      <c r="J210" t="str">
        <f>IF($L210="","",IF(INDEX(tblRegistros[Data],$L210)&gt;$D$4,"",IFERROR(INDEX(tblRegistros[Status],$L210),"")))</f>
        <v/>
      </c>
      <c r="K210" t="str">
        <f>IF($L210="","",IF(INDEX(tblRegistros[Data],$L210)&gt;$D$4,"",IFERROR(INDEX(tblRegistros[Observação],$L210),"")))</f>
        <v/>
      </c>
      <c r="L210" s="16" t="str">
        <f>IFERROR(MATCH($B$3*100000+COUNTIFS(tblRegistros[ID],$B$3,tblRegistros[Data],"&lt;"&amp;$B$4)+ROWS($L$10:L210),tblRegistros[Chave do cartão],0),"")</f>
        <v/>
      </c>
    </row>
    <row r="211" spans="1:12">
      <c r="A211" s="2" t="str">
        <f>IF($L211="","",IF(INDEX(tblRegistros[Data],$L211)&gt;$D$4,"",IFERROR(INDEX(tblRegistros[Data],$L211),"")))</f>
        <v/>
      </c>
      <c r="B211" t="str">
        <f>IF($L211="","",IF(INDEX(tblRegistros[Data],$L211)&gt;$D$4,"",IFERROR(INDEX(tblRegistros[Projeto],$L211),"")))</f>
        <v/>
      </c>
      <c r="C211" t="str">
        <f>IF($L211="","",IF(INDEX(tblRegistros[Data],$L211)&gt;$D$4,"",IFERROR(INDEX(tblRegistros[Atividade],$L211),"")))</f>
        <v/>
      </c>
      <c r="D211" s="4" t="str">
        <f>IF($L211="","",IF(INDEX(tblRegistros[Data],$L211)&gt;$D$4,"",IFERROR(INDEX(tblRegistros[Início],$L211),"")))</f>
        <v/>
      </c>
      <c r="E211" s="4" t="str">
        <f>IF($L211="","",IF(INDEX(tblRegistros[Data],$L211)&gt;$D$4,"",IFERROR(IF(INDEX(tblRegistros[Status],$L211)="EM ABERTO","",INDEX(tblRegistros[Fim],$L211)),"")))</f>
        <v/>
      </c>
      <c r="F211" s="14" t="str">
        <f>IF($L211="","",IF(INDEX(tblRegistros[Data],$L211)&gt;$D$4,"",IFERROR(IF(INDEX(tblRegistros[Status],$L211)="EM ABERTO","",INDEX(tblRegistros[Horas],$L211)),"")))</f>
        <v/>
      </c>
      <c r="G211" t="str">
        <f>IF($L211="","",IF(INDEX(tblRegistros[Data],$L211)&gt;$D$4,"",IFERROR(INDEX(tblRegistros[Base],$L211),"")))</f>
        <v/>
      </c>
      <c r="H211" s="3" t="str">
        <f>IF($L211="","",IF(INDEX(tblRegistros[Data],$L211)&gt;$D$4,"",IFERROR(INDEX(tblRegistros[Taxa aplicada],$L211),"")))</f>
        <v/>
      </c>
      <c r="I211" s="3" t="str">
        <f>IF($L211="","",IF(INDEX(tblRegistros[Data],$L211)&gt;$D$4,"",IFERROR(IF(INDEX(tblRegistros[Status],$L211)="EM ABERTO","",INDEX(tblRegistros[Valor],$L211)),"")))</f>
        <v/>
      </c>
      <c r="J211" t="str">
        <f>IF($L211="","",IF(INDEX(tblRegistros[Data],$L211)&gt;$D$4,"",IFERROR(INDEX(tblRegistros[Status],$L211),"")))</f>
        <v/>
      </c>
      <c r="K211" t="str">
        <f>IF($L211="","",IF(INDEX(tblRegistros[Data],$L211)&gt;$D$4,"",IFERROR(INDEX(tblRegistros[Observação],$L211),"")))</f>
        <v/>
      </c>
      <c r="L211" s="16" t="str">
        <f>IFERROR(MATCH($B$3*100000+COUNTIFS(tblRegistros[ID],$B$3,tblRegistros[Data],"&lt;"&amp;$B$4)+ROWS($L$10:L211),tblRegistros[Chave do cartão],0),"")</f>
        <v/>
      </c>
    </row>
    <row r="212" spans="1:12">
      <c r="A212" s="2" t="str">
        <f>IF($L212="","",IF(INDEX(tblRegistros[Data],$L212)&gt;$D$4,"",IFERROR(INDEX(tblRegistros[Data],$L212),"")))</f>
        <v/>
      </c>
      <c r="B212" t="str">
        <f>IF($L212="","",IF(INDEX(tblRegistros[Data],$L212)&gt;$D$4,"",IFERROR(INDEX(tblRegistros[Projeto],$L212),"")))</f>
        <v/>
      </c>
      <c r="C212" t="str">
        <f>IF($L212="","",IF(INDEX(tblRegistros[Data],$L212)&gt;$D$4,"",IFERROR(INDEX(tblRegistros[Atividade],$L212),"")))</f>
        <v/>
      </c>
      <c r="D212" s="4" t="str">
        <f>IF($L212="","",IF(INDEX(tblRegistros[Data],$L212)&gt;$D$4,"",IFERROR(INDEX(tblRegistros[Início],$L212),"")))</f>
        <v/>
      </c>
      <c r="E212" s="4" t="str">
        <f>IF($L212="","",IF(INDEX(tblRegistros[Data],$L212)&gt;$D$4,"",IFERROR(IF(INDEX(tblRegistros[Status],$L212)="EM ABERTO","",INDEX(tblRegistros[Fim],$L212)),"")))</f>
        <v/>
      </c>
      <c r="F212" s="14" t="str">
        <f>IF($L212="","",IF(INDEX(tblRegistros[Data],$L212)&gt;$D$4,"",IFERROR(IF(INDEX(tblRegistros[Status],$L212)="EM ABERTO","",INDEX(tblRegistros[Horas],$L212)),"")))</f>
        <v/>
      </c>
      <c r="G212" t="str">
        <f>IF($L212="","",IF(INDEX(tblRegistros[Data],$L212)&gt;$D$4,"",IFERROR(INDEX(tblRegistros[Base],$L212),"")))</f>
        <v/>
      </c>
      <c r="H212" s="3" t="str">
        <f>IF($L212="","",IF(INDEX(tblRegistros[Data],$L212)&gt;$D$4,"",IFERROR(INDEX(tblRegistros[Taxa aplicada],$L212),"")))</f>
        <v/>
      </c>
      <c r="I212" s="3" t="str">
        <f>IF($L212="","",IF(INDEX(tblRegistros[Data],$L212)&gt;$D$4,"",IFERROR(IF(INDEX(tblRegistros[Status],$L212)="EM ABERTO","",INDEX(tblRegistros[Valor],$L212)),"")))</f>
        <v/>
      </c>
      <c r="J212" t="str">
        <f>IF($L212="","",IF(INDEX(tblRegistros[Data],$L212)&gt;$D$4,"",IFERROR(INDEX(tblRegistros[Status],$L212),"")))</f>
        <v/>
      </c>
      <c r="K212" t="str">
        <f>IF($L212="","",IF(INDEX(tblRegistros[Data],$L212)&gt;$D$4,"",IFERROR(INDEX(tblRegistros[Observação],$L212),"")))</f>
        <v/>
      </c>
      <c r="L212" s="16" t="str">
        <f>IFERROR(MATCH($B$3*100000+COUNTIFS(tblRegistros[ID],$B$3,tblRegistros[Data],"&lt;"&amp;$B$4)+ROWS($L$10:L212),tblRegistros[Chave do cartão],0),"")</f>
        <v/>
      </c>
    </row>
    <row r="213" spans="1:12">
      <c r="A213" s="2" t="str">
        <f>IF($L213="","",IF(INDEX(tblRegistros[Data],$L213)&gt;$D$4,"",IFERROR(INDEX(tblRegistros[Data],$L213),"")))</f>
        <v/>
      </c>
      <c r="B213" t="str">
        <f>IF($L213="","",IF(INDEX(tblRegistros[Data],$L213)&gt;$D$4,"",IFERROR(INDEX(tblRegistros[Projeto],$L213),"")))</f>
        <v/>
      </c>
      <c r="C213" t="str">
        <f>IF($L213="","",IF(INDEX(tblRegistros[Data],$L213)&gt;$D$4,"",IFERROR(INDEX(tblRegistros[Atividade],$L213),"")))</f>
        <v/>
      </c>
      <c r="D213" s="4" t="str">
        <f>IF($L213="","",IF(INDEX(tblRegistros[Data],$L213)&gt;$D$4,"",IFERROR(INDEX(tblRegistros[Início],$L213),"")))</f>
        <v/>
      </c>
      <c r="E213" s="4" t="str">
        <f>IF($L213="","",IF(INDEX(tblRegistros[Data],$L213)&gt;$D$4,"",IFERROR(IF(INDEX(tblRegistros[Status],$L213)="EM ABERTO","",INDEX(tblRegistros[Fim],$L213)),"")))</f>
        <v/>
      </c>
      <c r="F213" s="14" t="str">
        <f>IF($L213="","",IF(INDEX(tblRegistros[Data],$L213)&gt;$D$4,"",IFERROR(IF(INDEX(tblRegistros[Status],$L213)="EM ABERTO","",INDEX(tblRegistros[Horas],$L213)),"")))</f>
        <v/>
      </c>
      <c r="G213" t="str">
        <f>IF($L213="","",IF(INDEX(tblRegistros[Data],$L213)&gt;$D$4,"",IFERROR(INDEX(tblRegistros[Base],$L213),"")))</f>
        <v/>
      </c>
      <c r="H213" s="3" t="str">
        <f>IF($L213="","",IF(INDEX(tblRegistros[Data],$L213)&gt;$D$4,"",IFERROR(INDEX(tblRegistros[Taxa aplicada],$L213),"")))</f>
        <v/>
      </c>
      <c r="I213" s="3" t="str">
        <f>IF($L213="","",IF(INDEX(tblRegistros[Data],$L213)&gt;$D$4,"",IFERROR(IF(INDEX(tblRegistros[Status],$L213)="EM ABERTO","",INDEX(tblRegistros[Valor],$L213)),"")))</f>
        <v/>
      </c>
      <c r="J213" t="str">
        <f>IF($L213="","",IF(INDEX(tblRegistros[Data],$L213)&gt;$D$4,"",IFERROR(INDEX(tblRegistros[Status],$L213),"")))</f>
        <v/>
      </c>
      <c r="K213" t="str">
        <f>IF($L213="","",IF(INDEX(tblRegistros[Data],$L213)&gt;$D$4,"",IFERROR(INDEX(tblRegistros[Observação],$L213),"")))</f>
        <v/>
      </c>
      <c r="L213" s="16" t="str">
        <f>IFERROR(MATCH($B$3*100000+COUNTIFS(tblRegistros[ID],$B$3,tblRegistros[Data],"&lt;"&amp;$B$4)+ROWS($L$10:L213),tblRegistros[Chave do cartão],0),"")</f>
        <v/>
      </c>
    </row>
    <row r="214" spans="1:12">
      <c r="A214" s="2" t="str">
        <f>IF($L214="","",IF(INDEX(tblRegistros[Data],$L214)&gt;$D$4,"",IFERROR(INDEX(tblRegistros[Data],$L214),"")))</f>
        <v/>
      </c>
      <c r="B214" t="str">
        <f>IF($L214="","",IF(INDEX(tblRegistros[Data],$L214)&gt;$D$4,"",IFERROR(INDEX(tblRegistros[Projeto],$L214),"")))</f>
        <v/>
      </c>
      <c r="C214" t="str">
        <f>IF($L214="","",IF(INDEX(tblRegistros[Data],$L214)&gt;$D$4,"",IFERROR(INDEX(tblRegistros[Atividade],$L214),"")))</f>
        <v/>
      </c>
      <c r="D214" s="4" t="str">
        <f>IF($L214="","",IF(INDEX(tblRegistros[Data],$L214)&gt;$D$4,"",IFERROR(INDEX(tblRegistros[Início],$L214),"")))</f>
        <v/>
      </c>
      <c r="E214" s="4" t="str">
        <f>IF($L214="","",IF(INDEX(tblRegistros[Data],$L214)&gt;$D$4,"",IFERROR(IF(INDEX(tblRegistros[Status],$L214)="EM ABERTO","",INDEX(tblRegistros[Fim],$L214)),"")))</f>
        <v/>
      </c>
      <c r="F214" s="14" t="str">
        <f>IF($L214="","",IF(INDEX(tblRegistros[Data],$L214)&gt;$D$4,"",IFERROR(IF(INDEX(tblRegistros[Status],$L214)="EM ABERTO","",INDEX(tblRegistros[Horas],$L214)),"")))</f>
        <v/>
      </c>
      <c r="G214" t="str">
        <f>IF($L214="","",IF(INDEX(tblRegistros[Data],$L214)&gt;$D$4,"",IFERROR(INDEX(tblRegistros[Base],$L214),"")))</f>
        <v/>
      </c>
      <c r="H214" s="3" t="str">
        <f>IF($L214="","",IF(INDEX(tblRegistros[Data],$L214)&gt;$D$4,"",IFERROR(INDEX(tblRegistros[Taxa aplicada],$L214),"")))</f>
        <v/>
      </c>
      <c r="I214" s="3" t="str">
        <f>IF($L214="","",IF(INDEX(tblRegistros[Data],$L214)&gt;$D$4,"",IFERROR(IF(INDEX(tblRegistros[Status],$L214)="EM ABERTO","",INDEX(tblRegistros[Valor],$L214)),"")))</f>
        <v/>
      </c>
      <c r="J214" t="str">
        <f>IF($L214="","",IF(INDEX(tblRegistros[Data],$L214)&gt;$D$4,"",IFERROR(INDEX(tblRegistros[Status],$L214),"")))</f>
        <v/>
      </c>
      <c r="K214" t="str">
        <f>IF($L214="","",IF(INDEX(tblRegistros[Data],$L214)&gt;$D$4,"",IFERROR(INDEX(tblRegistros[Observação],$L214),"")))</f>
        <v/>
      </c>
      <c r="L214" s="16" t="str">
        <f>IFERROR(MATCH($B$3*100000+COUNTIFS(tblRegistros[ID],$B$3,tblRegistros[Data],"&lt;"&amp;$B$4)+ROWS($L$10:L214),tblRegistros[Chave do cartão],0),"")</f>
        <v/>
      </c>
    </row>
    <row r="215" spans="1:12">
      <c r="A215" s="2" t="str">
        <f>IF($L215="","",IF(INDEX(tblRegistros[Data],$L215)&gt;$D$4,"",IFERROR(INDEX(tblRegistros[Data],$L215),"")))</f>
        <v/>
      </c>
      <c r="B215" t="str">
        <f>IF($L215="","",IF(INDEX(tblRegistros[Data],$L215)&gt;$D$4,"",IFERROR(INDEX(tblRegistros[Projeto],$L215),"")))</f>
        <v/>
      </c>
      <c r="C215" t="str">
        <f>IF($L215="","",IF(INDEX(tblRegistros[Data],$L215)&gt;$D$4,"",IFERROR(INDEX(tblRegistros[Atividade],$L215),"")))</f>
        <v/>
      </c>
      <c r="D215" s="4" t="str">
        <f>IF($L215="","",IF(INDEX(tblRegistros[Data],$L215)&gt;$D$4,"",IFERROR(INDEX(tblRegistros[Início],$L215),"")))</f>
        <v/>
      </c>
      <c r="E215" s="4" t="str">
        <f>IF($L215="","",IF(INDEX(tblRegistros[Data],$L215)&gt;$D$4,"",IFERROR(IF(INDEX(tblRegistros[Status],$L215)="EM ABERTO","",INDEX(tblRegistros[Fim],$L215)),"")))</f>
        <v/>
      </c>
      <c r="F215" s="14" t="str">
        <f>IF($L215="","",IF(INDEX(tblRegistros[Data],$L215)&gt;$D$4,"",IFERROR(IF(INDEX(tblRegistros[Status],$L215)="EM ABERTO","",INDEX(tblRegistros[Horas],$L215)),"")))</f>
        <v/>
      </c>
      <c r="G215" t="str">
        <f>IF($L215="","",IF(INDEX(tblRegistros[Data],$L215)&gt;$D$4,"",IFERROR(INDEX(tblRegistros[Base],$L215),"")))</f>
        <v/>
      </c>
      <c r="H215" s="3" t="str">
        <f>IF($L215="","",IF(INDEX(tblRegistros[Data],$L215)&gt;$D$4,"",IFERROR(INDEX(tblRegistros[Taxa aplicada],$L215),"")))</f>
        <v/>
      </c>
      <c r="I215" s="3" t="str">
        <f>IF($L215="","",IF(INDEX(tblRegistros[Data],$L215)&gt;$D$4,"",IFERROR(IF(INDEX(tblRegistros[Status],$L215)="EM ABERTO","",INDEX(tblRegistros[Valor],$L215)),"")))</f>
        <v/>
      </c>
      <c r="J215" t="str">
        <f>IF($L215="","",IF(INDEX(tblRegistros[Data],$L215)&gt;$D$4,"",IFERROR(INDEX(tblRegistros[Status],$L215),"")))</f>
        <v/>
      </c>
      <c r="K215" t="str">
        <f>IF($L215="","",IF(INDEX(tblRegistros[Data],$L215)&gt;$D$4,"",IFERROR(INDEX(tblRegistros[Observação],$L215),"")))</f>
        <v/>
      </c>
      <c r="L215" s="16" t="str">
        <f>IFERROR(MATCH($B$3*100000+COUNTIFS(tblRegistros[ID],$B$3,tblRegistros[Data],"&lt;"&amp;$B$4)+ROWS($L$10:L215),tblRegistros[Chave do cartão],0),"")</f>
        <v/>
      </c>
    </row>
    <row r="216" spans="1:12">
      <c r="A216" s="2" t="str">
        <f>IF($L216="","",IF(INDEX(tblRegistros[Data],$L216)&gt;$D$4,"",IFERROR(INDEX(tblRegistros[Data],$L216),"")))</f>
        <v/>
      </c>
      <c r="B216" t="str">
        <f>IF($L216="","",IF(INDEX(tblRegistros[Data],$L216)&gt;$D$4,"",IFERROR(INDEX(tblRegistros[Projeto],$L216),"")))</f>
        <v/>
      </c>
      <c r="C216" t="str">
        <f>IF($L216="","",IF(INDEX(tblRegistros[Data],$L216)&gt;$D$4,"",IFERROR(INDEX(tblRegistros[Atividade],$L216),"")))</f>
        <v/>
      </c>
      <c r="D216" s="4" t="str">
        <f>IF($L216="","",IF(INDEX(tblRegistros[Data],$L216)&gt;$D$4,"",IFERROR(INDEX(tblRegistros[Início],$L216),"")))</f>
        <v/>
      </c>
      <c r="E216" s="4" t="str">
        <f>IF($L216="","",IF(INDEX(tblRegistros[Data],$L216)&gt;$D$4,"",IFERROR(IF(INDEX(tblRegistros[Status],$L216)="EM ABERTO","",INDEX(tblRegistros[Fim],$L216)),"")))</f>
        <v/>
      </c>
      <c r="F216" s="14" t="str">
        <f>IF($L216="","",IF(INDEX(tblRegistros[Data],$L216)&gt;$D$4,"",IFERROR(IF(INDEX(tblRegistros[Status],$L216)="EM ABERTO","",INDEX(tblRegistros[Horas],$L216)),"")))</f>
        <v/>
      </c>
      <c r="G216" t="str">
        <f>IF($L216="","",IF(INDEX(tblRegistros[Data],$L216)&gt;$D$4,"",IFERROR(INDEX(tblRegistros[Base],$L216),"")))</f>
        <v/>
      </c>
      <c r="H216" s="3" t="str">
        <f>IF($L216="","",IF(INDEX(tblRegistros[Data],$L216)&gt;$D$4,"",IFERROR(INDEX(tblRegistros[Taxa aplicada],$L216),"")))</f>
        <v/>
      </c>
      <c r="I216" s="3" t="str">
        <f>IF($L216="","",IF(INDEX(tblRegistros[Data],$L216)&gt;$D$4,"",IFERROR(IF(INDEX(tblRegistros[Status],$L216)="EM ABERTO","",INDEX(tblRegistros[Valor],$L216)),"")))</f>
        <v/>
      </c>
      <c r="J216" t="str">
        <f>IF($L216="","",IF(INDEX(tblRegistros[Data],$L216)&gt;$D$4,"",IFERROR(INDEX(tblRegistros[Status],$L216),"")))</f>
        <v/>
      </c>
      <c r="K216" t="str">
        <f>IF($L216="","",IF(INDEX(tblRegistros[Data],$L216)&gt;$D$4,"",IFERROR(INDEX(tblRegistros[Observação],$L216),"")))</f>
        <v/>
      </c>
      <c r="L216" s="16" t="str">
        <f>IFERROR(MATCH($B$3*100000+COUNTIFS(tblRegistros[ID],$B$3,tblRegistros[Data],"&lt;"&amp;$B$4)+ROWS($L$10:L216),tblRegistros[Chave do cartão],0),"")</f>
        <v/>
      </c>
    </row>
    <row r="217" spans="1:12">
      <c r="A217" s="2" t="str">
        <f>IF($L217="","",IF(INDEX(tblRegistros[Data],$L217)&gt;$D$4,"",IFERROR(INDEX(tblRegistros[Data],$L217),"")))</f>
        <v/>
      </c>
      <c r="B217" t="str">
        <f>IF($L217="","",IF(INDEX(tblRegistros[Data],$L217)&gt;$D$4,"",IFERROR(INDEX(tblRegistros[Projeto],$L217),"")))</f>
        <v/>
      </c>
      <c r="C217" t="str">
        <f>IF($L217="","",IF(INDEX(tblRegistros[Data],$L217)&gt;$D$4,"",IFERROR(INDEX(tblRegistros[Atividade],$L217),"")))</f>
        <v/>
      </c>
      <c r="D217" s="4" t="str">
        <f>IF($L217="","",IF(INDEX(tblRegistros[Data],$L217)&gt;$D$4,"",IFERROR(INDEX(tblRegistros[Início],$L217),"")))</f>
        <v/>
      </c>
      <c r="E217" s="4" t="str">
        <f>IF($L217="","",IF(INDEX(tblRegistros[Data],$L217)&gt;$D$4,"",IFERROR(IF(INDEX(tblRegistros[Status],$L217)="EM ABERTO","",INDEX(tblRegistros[Fim],$L217)),"")))</f>
        <v/>
      </c>
      <c r="F217" s="14" t="str">
        <f>IF($L217="","",IF(INDEX(tblRegistros[Data],$L217)&gt;$D$4,"",IFERROR(IF(INDEX(tblRegistros[Status],$L217)="EM ABERTO","",INDEX(tblRegistros[Horas],$L217)),"")))</f>
        <v/>
      </c>
      <c r="G217" t="str">
        <f>IF($L217="","",IF(INDEX(tblRegistros[Data],$L217)&gt;$D$4,"",IFERROR(INDEX(tblRegistros[Base],$L217),"")))</f>
        <v/>
      </c>
      <c r="H217" s="3" t="str">
        <f>IF($L217="","",IF(INDEX(tblRegistros[Data],$L217)&gt;$D$4,"",IFERROR(INDEX(tblRegistros[Taxa aplicada],$L217),"")))</f>
        <v/>
      </c>
      <c r="I217" s="3" t="str">
        <f>IF($L217="","",IF(INDEX(tblRegistros[Data],$L217)&gt;$D$4,"",IFERROR(IF(INDEX(tblRegistros[Status],$L217)="EM ABERTO","",INDEX(tblRegistros[Valor],$L217)),"")))</f>
        <v/>
      </c>
      <c r="J217" t="str">
        <f>IF($L217="","",IF(INDEX(tblRegistros[Data],$L217)&gt;$D$4,"",IFERROR(INDEX(tblRegistros[Status],$L217),"")))</f>
        <v/>
      </c>
      <c r="K217" t="str">
        <f>IF($L217="","",IF(INDEX(tblRegistros[Data],$L217)&gt;$D$4,"",IFERROR(INDEX(tblRegistros[Observação],$L217),"")))</f>
        <v/>
      </c>
      <c r="L217" s="16" t="str">
        <f>IFERROR(MATCH($B$3*100000+COUNTIFS(tblRegistros[ID],$B$3,tblRegistros[Data],"&lt;"&amp;$B$4)+ROWS($L$10:L217),tblRegistros[Chave do cartão],0),"")</f>
        <v/>
      </c>
    </row>
    <row r="218" spans="1:12">
      <c r="A218" s="2" t="str">
        <f>IF($L218="","",IF(INDEX(tblRegistros[Data],$L218)&gt;$D$4,"",IFERROR(INDEX(tblRegistros[Data],$L218),"")))</f>
        <v/>
      </c>
      <c r="B218" t="str">
        <f>IF($L218="","",IF(INDEX(tblRegistros[Data],$L218)&gt;$D$4,"",IFERROR(INDEX(tblRegistros[Projeto],$L218),"")))</f>
        <v/>
      </c>
      <c r="C218" t="str">
        <f>IF($L218="","",IF(INDEX(tblRegistros[Data],$L218)&gt;$D$4,"",IFERROR(INDEX(tblRegistros[Atividade],$L218),"")))</f>
        <v/>
      </c>
      <c r="D218" s="4" t="str">
        <f>IF($L218="","",IF(INDEX(tblRegistros[Data],$L218)&gt;$D$4,"",IFERROR(INDEX(tblRegistros[Início],$L218),"")))</f>
        <v/>
      </c>
      <c r="E218" s="4" t="str">
        <f>IF($L218="","",IF(INDEX(tblRegistros[Data],$L218)&gt;$D$4,"",IFERROR(IF(INDEX(tblRegistros[Status],$L218)="EM ABERTO","",INDEX(tblRegistros[Fim],$L218)),"")))</f>
        <v/>
      </c>
      <c r="F218" s="14" t="str">
        <f>IF($L218="","",IF(INDEX(tblRegistros[Data],$L218)&gt;$D$4,"",IFERROR(IF(INDEX(tblRegistros[Status],$L218)="EM ABERTO","",INDEX(tblRegistros[Horas],$L218)),"")))</f>
        <v/>
      </c>
      <c r="G218" t="str">
        <f>IF($L218="","",IF(INDEX(tblRegistros[Data],$L218)&gt;$D$4,"",IFERROR(INDEX(tblRegistros[Base],$L218),"")))</f>
        <v/>
      </c>
      <c r="H218" s="3" t="str">
        <f>IF($L218="","",IF(INDEX(tblRegistros[Data],$L218)&gt;$D$4,"",IFERROR(INDEX(tblRegistros[Taxa aplicada],$L218),"")))</f>
        <v/>
      </c>
      <c r="I218" s="3" t="str">
        <f>IF($L218="","",IF(INDEX(tblRegistros[Data],$L218)&gt;$D$4,"",IFERROR(IF(INDEX(tblRegistros[Status],$L218)="EM ABERTO","",INDEX(tblRegistros[Valor],$L218)),"")))</f>
        <v/>
      </c>
      <c r="J218" t="str">
        <f>IF($L218="","",IF(INDEX(tblRegistros[Data],$L218)&gt;$D$4,"",IFERROR(INDEX(tblRegistros[Status],$L218),"")))</f>
        <v/>
      </c>
      <c r="K218" t="str">
        <f>IF($L218="","",IF(INDEX(tblRegistros[Data],$L218)&gt;$D$4,"",IFERROR(INDEX(tblRegistros[Observação],$L218),"")))</f>
        <v/>
      </c>
      <c r="L218" s="16" t="str">
        <f>IFERROR(MATCH($B$3*100000+COUNTIFS(tblRegistros[ID],$B$3,tblRegistros[Data],"&lt;"&amp;$B$4)+ROWS($L$10:L218),tblRegistros[Chave do cartão],0),"")</f>
        <v/>
      </c>
    </row>
    <row r="219" spans="1:12">
      <c r="A219" s="2" t="str">
        <f>IF($L219="","",IF(INDEX(tblRegistros[Data],$L219)&gt;$D$4,"",IFERROR(INDEX(tblRegistros[Data],$L219),"")))</f>
        <v/>
      </c>
      <c r="B219" t="str">
        <f>IF($L219="","",IF(INDEX(tblRegistros[Data],$L219)&gt;$D$4,"",IFERROR(INDEX(tblRegistros[Projeto],$L219),"")))</f>
        <v/>
      </c>
      <c r="C219" t="str">
        <f>IF($L219="","",IF(INDEX(tblRegistros[Data],$L219)&gt;$D$4,"",IFERROR(INDEX(tblRegistros[Atividade],$L219),"")))</f>
        <v/>
      </c>
      <c r="D219" s="4" t="str">
        <f>IF($L219="","",IF(INDEX(tblRegistros[Data],$L219)&gt;$D$4,"",IFERROR(INDEX(tblRegistros[Início],$L219),"")))</f>
        <v/>
      </c>
      <c r="E219" s="4" t="str">
        <f>IF($L219="","",IF(INDEX(tblRegistros[Data],$L219)&gt;$D$4,"",IFERROR(IF(INDEX(tblRegistros[Status],$L219)="EM ABERTO","",INDEX(tblRegistros[Fim],$L219)),"")))</f>
        <v/>
      </c>
      <c r="F219" s="14" t="str">
        <f>IF($L219="","",IF(INDEX(tblRegistros[Data],$L219)&gt;$D$4,"",IFERROR(IF(INDEX(tblRegistros[Status],$L219)="EM ABERTO","",INDEX(tblRegistros[Horas],$L219)),"")))</f>
        <v/>
      </c>
      <c r="G219" t="str">
        <f>IF($L219="","",IF(INDEX(tblRegistros[Data],$L219)&gt;$D$4,"",IFERROR(INDEX(tblRegistros[Base],$L219),"")))</f>
        <v/>
      </c>
      <c r="H219" s="3" t="str">
        <f>IF($L219="","",IF(INDEX(tblRegistros[Data],$L219)&gt;$D$4,"",IFERROR(INDEX(tblRegistros[Taxa aplicada],$L219),"")))</f>
        <v/>
      </c>
      <c r="I219" s="3" t="str">
        <f>IF($L219="","",IF(INDEX(tblRegistros[Data],$L219)&gt;$D$4,"",IFERROR(IF(INDEX(tblRegistros[Status],$L219)="EM ABERTO","",INDEX(tblRegistros[Valor],$L219)),"")))</f>
        <v/>
      </c>
      <c r="J219" t="str">
        <f>IF($L219="","",IF(INDEX(tblRegistros[Data],$L219)&gt;$D$4,"",IFERROR(INDEX(tblRegistros[Status],$L219),"")))</f>
        <v/>
      </c>
      <c r="K219" t="str">
        <f>IF($L219="","",IF(INDEX(tblRegistros[Data],$L219)&gt;$D$4,"",IFERROR(INDEX(tblRegistros[Observação],$L219),"")))</f>
        <v/>
      </c>
      <c r="L219" s="16" t="str">
        <f>IFERROR(MATCH($B$3*100000+COUNTIFS(tblRegistros[ID],$B$3,tblRegistros[Data],"&lt;"&amp;$B$4)+ROWS($L$10:L219),tblRegistros[Chave do cartão],0),"")</f>
        <v/>
      </c>
    </row>
    <row r="220" spans="1:12">
      <c r="A220" s="2" t="str">
        <f>IF($L220="","",IF(INDEX(tblRegistros[Data],$L220)&gt;$D$4,"",IFERROR(INDEX(tblRegistros[Data],$L220),"")))</f>
        <v/>
      </c>
      <c r="B220" t="str">
        <f>IF($L220="","",IF(INDEX(tblRegistros[Data],$L220)&gt;$D$4,"",IFERROR(INDEX(tblRegistros[Projeto],$L220),"")))</f>
        <v/>
      </c>
      <c r="C220" t="str">
        <f>IF($L220="","",IF(INDEX(tblRegistros[Data],$L220)&gt;$D$4,"",IFERROR(INDEX(tblRegistros[Atividade],$L220),"")))</f>
        <v/>
      </c>
      <c r="D220" s="4" t="str">
        <f>IF($L220="","",IF(INDEX(tblRegistros[Data],$L220)&gt;$D$4,"",IFERROR(INDEX(tblRegistros[Início],$L220),"")))</f>
        <v/>
      </c>
      <c r="E220" s="4" t="str">
        <f>IF($L220="","",IF(INDEX(tblRegistros[Data],$L220)&gt;$D$4,"",IFERROR(IF(INDEX(tblRegistros[Status],$L220)="EM ABERTO","",INDEX(tblRegistros[Fim],$L220)),"")))</f>
        <v/>
      </c>
      <c r="F220" s="14" t="str">
        <f>IF($L220="","",IF(INDEX(tblRegistros[Data],$L220)&gt;$D$4,"",IFERROR(IF(INDEX(tblRegistros[Status],$L220)="EM ABERTO","",INDEX(tblRegistros[Horas],$L220)),"")))</f>
        <v/>
      </c>
      <c r="G220" t="str">
        <f>IF($L220="","",IF(INDEX(tblRegistros[Data],$L220)&gt;$D$4,"",IFERROR(INDEX(tblRegistros[Base],$L220),"")))</f>
        <v/>
      </c>
      <c r="H220" s="3" t="str">
        <f>IF($L220="","",IF(INDEX(tblRegistros[Data],$L220)&gt;$D$4,"",IFERROR(INDEX(tblRegistros[Taxa aplicada],$L220),"")))</f>
        <v/>
      </c>
      <c r="I220" s="3" t="str">
        <f>IF($L220="","",IF(INDEX(tblRegistros[Data],$L220)&gt;$D$4,"",IFERROR(IF(INDEX(tblRegistros[Status],$L220)="EM ABERTO","",INDEX(tblRegistros[Valor],$L220)),"")))</f>
        <v/>
      </c>
      <c r="J220" t="str">
        <f>IF($L220="","",IF(INDEX(tblRegistros[Data],$L220)&gt;$D$4,"",IFERROR(INDEX(tblRegistros[Status],$L220),"")))</f>
        <v/>
      </c>
      <c r="K220" t="str">
        <f>IF($L220="","",IF(INDEX(tblRegistros[Data],$L220)&gt;$D$4,"",IFERROR(INDEX(tblRegistros[Observação],$L220),"")))</f>
        <v/>
      </c>
      <c r="L220" s="16" t="str">
        <f>IFERROR(MATCH($B$3*100000+COUNTIFS(tblRegistros[ID],$B$3,tblRegistros[Data],"&lt;"&amp;$B$4)+ROWS($L$10:L220),tblRegistros[Chave do cartão],0),"")</f>
        <v/>
      </c>
    </row>
    <row r="221" spans="1:12">
      <c r="A221" s="2" t="str">
        <f>IF($L221="","",IF(INDEX(tblRegistros[Data],$L221)&gt;$D$4,"",IFERROR(INDEX(tblRegistros[Data],$L221),"")))</f>
        <v/>
      </c>
      <c r="B221" t="str">
        <f>IF($L221="","",IF(INDEX(tblRegistros[Data],$L221)&gt;$D$4,"",IFERROR(INDEX(tblRegistros[Projeto],$L221),"")))</f>
        <v/>
      </c>
      <c r="C221" t="str">
        <f>IF($L221="","",IF(INDEX(tblRegistros[Data],$L221)&gt;$D$4,"",IFERROR(INDEX(tblRegistros[Atividade],$L221),"")))</f>
        <v/>
      </c>
      <c r="D221" s="4" t="str">
        <f>IF($L221="","",IF(INDEX(tblRegistros[Data],$L221)&gt;$D$4,"",IFERROR(INDEX(tblRegistros[Início],$L221),"")))</f>
        <v/>
      </c>
      <c r="E221" s="4" t="str">
        <f>IF($L221="","",IF(INDEX(tblRegistros[Data],$L221)&gt;$D$4,"",IFERROR(IF(INDEX(tblRegistros[Status],$L221)="EM ABERTO","",INDEX(tblRegistros[Fim],$L221)),"")))</f>
        <v/>
      </c>
      <c r="F221" s="14" t="str">
        <f>IF($L221="","",IF(INDEX(tblRegistros[Data],$L221)&gt;$D$4,"",IFERROR(IF(INDEX(tblRegistros[Status],$L221)="EM ABERTO","",INDEX(tblRegistros[Horas],$L221)),"")))</f>
        <v/>
      </c>
      <c r="G221" t="str">
        <f>IF($L221="","",IF(INDEX(tblRegistros[Data],$L221)&gt;$D$4,"",IFERROR(INDEX(tblRegistros[Base],$L221),"")))</f>
        <v/>
      </c>
      <c r="H221" s="3" t="str">
        <f>IF($L221="","",IF(INDEX(tblRegistros[Data],$L221)&gt;$D$4,"",IFERROR(INDEX(tblRegistros[Taxa aplicada],$L221),"")))</f>
        <v/>
      </c>
      <c r="I221" s="3" t="str">
        <f>IF($L221="","",IF(INDEX(tblRegistros[Data],$L221)&gt;$D$4,"",IFERROR(IF(INDEX(tblRegistros[Status],$L221)="EM ABERTO","",INDEX(tblRegistros[Valor],$L221)),"")))</f>
        <v/>
      </c>
      <c r="J221" t="str">
        <f>IF($L221="","",IF(INDEX(tblRegistros[Data],$L221)&gt;$D$4,"",IFERROR(INDEX(tblRegistros[Status],$L221),"")))</f>
        <v/>
      </c>
      <c r="K221" t="str">
        <f>IF($L221="","",IF(INDEX(tblRegistros[Data],$L221)&gt;$D$4,"",IFERROR(INDEX(tblRegistros[Observação],$L221),"")))</f>
        <v/>
      </c>
      <c r="L221" s="16" t="str">
        <f>IFERROR(MATCH($B$3*100000+COUNTIFS(tblRegistros[ID],$B$3,tblRegistros[Data],"&lt;"&amp;$B$4)+ROWS($L$10:L221),tblRegistros[Chave do cartão],0),"")</f>
        <v/>
      </c>
    </row>
    <row r="222" spans="1:12">
      <c r="A222" s="2" t="str">
        <f>IF($L222="","",IF(INDEX(tblRegistros[Data],$L222)&gt;$D$4,"",IFERROR(INDEX(tblRegistros[Data],$L222),"")))</f>
        <v/>
      </c>
      <c r="B222" t="str">
        <f>IF($L222="","",IF(INDEX(tblRegistros[Data],$L222)&gt;$D$4,"",IFERROR(INDEX(tblRegistros[Projeto],$L222),"")))</f>
        <v/>
      </c>
      <c r="C222" t="str">
        <f>IF($L222="","",IF(INDEX(tblRegistros[Data],$L222)&gt;$D$4,"",IFERROR(INDEX(tblRegistros[Atividade],$L222),"")))</f>
        <v/>
      </c>
      <c r="D222" s="4" t="str">
        <f>IF($L222="","",IF(INDEX(tblRegistros[Data],$L222)&gt;$D$4,"",IFERROR(INDEX(tblRegistros[Início],$L222),"")))</f>
        <v/>
      </c>
      <c r="E222" s="4" t="str">
        <f>IF($L222="","",IF(INDEX(tblRegistros[Data],$L222)&gt;$D$4,"",IFERROR(IF(INDEX(tblRegistros[Status],$L222)="EM ABERTO","",INDEX(tblRegistros[Fim],$L222)),"")))</f>
        <v/>
      </c>
      <c r="F222" s="14" t="str">
        <f>IF($L222="","",IF(INDEX(tblRegistros[Data],$L222)&gt;$D$4,"",IFERROR(IF(INDEX(tblRegistros[Status],$L222)="EM ABERTO","",INDEX(tblRegistros[Horas],$L222)),"")))</f>
        <v/>
      </c>
      <c r="G222" t="str">
        <f>IF($L222="","",IF(INDEX(tblRegistros[Data],$L222)&gt;$D$4,"",IFERROR(INDEX(tblRegistros[Base],$L222),"")))</f>
        <v/>
      </c>
      <c r="H222" s="3" t="str">
        <f>IF($L222="","",IF(INDEX(tblRegistros[Data],$L222)&gt;$D$4,"",IFERROR(INDEX(tblRegistros[Taxa aplicada],$L222),"")))</f>
        <v/>
      </c>
      <c r="I222" s="3" t="str">
        <f>IF($L222="","",IF(INDEX(tblRegistros[Data],$L222)&gt;$D$4,"",IFERROR(IF(INDEX(tblRegistros[Status],$L222)="EM ABERTO","",INDEX(tblRegistros[Valor],$L222)),"")))</f>
        <v/>
      </c>
      <c r="J222" t="str">
        <f>IF($L222="","",IF(INDEX(tblRegistros[Data],$L222)&gt;$D$4,"",IFERROR(INDEX(tblRegistros[Status],$L222),"")))</f>
        <v/>
      </c>
      <c r="K222" t="str">
        <f>IF($L222="","",IF(INDEX(tblRegistros[Data],$L222)&gt;$D$4,"",IFERROR(INDEX(tblRegistros[Observação],$L222),"")))</f>
        <v/>
      </c>
      <c r="L222" s="16" t="str">
        <f>IFERROR(MATCH($B$3*100000+COUNTIFS(tblRegistros[ID],$B$3,tblRegistros[Data],"&lt;"&amp;$B$4)+ROWS($L$10:L222),tblRegistros[Chave do cartão],0),"")</f>
        <v/>
      </c>
    </row>
    <row r="223" spans="1:12">
      <c r="A223" s="2" t="str">
        <f>IF($L223="","",IF(INDEX(tblRegistros[Data],$L223)&gt;$D$4,"",IFERROR(INDEX(tblRegistros[Data],$L223),"")))</f>
        <v/>
      </c>
      <c r="B223" t="str">
        <f>IF($L223="","",IF(INDEX(tblRegistros[Data],$L223)&gt;$D$4,"",IFERROR(INDEX(tblRegistros[Projeto],$L223),"")))</f>
        <v/>
      </c>
      <c r="C223" t="str">
        <f>IF($L223="","",IF(INDEX(tblRegistros[Data],$L223)&gt;$D$4,"",IFERROR(INDEX(tblRegistros[Atividade],$L223),"")))</f>
        <v/>
      </c>
      <c r="D223" s="4" t="str">
        <f>IF($L223="","",IF(INDEX(tblRegistros[Data],$L223)&gt;$D$4,"",IFERROR(INDEX(tblRegistros[Início],$L223),"")))</f>
        <v/>
      </c>
      <c r="E223" s="4" t="str">
        <f>IF($L223="","",IF(INDEX(tblRegistros[Data],$L223)&gt;$D$4,"",IFERROR(IF(INDEX(tblRegistros[Status],$L223)="EM ABERTO","",INDEX(tblRegistros[Fim],$L223)),"")))</f>
        <v/>
      </c>
      <c r="F223" s="14" t="str">
        <f>IF($L223="","",IF(INDEX(tblRegistros[Data],$L223)&gt;$D$4,"",IFERROR(IF(INDEX(tblRegistros[Status],$L223)="EM ABERTO","",INDEX(tblRegistros[Horas],$L223)),"")))</f>
        <v/>
      </c>
      <c r="G223" t="str">
        <f>IF($L223="","",IF(INDEX(tblRegistros[Data],$L223)&gt;$D$4,"",IFERROR(INDEX(tblRegistros[Base],$L223),"")))</f>
        <v/>
      </c>
      <c r="H223" s="3" t="str">
        <f>IF($L223="","",IF(INDEX(tblRegistros[Data],$L223)&gt;$D$4,"",IFERROR(INDEX(tblRegistros[Taxa aplicada],$L223),"")))</f>
        <v/>
      </c>
      <c r="I223" s="3" t="str">
        <f>IF($L223="","",IF(INDEX(tblRegistros[Data],$L223)&gt;$D$4,"",IFERROR(IF(INDEX(tblRegistros[Status],$L223)="EM ABERTO","",INDEX(tblRegistros[Valor],$L223)),"")))</f>
        <v/>
      </c>
      <c r="J223" t="str">
        <f>IF($L223="","",IF(INDEX(tblRegistros[Data],$L223)&gt;$D$4,"",IFERROR(INDEX(tblRegistros[Status],$L223),"")))</f>
        <v/>
      </c>
      <c r="K223" t="str">
        <f>IF($L223="","",IF(INDEX(tblRegistros[Data],$L223)&gt;$D$4,"",IFERROR(INDEX(tblRegistros[Observação],$L223),"")))</f>
        <v/>
      </c>
      <c r="L223" s="16" t="str">
        <f>IFERROR(MATCH($B$3*100000+COUNTIFS(tblRegistros[ID],$B$3,tblRegistros[Data],"&lt;"&amp;$B$4)+ROWS($L$10:L223),tblRegistros[Chave do cartão],0),"")</f>
        <v/>
      </c>
    </row>
    <row r="224" spans="1:12">
      <c r="A224" s="2" t="str">
        <f>IF($L224="","",IF(INDEX(tblRegistros[Data],$L224)&gt;$D$4,"",IFERROR(INDEX(tblRegistros[Data],$L224),"")))</f>
        <v/>
      </c>
      <c r="B224" t="str">
        <f>IF($L224="","",IF(INDEX(tblRegistros[Data],$L224)&gt;$D$4,"",IFERROR(INDEX(tblRegistros[Projeto],$L224),"")))</f>
        <v/>
      </c>
      <c r="C224" t="str">
        <f>IF($L224="","",IF(INDEX(tblRegistros[Data],$L224)&gt;$D$4,"",IFERROR(INDEX(tblRegistros[Atividade],$L224),"")))</f>
        <v/>
      </c>
      <c r="D224" s="4" t="str">
        <f>IF($L224="","",IF(INDEX(tblRegistros[Data],$L224)&gt;$D$4,"",IFERROR(INDEX(tblRegistros[Início],$L224),"")))</f>
        <v/>
      </c>
      <c r="E224" s="4" t="str">
        <f>IF($L224="","",IF(INDEX(tblRegistros[Data],$L224)&gt;$D$4,"",IFERROR(IF(INDEX(tblRegistros[Status],$L224)="EM ABERTO","",INDEX(tblRegistros[Fim],$L224)),"")))</f>
        <v/>
      </c>
      <c r="F224" s="14" t="str">
        <f>IF($L224="","",IF(INDEX(tblRegistros[Data],$L224)&gt;$D$4,"",IFERROR(IF(INDEX(tblRegistros[Status],$L224)="EM ABERTO","",INDEX(tblRegistros[Horas],$L224)),"")))</f>
        <v/>
      </c>
      <c r="G224" t="str">
        <f>IF($L224="","",IF(INDEX(tblRegistros[Data],$L224)&gt;$D$4,"",IFERROR(INDEX(tblRegistros[Base],$L224),"")))</f>
        <v/>
      </c>
      <c r="H224" s="3" t="str">
        <f>IF($L224="","",IF(INDEX(tblRegistros[Data],$L224)&gt;$D$4,"",IFERROR(INDEX(tblRegistros[Taxa aplicada],$L224),"")))</f>
        <v/>
      </c>
      <c r="I224" s="3" t="str">
        <f>IF($L224="","",IF(INDEX(tblRegistros[Data],$L224)&gt;$D$4,"",IFERROR(IF(INDEX(tblRegistros[Status],$L224)="EM ABERTO","",INDEX(tblRegistros[Valor],$L224)),"")))</f>
        <v/>
      </c>
      <c r="J224" t="str">
        <f>IF($L224="","",IF(INDEX(tblRegistros[Data],$L224)&gt;$D$4,"",IFERROR(INDEX(tblRegistros[Status],$L224),"")))</f>
        <v/>
      </c>
      <c r="K224" t="str">
        <f>IF($L224="","",IF(INDEX(tblRegistros[Data],$L224)&gt;$D$4,"",IFERROR(INDEX(tblRegistros[Observação],$L224),"")))</f>
        <v/>
      </c>
      <c r="L224" s="16" t="str">
        <f>IFERROR(MATCH($B$3*100000+COUNTIFS(tblRegistros[ID],$B$3,tblRegistros[Data],"&lt;"&amp;$B$4)+ROWS($L$10:L224),tblRegistros[Chave do cartão],0),"")</f>
        <v/>
      </c>
    </row>
    <row r="225" spans="1:12">
      <c r="A225" s="2" t="str">
        <f>IF($L225="","",IF(INDEX(tblRegistros[Data],$L225)&gt;$D$4,"",IFERROR(INDEX(tblRegistros[Data],$L225),"")))</f>
        <v/>
      </c>
      <c r="B225" t="str">
        <f>IF($L225="","",IF(INDEX(tblRegistros[Data],$L225)&gt;$D$4,"",IFERROR(INDEX(tblRegistros[Projeto],$L225),"")))</f>
        <v/>
      </c>
      <c r="C225" t="str">
        <f>IF($L225="","",IF(INDEX(tblRegistros[Data],$L225)&gt;$D$4,"",IFERROR(INDEX(tblRegistros[Atividade],$L225),"")))</f>
        <v/>
      </c>
      <c r="D225" s="4" t="str">
        <f>IF($L225="","",IF(INDEX(tblRegistros[Data],$L225)&gt;$D$4,"",IFERROR(INDEX(tblRegistros[Início],$L225),"")))</f>
        <v/>
      </c>
      <c r="E225" s="4" t="str">
        <f>IF($L225="","",IF(INDEX(tblRegistros[Data],$L225)&gt;$D$4,"",IFERROR(IF(INDEX(tblRegistros[Status],$L225)="EM ABERTO","",INDEX(tblRegistros[Fim],$L225)),"")))</f>
        <v/>
      </c>
      <c r="F225" s="14" t="str">
        <f>IF($L225="","",IF(INDEX(tblRegistros[Data],$L225)&gt;$D$4,"",IFERROR(IF(INDEX(tblRegistros[Status],$L225)="EM ABERTO","",INDEX(tblRegistros[Horas],$L225)),"")))</f>
        <v/>
      </c>
      <c r="G225" t="str">
        <f>IF($L225="","",IF(INDEX(tblRegistros[Data],$L225)&gt;$D$4,"",IFERROR(INDEX(tblRegistros[Base],$L225),"")))</f>
        <v/>
      </c>
      <c r="H225" s="3" t="str">
        <f>IF($L225="","",IF(INDEX(tblRegistros[Data],$L225)&gt;$D$4,"",IFERROR(INDEX(tblRegistros[Taxa aplicada],$L225),"")))</f>
        <v/>
      </c>
      <c r="I225" s="3" t="str">
        <f>IF($L225="","",IF(INDEX(tblRegistros[Data],$L225)&gt;$D$4,"",IFERROR(IF(INDEX(tblRegistros[Status],$L225)="EM ABERTO","",INDEX(tblRegistros[Valor],$L225)),"")))</f>
        <v/>
      </c>
      <c r="J225" t="str">
        <f>IF($L225="","",IF(INDEX(tblRegistros[Data],$L225)&gt;$D$4,"",IFERROR(INDEX(tblRegistros[Status],$L225),"")))</f>
        <v/>
      </c>
      <c r="K225" t="str">
        <f>IF($L225="","",IF(INDEX(tblRegistros[Data],$L225)&gt;$D$4,"",IFERROR(INDEX(tblRegistros[Observação],$L225),"")))</f>
        <v/>
      </c>
      <c r="L225" s="16" t="str">
        <f>IFERROR(MATCH($B$3*100000+COUNTIFS(tblRegistros[ID],$B$3,tblRegistros[Data],"&lt;"&amp;$B$4)+ROWS($L$10:L225),tblRegistros[Chave do cartão],0),"")</f>
        <v/>
      </c>
    </row>
    <row r="226" spans="1:12">
      <c r="A226" s="2" t="str">
        <f>IF($L226="","",IF(INDEX(tblRegistros[Data],$L226)&gt;$D$4,"",IFERROR(INDEX(tblRegistros[Data],$L226),"")))</f>
        <v/>
      </c>
      <c r="B226" t="str">
        <f>IF($L226="","",IF(INDEX(tblRegistros[Data],$L226)&gt;$D$4,"",IFERROR(INDEX(tblRegistros[Projeto],$L226),"")))</f>
        <v/>
      </c>
      <c r="C226" t="str">
        <f>IF($L226="","",IF(INDEX(tblRegistros[Data],$L226)&gt;$D$4,"",IFERROR(INDEX(tblRegistros[Atividade],$L226),"")))</f>
        <v/>
      </c>
      <c r="D226" s="4" t="str">
        <f>IF($L226="","",IF(INDEX(tblRegistros[Data],$L226)&gt;$D$4,"",IFERROR(INDEX(tblRegistros[Início],$L226),"")))</f>
        <v/>
      </c>
      <c r="E226" s="4" t="str">
        <f>IF($L226="","",IF(INDEX(tblRegistros[Data],$L226)&gt;$D$4,"",IFERROR(IF(INDEX(tblRegistros[Status],$L226)="EM ABERTO","",INDEX(tblRegistros[Fim],$L226)),"")))</f>
        <v/>
      </c>
      <c r="F226" s="14" t="str">
        <f>IF($L226="","",IF(INDEX(tblRegistros[Data],$L226)&gt;$D$4,"",IFERROR(IF(INDEX(tblRegistros[Status],$L226)="EM ABERTO","",INDEX(tblRegistros[Horas],$L226)),"")))</f>
        <v/>
      </c>
      <c r="G226" t="str">
        <f>IF($L226="","",IF(INDEX(tblRegistros[Data],$L226)&gt;$D$4,"",IFERROR(INDEX(tblRegistros[Base],$L226),"")))</f>
        <v/>
      </c>
      <c r="H226" s="3" t="str">
        <f>IF($L226="","",IF(INDEX(tblRegistros[Data],$L226)&gt;$D$4,"",IFERROR(INDEX(tblRegistros[Taxa aplicada],$L226),"")))</f>
        <v/>
      </c>
      <c r="I226" s="3" t="str">
        <f>IF($L226="","",IF(INDEX(tblRegistros[Data],$L226)&gt;$D$4,"",IFERROR(IF(INDEX(tblRegistros[Status],$L226)="EM ABERTO","",INDEX(tblRegistros[Valor],$L226)),"")))</f>
        <v/>
      </c>
      <c r="J226" t="str">
        <f>IF($L226="","",IF(INDEX(tblRegistros[Data],$L226)&gt;$D$4,"",IFERROR(INDEX(tblRegistros[Status],$L226),"")))</f>
        <v/>
      </c>
      <c r="K226" t="str">
        <f>IF($L226="","",IF(INDEX(tblRegistros[Data],$L226)&gt;$D$4,"",IFERROR(INDEX(tblRegistros[Observação],$L226),"")))</f>
        <v/>
      </c>
      <c r="L226" s="16" t="str">
        <f>IFERROR(MATCH($B$3*100000+COUNTIFS(tblRegistros[ID],$B$3,tblRegistros[Data],"&lt;"&amp;$B$4)+ROWS($L$10:L226),tblRegistros[Chave do cartão],0),"")</f>
        <v/>
      </c>
    </row>
    <row r="227" spans="1:12">
      <c r="A227" s="2" t="str">
        <f>IF($L227="","",IF(INDEX(tblRegistros[Data],$L227)&gt;$D$4,"",IFERROR(INDEX(tblRegistros[Data],$L227),"")))</f>
        <v/>
      </c>
      <c r="B227" t="str">
        <f>IF($L227="","",IF(INDEX(tblRegistros[Data],$L227)&gt;$D$4,"",IFERROR(INDEX(tblRegistros[Projeto],$L227),"")))</f>
        <v/>
      </c>
      <c r="C227" t="str">
        <f>IF($L227="","",IF(INDEX(tblRegistros[Data],$L227)&gt;$D$4,"",IFERROR(INDEX(tblRegistros[Atividade],$L227),"")))</f>
        <v/>
      </c>
      <c r="D227" s="4" t="str">
        <f>IF($L227="","",IF(INDEX(tblRegistros[Data],$L227)&gt;$D$4,"",IFERROR(INDEX(tblRegistros[Início],$L227),"")))</f>
        <v/>
      </c>
      <c r="E227" s="4" t="str">
        <f>IF($L227="","",IF(INDEX(tblRegistros[Data],$L227)&gt;$D$4,"",IFERROR(IF(INDEX(tblRegistros[Status],$L227)="EM ABERTO","",INDEX(tblRegistros[Fim],$L227)),"")))</f>
        <v/>
      </c>
      <c r="F227" s="14" t="str">
        <f>IF($L227="","",IF(INDEX(tblRegistros[Data],$L227)&gt;$D$4,"",IFERROR(IF(INDEX(tblRegistros[Status],$L227)="EM ABERTO","",INDEX(tblRegistros[Horas],$L227)),"")))</f>
        <v/>
      </c>
      <c r="G227" t="str">
        <f>IF($L227="","",IF(INDEX(tblRegistros[Data],$L227)&gt;$D$4,"",IFERROR(INDEX(tblRegistros[Base],$L227),"")))</f>
        <v/>
      </c>
      <c r="H227" s="3" t="str">
        <f>IF($L227="","",IF(INDEX(tblRegistros[Data],$L227)&gt;$D$4,"",IFERROR(INDEX(tblRegistros[Taxa aplicada],$L227),"")))</f>
        <v/>
      </c>
      <c r="I227" s="3" t="str">
        <f>IF($L227="","",IF(INDEX(tblRegistros[Data],$L227)&gt;$D$4,"",IFERROR(IF(INDEX(tblRegistros[Status],$L227)="EM ABERTO","",INDEX(tblRegistros[Valor],$L227)),"")))</f>
        <v/>
      </c>
      <c r="J227" t="str">
        <f>IF($L227="","",IF(INDEX(tblRegistros[Data],$L227)&gt;$D$4,"",IFERROR(INDEX(tblRegistros[Status],$L227),"")))</f>
        <v/>
      </c>
      <c r="K227" t="str">
        <f>IF($L227="","",IF(INDEX(tblRegistros[Data],$L227)&gt;$D$4,"",IFERROR(INDEX(tblRegistros[Observação],$L227),"")))</f>
        <v/>
      </c>
      <c r="L227" s="16" t="str">
        <f>IFERROR(MATCH($B$3*100000+COUNTIFS(tblRegistros[ID],$B$3,tblRegistros[Data],"&lt;"&amp;$B$4)+ROWS($L$10:L227),tblRegistros[Chave do cartão],0),"")</f>
        <v/>
      </c>
    </row>
    <row r="228" spans="1:12">
      <c r="A228" s="2" t="str">
        <f>IF($L228="","",IF(INDEX(tblRegistros[Data],$L228)&gt;$D$4,"",IFERROR(INDEX(tblRegistros[Data],$L228),"")))</f>
        <v/>
      </c>
      <c r="B228" t="str">
        <f>IF($L228="","",IF(INDEX(tblRegistros[Data],$L228)&gt;$D$4,"",IFERROR(INDEX(tblRegistros[Projeto],$L228),"")))</f>
        <v/>
      </c>
      <c r="C228" t="str">
        <f>IF($L228="","",IF(INDEX(tblRegistros[Data],$L228)&gt;$D$4,"",IFERROR(INDEX(tblRegistros[Atividade],$L228),"")))</f>
        <v/>
      </c>
      <c r="D228" s="4" t="str">
        <f>IF($L228="","",IF(INDEX(tblRegistros[Data],$L228)&gt;$D$4,"",IFERROR(INDEX(tblRegistros[Início],$L228),"")))</f>
        <v/>
      </c>
      <c r="E228" s="4" t="str">
        <f>IF($L228="","",IF(INDEX(tblRegistros[Data],$L228)&gt;$D$4,"",IFERROR(IF(INDEX(tblRegistros[Status],$L228)="EM ABERTO","",INDEX(tblRegistros[Fim],$L228)),"")))</f>
        <v/>
      </c>
      <c r="F228" s="14" t="str">
        <f>IF($L228="","",IF(INDEX(tblRegistros[Data],$L228)&gt;$D$4,"",IFERROR(IF(INDEX(tblRegistros[Status],$L228)="EM ABERTO","",INDEX(tblRegistros[Horas],$L228)),"")))</f>
        <v/>
      </c>
      <c r="G228" t="str">
        <f>IF($L228="","",IF(INDEX(tblRegistros[Data],$L228)&gt;$D$4,"",IFERROR(INDEX(tblRegistros[Base],$L228),"")))</f>
        <v/>
      </c>
      <c r="H228" s="3" t="str">
        <f>IF($L228="","",IF(INDEX(tblRegistros[Data],$L228)&gt;$D$4,"",IFERROR(INDEX(tblRegistros[Taxa aplicada],$L228),"")))</f>
        <v/>
      </c>
      <c r="I228" s="3" t="str">
        <f>IF($L228="","",IF(INDEX(tblRegistros[Data],$L228)&gt;$D$4,"",IFERROR(IF(INDEX(tblRegistros[Status],$L228)="EM ABERTO","",INDEX(tblRegistros[Valor],$L228)),"")))</f>
        <v/>
      </c>
      <c r="J228" t="str">
        <f>IF($L228="","",IF(INDEX(tblRegistros[Data],$L228)&gt;$D$4,"",IFERROR(INDEX(tblRegistros[Status],$L228),"")))</f>
        <v/>
      </c>
      <c r="K228" t="str">
        <f>IF($L228="","",IF(INDEX(tblRegistros[Data],$L228)&gt;$D$4,"",IFERROR(INDEX(tblRegistros[Observação],$L228),"")))</f>
        <v/>
      </c>
      <c r="L228" s="16" t="str">
        <f>IFERROR(MATCH($B$3*100000+COUNTIFS(tblRegistros[ID],$B$3,tblRegistros[Data],"&lt;"&amp;$B$4)+ROWS($L$10:L228),tblRegistros[Chave do cartão],0),"")</f>
        <v/>
      </c>
    </row>
    <row r="229" spans="1:12">
      <c r="A229" s="2" t="str">
        <f>IF($L229="","",IF(INDEX(tblRegistros[Data],$L229)&gt;$D$4,"",IFERROR(INDEX(tblRegistros[Data],$L229),"")))</f>
        <v/>
      </c>
      <c r="B229" t="str">
        <f>IF($L229="","",IF(INDEX(tblRegistros[Data],$L229)&gt;$D$4,"",IFERROR(INDEX(tblRegistros[Projeto],$L229),"")))</f>
        <v/>
      </c>
      <c r="C229" t="str">
        <f>IF($L229="","",IF(INDEX(tblRegistros[Data],$L229)&gt;$D$4,"",IFERROR(INDEX(tblRegistros[Atividade],$L229),"")))</f>
        <v/>
      </c>
      <c r="D229" s="4" t="str">
        <f>IF($L229="","",IF(INDEX(tblRegistros[Data],$L229)&gt;$D$4,"",IFERROR(INDEX(tblRegistros[Início],$L229),"")))</f>
        <v/>
      </c>
      <c r="E229" s="4" t="str">
        <f>IF($L229="","",IF(INDEX(tblRegistros[Data],$L229)&gt;$D$4,"",IFERROR(IF(INDEX(tblRegistros[Status],$L229)="EM ABERTO","",INDEX(tblRegistros[Fim],$L229)),"")))</f>
        <v/>
      </c>
      <c r="F229" s="14" t="str">
        <f>IF($L229="","",IF(INDEX(tblRegistros[Data],$L229)&gt;$D$4,"",IFERROR(IF(INDEX(tblRegistros[Status],$L229)="EM ABERTO","",INDEX(tblRegistros[Horas],$L229)),"")))</f>
        <v/>
      </c>
      <c r="G229" t="str">
        <f>IF($L229="","",IF(INDEX(tblRegistros[Data],$L229)&gt;$D$4,"",IFERROR(INDEX(tblRegistros[Base],$L229),"")))</f>
        <v/>
      </c>
      <c r="H229" s="3" t="str">
        <f>IF($L229="","",IF(INDEX(tblRegistros[Data],$L229)&gt;$D$4,"",IFERROR(INDEX(tblRegistros[Taxa aplicada],$L229),"")))</f>
        <v/>
      </c>
      <c r="I229" s="3" t="str">
        <f>IF($L229="","",IF(INDEX(tblRegistros[Data],$L229)&gt;$D$4,"",IFERROR(IF(INDEX(tblRegistros[Status],$L229)="EM ABERTO","",INDEX(tblRegistros[Valor],$L229)),"")))</f>
        <v/>
      </c>
      <c r="J229" t="str">
        <f>IF($L229="","",IF(INDEX(tblRegistros[Data],$L229)&gt;$D$4,"",IFERROR(INDEX(tblRegistros[Status],$L229),"")))</f>
        <v/>
      </c>
      <c r="K229" t="str">
        <f>IF($L229="","",IF(INDEX(tblRegistros[Data],$L229)&gt;$D$4,"",IFERROR(INDEX(tblRegistros[Observação],$L229),"")))</f>
        <v/>
      </c>
      <c r="L229" s="16" t="str">
        <f>IFERROR(MATCH($B$3*100000+COUNTIFS(tblRegistros[ID],$B$3,tblRegistros[Data],"&lt;"&amp;$B$4)+ROWS($L$10:L229),tblRegistros[Chave do cartão],0),"")</f>
        <v/>
      </c>
    </row>
    <row r="230" spans="1:12">
      <c r="A230" s="2" t="str">
        <f>IF($L230="","",IF(INDEX(tblRegistros[Data],$L230)&gt;$D$4,"",IFERROR(INDEX(tblRegistros[Data],$L230),"")))</f>
        <v/>
      </c>
      <c r="B230" t="str">
        <f>IF($L230="","",IF(INDEX(tblRegistros[Data],$L230)&gt;$D$4,"",IFERROR(INDEX(tblRegistros[Projeto],$L230),"")))</f>
        <v/>
      </c>
      <c r="C230" t="str">
        <f>IF($L230="","",IF(INDEX(tblRegistros[Data],$L230)&gt;$D$4,"",IFERROR(INDEX(tblRegistros[Atividade],$L230),"")))</f>
        <v/>
      </c>
      <c r="D230" s="4" t="str">
        <f>IF($L230="","",IF(INDEX(tblRegistros[Data],$L230)&gt;$D$4,"",IFERROR(INDEX(tblRegistros[Início],$L230),"")))</f>
        <v/>
      </c>
      <c r="E230" s="4" t="str">
        <f>IF($L230="","",IF(INDEX(tblRegistros[Data],$L230)&gt;$D$4,"",IFERROR(IF(INDEX(tblRegistros[Status],$L230)="EM ABERTO","",INDEX(tblRegistros[Fim],$L230)),"")))</f>
        <v/>
      </c>
      <c r="F230" s="14" t="str">
        <f>IF($L230="","",IF(INDEX(tblRegistros[Data],$L230)&gt;$D$4,"",IFERROR(IF(INDEX(tblRegistros[Status],$L230)="EM ABERTO","",INDEX(tblRegistros[Horas],$L230)),"")))</f>
        <v/>
      </c>
      <c r="G230" t="str">
        <f>IF($L230="","",IF(INDEX(tblRegistros[Data],$L230)&gt;$D$4,"",IFERROR(INDEX(tblRegistros[Base],$L230),"")))</f>
        <v/>
      </c>
      <c r="H230" s="3" t="str">
        <f>IF($L230="","",IF(INDEX(tblRegistros[Data],$L230)&gt;$D$4,"",IFERROR(INDEX(tblRegistros[Taxa aplicada],$L230),"")))</f>
        <v/>
      </c>
      <c r="I230" s="3" t="str">
        <f>IF($L230="","",IF(INDEX(tblRegistros[Data],$L230)&gt;$D$4,"",IFERROR(IF(INDEX(tblRegistros[Status],$L230)="EM ABERTO","",INDEX(tblRegistros[Valor],$L230)),"")))</f>
        <v/>
      </c>
      <c r="J230" t="str">
        <f>IF($L230="","",IF(INDEX(tblRegistros[Data],$L230)&gt;$D$4,"",IFERROR(INDEX(tblRegistros[Status],$L230),"")))</f>
        <v/>
      </c>
      <c r="K230" t="str">
        <f>IF($L230="","",IF(INDEX(tblRegistros[Data],$L230)&gt;$D$4,"",IFERROR(INDEX(tblRegistros[Observação],$L230),"")))</f>
        <v/>
      </c>
      <c r="L230" s="16" t="str">
        <f>IFERROR(MATCH($B$3*100000+COUNTIFS(tblRegistros[ID],$B$3,tblRegistros[Data],"&lt;"&amp;$B$4)+ROWS($L$10:L230),tblRegistros[Chave do cartão],0),"")</f>
        <v/>
      </c>
    </row>
    <row r="231" spans="1:12">
      <c r="A231" s="2" t="str">
        <f>IF($L231="","",IF(INDEX(tblRegistros[Data],$L231)&gt;$D$4,"",IFERROR(INDEX(tblRegistros[Data],$L231),"")))</f>
        <v/>
      </c>
      <c r="B231" t="str">
        <f>IF($L231="","",IF(INDEX(tblRegistros[Data],$L231)&gt;$D$4,"",IFERROR(INDEX(tblRegistros[Projeto],$L231),"")))</f>
        <v/>
      </c>
      <c r="C231" t="str">
        <f>IF($L231="","",IF(INDEX(tblRegistros[Data],$L231)&gt;$D$4,"",IFERROR(INDEX(tblRegistros[Atividade],$L231),"")))</f>
        <v/>
      </c>
      <c r="D231" s="4" t="str">
        <f>IF($L231="","",IF(INDEX(tblRegistros[Data],$L231)&gt;$D$4,"",IFERROR(INDEX(tblRegistros[Início],$L231),"")))</f>
        <v/>
      </c>
      <c r="E231" s="4" t="str">
        <f>IF($L231="","",IF(INDEX(tblRegistros[Data],$L231)&gt;$D$4,"",IFERROR(IF(INDEX(tblRegistros[Status],$L231)="EM ABERTO","",INDEX(tblRegistros[Fim],$L231)),"")))</f>
        <v/>
      </c>
      <c r="F231" s="14" t="str">
        <f>IF($L231="","",IF(INDEX(tblRegistros[Data],$L231)&gt;$D$4,"",IFERROR(IF(INDEX(tblRegistros[Status],$L231)="EM ABERTO","",INDEX(tblRegistros[Horas],$L231)),"")))</f>
        <v/>
      </c>
      <c r="G231" t="str">
        <f>IF($L231="","",IF(INDEX(tblRegistros[Data],$L231)&gt;$D$4,"",IFERROR(INDEX(tblRegistros[Base],$L231),"")))</f>
        <v/>
      </c>
      <c r="H231" s="3" t="str">
        <f>IF($L231="","",IF(INDEX(tblRegistros[Data],$L231)&gt;$D$4,"",IFERROR(INDEX(tblRegistros[Taxa aplicada],$L231),"")))</f>
        <v/>
      </c>
      <c r="I231" s="3" t="str">
        <f>IF($L231="","",IF(INDEX(tblRegistros[Data],$L231)&gt;$D$4,"",IFERROR(IF(INDEX(tblRegistros[Status],$L231)="EM ABERTO","",INDEX(tblRegistros[Valor],$L231)),"")))</f>
        <v/>
      </c>
      <c r="J231" t="str">
        <f>IF($L231="","",IF(INDEX(tblRegistros[Data],$L231)&gt;$D$4,"",IFERROR(INDEX(tblRegistros[Status],$L231),"")))</f>
        <v/>
      </c>
      <c r="K231" t="str">
        <f>IF($L231="","",IF(INDEX(tblRegistros[Data],$L231)&gt;$D$4,"",IFERROR(INDEX(tblRegistros[Observação],$L231),"")))</f>
        <v/>
      </c>
      <c r="L231" s="16" t="str">
        <f>IFERROR(MATCH($B$3*100000+COUNTIFS(tblRegistros[ID],$B$3,tblRegistros[Data],"&lt;"&amp;$B$4)+ROWS($L$10:L231),tblRegistros[Chave do cartão],0),"")</f>
        <v/>
      </c>
    </row>
    <row r="232" spans="1:12">
      <c r="A232" s="2" t="str">
        <f>IF($L232="","",IF(INDEX(tblRegistros[Data],$L232)&gt;$D$4,"",IFERROR(INDEX(tblRegistros[Data],$L232),"")))</f>
        <v/>
      </c>
      <c r="B232" t="str">
        <f>IF($L232="","",IF(INDEX(tblRegistros[Data],$L232)&gt;$D$4,"",IFERROR(INDEX(tblRegistros[Projeto],$L232),"")))</f>
        <v/>
      </c>
      <c r="C232" t="str">
        <f>IF($L232="","",IF(INDEX(tblRegistros[Data],$L232)&gt;$D$4,"",IFERROR(INDEX(tblRegistros[Atividade],$L232),"")))</f>
        <v/>
      </c>
      <c r="D232" s="4" t="str">
        <f>IF($L232="","",IF(INDEX(tblRegistros[Data],$L232)&gt;$D$4,"",IFERROR(INDEX(tblRegistros[Início],$L232),"")))</f>
        <v/>
      </c>
      <c r="E232" s="4" t="str">
        <f>IF($L232="","",IF(INDEX(tblRegistros[Data],$L232)&gt;$D$4,"",IFERROR(IF(INDEX(tblRegistros[Status],$L232)="EM ABERTO","",INDEX(tblRegistros[Fim],$L232)),"")))</f>
        <v/>
      </c>
      <c r="F232" s="14" t="str">
        <f>IF($L232="","",IF(INDEX(tblRegistros[Data],$L232)&gt;$D$4,"",IFERROR(IF(INDEX(tblRegistros[Status],$L232)="EM ABERTO","",INDEX(tblRegistros[Horas],$L232)),"")))</f>
        <v/>
      </c>
      <c r="G232" t="str">
        <f>IF($L232="","",IF(INDEX(tblRegistros[Data],$L232)&gt;$D$4,"",IFERROR(INDEX(tblRegistros[Base],$L232),"")))</f>
        <v/>
      </c>
      <c r="H232" s="3" t="str">
        <f>IF($L232="","",IF(INDEX(tblRegistros[Data],$L232)&gt;$D$4,"",IFERROR(INDEX(tblRegistros[Taxa aplicada],$L232),"")))</f>
        <v/>
      </c>
      <c r="I232" s="3" t="str">
        <f>IF($L232="","",IF(INDEX(tblRegistros[Data],$L232)&gt;$D$4,"",IFERROR(IF(INDEX(tblRegistros[Status],$L232)="EM ABERTO","",INDEX(tblRegistros[Valor],$L232)),"")))</f>
        <v/>
      </c>
      <c r="J232" t="str">
        <f>IF($L232="","",IF(INDEX(tblRegistros[Data],$L232)&gt;$D$4,"",IFERROR(INDEX(tblRegistros[Status],$L232),"")))</f>
        <v/>
      </c>
      <c r="K232" t="str">
        <f>IF($L232="","",IF(INDEX(tblRegistros[Data],$L232)&gt;$D$4,"",IFERROR(INDEX(tblRegistros[Observação],$L232),"")))</f>
        <v/>
      </c>
      <c r="L232" s="16" t="str">
        <f>IFERROR(MATCH($B$3*100000+COUNTIFS(tblRegistros[ID],$B$3,tblRegistros[Data],"&lt;"&amp;$B$4)+ROWS($L$10:L232),tblRegistros[Chave do cartão],0),"")</f>
        <v/>
      </c>
    </row>
    <row r="233" spans="1:12">
      <c r="A233" s="2" t="str">
        <f>IF($L233="","",IF(INDEX(tblRegistros[Data],$L233)&gt;$D$4,"",IFERROR(INDEX(tblRegistros[Data],$L233),"")))</f>
        <v/>
      </c>
      <c r="B233" t="str">
        <f>IF($L233="","",IF(INDEX(tblRegistros[Data],$L233)&gt;$D$4,"",IFERROR(INDEX(tblRegistros[Projeto],$L233),"")))</f>
        <v/>
      </c>
      <c r="C233" t="str">
        <f>IF($L233="","",IF(INDEX(tblRegistros[Data],$L233)&gt;$D$4,"",IFERROR(INDEX(tblRegistros[Atividade],$L233),"")))</f>
        <v/>
      </c>
      <c r="D233" s="4" t="str">
        <f>IF($L233="","",IF(INDEX(tblRegistros[Data],$L233)&gt;$D$4,"",IFERROR(INDEX(tblRegistros[Início],$L233),"")))</f>
        <v/>
      </c>
      <c r="E233" s="4" t="str">
        <f>IF($L233="","",IF(INDEX(tblRegistros[Data],$L233)&gt;$D$4,"",IFERROR(IF(INDEX(tblRegistros[Status],$L233)="EM ABERTO","",INDEX(tblRegistros[Fim],$L233)),"")))</f>
        <v/>
      </c>
      <c r="F233" s="14" t="str">
        <f>IF($L233="","",IF(INDEX(tblRegistros[Data],$L233)&gt;$D$4,"",IFERROR(IF(INDEX(tblRegistros[Status],$L233)="EM ABERTO","",INDEX(tblRegistros[Horas],$L233)),"")))</f>
        <v/>
      </c>
      <c r="G233" t="str">
        <f>IF($L233="","",IF(INDEX(tblRegistros[Data],$L233)&gt;$D$4,"",IFERROR(INDEX(tblRegistros[Base],$L233),"")))</f>
        <v/>
      </c>
      <c r="H233" s="3" t="str">
        <f>IF($L233="","",IF(INDEX(tblRegistros[Data],$L233)&gt;$D$4,"",IFERROR(INDEX(tblRegistros[Taxa aplicada],$L233),"")))</f>
        <v/>
      </c>
      <c r="I233" s="3" t="str">
        <f>IF($L233="","",IF(INDEX(tblRegistros[Data],$L233)&gt;$D$4,"",IFERROR(IF(INDEX(tblRegistros[Status],$L233)="EM ABERTO","",INDEX(tblRegistros[Valor],$L233)),"")))</f>
        <v/>
      </c>
      <c r="J233" t="str">
        <f>IF($L233="","",IF(INDEX(tblRegistros[Data],$L233)&gt;$D$4,"",IFERROR(INDEX(tblRegistros[Status],$L233),"")))</f>
        <v/>
      </c>
      <c r="K233" t="str">
        <f>IF($L233="","",IF(INDEX(tblRegistros[Data],$L233)&gt;$D$4,"",IFERROR(INDEX(tblRegistros[Observação],$L233),"")))</f>
        <v/>
      </c>
      <c r="L233" s="16" t="str">
        <f>IFERROR(MATCH($B$3*100000+COUNTIFS(tblRegistros[ID],$B$3,tblRegistros[Data],"&lt;"&amp;$B$4)+ROWS($L$10:L233),tblRegistros[Chave do cartão],0),"")</f>
        <v/>
      </c>
    </row>
    <row r="234" spans="1:12">
      <c r="A234" s="2" t="str">
        <f>IF($L234="","",IF(INDEX(tblRegistros[Data],$L234)&gt;$D$4,"",IFERROR(INDEX(tblRegistros[Data],$L234),"")))</f>
        <v/>
      </c>
      <c r="B234" t="str">
        <f>IF($L234="","",IF(INDEX(tblRegistros[Data],$L234)&gt;$D$4,"",IFERROR(INDEX(tblRegistros[Projeto],$L234),"")))</f>
        <v/>
      </c>
      <c r="C234" t="str">
        <f>IF($L234="","",IF(INDEX(tblRegistros[Data],$L234)&gt;$D$4,"",IFERROR(INDEX(tblRegistros[Atividade],$L234),"")))</f>
        <v/>
      </c>
      <c r="D234" s="4" t="str">
        <f>IF($L234="","",IF(INDEX(tblRegistros[Data],$L234)&gt;$D$4,"",IFERROR(INDEX(tblRegistros[Início],$L234),"")))</f>
        <v/>
      </c>
      <c r="E234" s="4" t="str">
        <f>IF($L234="","",IF(INDEX(tblRegistros[Data],$L234)&gt;$D$4,"",IFERROR(IF(INDEX(tblRegistros[Status],$L234)="EM ABERTO","",INDEX(tblRegistros[Fim],$L234)),"")))</f>
        <v/>
      </c>
      <c r="F234" s="14" t="str">
        <f>IF($L234="","",IF(INDEX(tblRegistros[Data],$L234)&gt;$D$4,"",IFERROR(IF(INDEX(tblRegistros[Status],$L234)="EM ABERTO","",INDEX(tblRegistros[Horas],$L234)),"")))</f>
        <v/>
      </c>
      <c r="G234" t="str">
        <f>IF($L234="","",IF(INDEX(tblRegistros[Data],$L234)&gt;$D$4,"",IFERROR(INDEX(tblRegistros[Base],$L234),"")))</f>
        <v/>
      </c>
      <c r="H234" s="3" t="str">
        <f>IF($L234="","",IF(INDEX(tblRegistros[Data],$L234)&gt;$D$4,"",IFERROR(INDEX(tblRegistros[Taxa aplicada],$L234),"")))</f>
        <v/>
      </c>
      <c r="I234" s="3" t="str">
        <f>IF($L234="","",IF(INDEX(tblRegistros[Data],$L234)&gt;$D$4,"",IFERROR(IF(INDEX(tblRegistros[Status],$L234)="EM ABERTO","",INDEX(tblRegistros[Valor],$L234)),"")))</f>
        <v/>
      </c>
      <c r="J234" t="str">
        <f>IF($L234="","",IF(INDEX(tblRegistros[Data],$L234)&gt;$D$4,"",IFERROR(INDEX(tblRegistros[Status],$L234),"")))</f>
        <v/>
      </c>
      <c r="K234" t="str">
        <f>IF($L234="","",IF(INDEX(tblRegistros[Data],$L234)&gt;$D$4,"",IFERROR(INDEX(tblRegistros[Observação],$L234),"")))</f>
        <v/>
      </c>
      <c r="L234" s="16" t="str">
        <f>IFERROR(MATCH($B$3*100000+COUNTIFS(tblRegistros[ID],$B$3,tblRegistros[Data],"&lt;"&amp;$B$4)+ROWS($L$10:L234),tblRegistros[Chave do cartão],0),"")</f>
        <v/>
      </c>
    </row>
    <row r="235" spans="1:12">
      <c r="A235" s="2" t="str">
        <f>IF($L235="","",IF(INDEX(tblRegistros[Data],$L235)&gt;$D$4,"",IFERROR(INDEX(tblRegistros[Data],$L235),"")))</f>
        <v/>
      </c>
      <c r="B235" t="str">
        <f>IF($L235="","",IF(INDEX(tblRegistros[Data],$L235)&gt;$D$4,"",IFERROR(INDEX(tblRegistros[Projeto],$L235),"")))</f>
        <v/>
      </c>
      <c r="C235" t="str">
        <f>IF($L235="","",IF(INDEX(tblRegistros[Data],$L235)&gt;$D$4,"",IFERROR(INDEX(tblRegistros[Atividade],$L235),"")))</f>
        <v/>
      </c>
      <c r="D235" s="4" t="str">
        <f>IF($L235="","",IF(INDEX(tblRegistros[Data],$L235)&gt;$D$4,"",IFERROR(INDEX(tblRegistros[Início],$L235),"")))</f>
        <v/>
      </c>
      <c r="E235" s="4" t="str">
        <f>IF($L235="","",IF(INDEX(tblRegistros[Data],$L235)&gt;$D$4,"",IFERROR(IF(INDEX(tblRegistros[Status],$L235)="EM ABERTO","",INDEX(tblRegistros[Fim],$L235)),"")))</f>
        <v/>
      </c>
      <c r="F235" s="14" t="str">
        <f>IF($L235="","",IF(INDEX(tblRegistros[Data],$L235)&gt;$D$4,"",IFERROR(IF(INDEX(tblRegistros[Status],$L235)="EM ABERTO","",INDEX(tblRegistros[Horas],$L235)),"")))</f>
        <v/>
      </c>
      <c r="G235" t="str">
        <f>IF($L235="","",IF(INDEX(tblRegistros[Data],$L235)&gt;$D$4,"",IFERROR(INDEX(tblRegistros[Base],$L235),"")))</f>
        <v/>
      </c>
      <c r="H235" s="3" t="str">
        <f>IF($L235="","",IF(INDEX(tblRegistros[Data],$L235)&gt;$D$4,"",IFERROR(INDEX(tblRegistros[Taxa aplicada],$L235),"")))</f>
        <v/>
      </c>
      <c r="I235" s="3" t="str">
        <f>IF($L235="","",IF(INDEX(tblRegistros[Data],$L235)&gt;$D$4,"",IFERROR(IF(INDEX(tblRegistros[Status],$L235)="EM ABERTO","",INDEX(tblRegistros[Valor],$L235)),"")))</f>
        <v/>
      </c>
      <c r="J235" t="str">
        <f>IF($L235="","",IF(INDEX(tblRegistros[Data],$L235)&gt;$D$4,"",IFERROR(INDEX(tblRegistros[Status],$L235),"")))</f>
        <v/>
      </c>
      <c r="K235" t="str">
        <f>IF($L235="","",IF(INDEX(tblRegistros[Data],$L235)&gt;$D$4,"",IFERROR(INDEX(tblRegistros[Observação],$L235),"")))</f>
        <v/>
      </c>
      <c r="L235" s="16" t="str">
        <f>IFERROR(MATCH($B$3*100000+COUNTIFS(tblRegistros[ID],$B$3,tblRegistros[Data],"&lt;"&amp;$B$4)+ROWS($L$10:L235),tblRegistros[Chave do cartão],0),"")</f>
        <v/>
      </c>
    </row>
    <row r="236" spans="1:12">
      <c r="A236" s="2" t="str">
        <f>IF($L236="","",IF(INDEX(tblRegistros[Data],$L236)&gt;$D$4,"",IFERROR(INDEX(tblRegistros[Data],$L236),"")))</f>
        <v/>
      </c>
      <c r="B236" t="str">
        <f>IF($L236="","",IF(INDEX(tblRegistros[Data],$L236)&gt;$D$4,"",IFERROR(INDEX(tblRegistros[Projeto],$L236),"")))</f>
        <v/>
      </c>
      <c r="C236" t="str">
        <f>IF($L236="","",IF(INDEX(tblRegistros[Data],$L236)&gt;$D$4,"",IFERROR(INDEX(tblRegistros[Atividade],$L236),"")))</f>
        <v/>
      </c>
      <c r="D236" s="4" t="str">
        <f>IF($L236="","",IF(INDEX(tblRegistros[Data],$L236)&gt;$D$4,"",IFERROR(INDEX(tblRegistros[Início],$L236),"")))</f>
        <v/>
      </c>
      <c r="E236" s="4" t="str">
        <f>IF($L236="","",IF(INDEX(tblRegistros[Data],$L236)&gt;$D$4,"",IFERROR(IF(INDEX(tblRegistros[Status],$L236)="EM ABERTO","",INDEX(tblRegistros[Fim],$L236)),"")))</f>
        <v/>
      </c>
      <c r="F236" s="14" t="str">
        <f>IF($L236="","",IF(INDEX(tblRegistros[Data],$L236)&gt;$D$4,"",IFERROR(IF(INDEX(tblRegistros[Status],$L236)="EM ABERTO","",INDEX(tblRegistros[Horas],$L236)),"")))</f>
        <v/>
      </c>
      <c r="G236" t="str">
        <f>IF($L236="","",IF(INDEX(tblRegistros[Data],$L236)&gt;$D$4,"",IFERROR(INDEX(tblRegistros[Base],$L236),"")))</f>
        <v/>
      </c>
      <c r="H236" s="3" t="str">
        <f>IF($L236="","",IF(INDEX(tblRegistros[Data],$L236)&gt;$D$4,"",IFERROR(INDEX(tblRegistros[Taxa aplicada],$L236),"")))</f>
        <v/>
      </c>
      <c r="I236" s="3" t="str">
        <f>IF($L236="","",IF(INDEX(tblRegistros[Data],$L236)&gt;$D$4,"",IFERROR(IF(INDEX(tblRegistros[Status],$L236)="EM ABERTO","",INDEX(tblRegistros[Valor],$L236)),"")))</f>
        <v/>
      </c>
      <c r="J236" t="str">
        <f>IF($L236="","",IF(INDEX(tblRegistros[Data],$L236)&gt;$D$4,"",IFERROR(INDEX(tblRegistros[Status],$L236),"")))</f>
        <v/>
      </c>
      <c r="K236" t="str">
        <f>IF($L236="","",IF(INDEX(tblRegistros[Data],$L236)&gt;$D$4,"",IFERROR(INDEX(tblRegistros[Observação],$L236),"")))</f>
        <v/>
      </c>
      <c r="L236" s="16" t="str">
        <f>IFERROR(MATCH($B$3*100000+COUNTIFS(tblRegistros[ID],$B$3,tblRegistros[Data],"&lt;"&amp;$B$4)+ROWS($L$10:L236),tblRegistros[Chave do cartão],0),"")</f>
        <v/>
      </c>
    </row>
    <row r="237" spans="1:12">
      <c r="A237" s="2" t="str">
        <f>IF($L237="","",IF(INDEX(tblRegistros[Data],$L237)&gt;$D$4,"",IFERROR(INDEX(tblRegistros[Data],$L237),"")))</f>
        <v/>
      </c>
      <c r="B237" t="str">
        <f>IF($L237="","",IF(INDEX(tblRegistros[Data],$L237)&gt;$D$4,"",IFERROR(INDEX(tblRegistros[Projeto],$L237),"")))</f>
        <v/>
      </c>
      <c r="C237" t="str">
        <f>IF($L237="","",IF(INDEX(tblRegistros[Data],$L237)&gt;$D$4,"",IFERROR(INDEX(tblRegistros[Atividade],$L237),"")))</f>
        <v/>
      </c>
      <c r="D237" s="4" t="str">
        <f>IF($L237="","",IF(INDEX(tblRegistros[Data],$L237)&gt;$D$4,"",IFERROR(INDEX(tblRegistros[Início],$L237),"")))</f>
        <v/>
      </c>
      <c r="E237" s="4" t="str">
        <f>IF($L237="","",IF(INDEX(tblRegistros[Data],$L237)&gt;$D$4,"",IFERROR(IF(INDEX(tblRegistros[Status],$L237)="EM ABERTO","",INDEX(tblRegistros[Fim],$L237)),"")))</f>
        <v/>
      </c>
      <c r="F237" s="14" t="str">
        <f>IF($L237="","",IF(INDEX(tblRegistros[Data],$L237)&gt;$D$4,"",IFERROR(IF(INDEX(tblRegistros[Status],$L237)="EM ABERTO","",INDEX(tblRegistros[Horas],$L237)),"")))</f>
        <v/>
      </c>
      <c r="G237" t="str">
        <f>IF($L237="","",IF(INDEX(tblRegistros[Data],$L237)&gt;$D$4,"",IFERROR(INDEX(tblRegistros[Base],$L237),"")))</f>
        <v/>
      </c>
      <c r="H237" s="3" t="str">
        <f>IF($L237="","",IF(INDEX(tblRegistros[Data],$L237)&gt;$D$4,"",IFERROR(INDEX(tblRegistros[Taxa aplicada],$L237),"")))</f>
        <v/>
      </c>
      <c r="I237" s="3" t="str">
        <f>IF($L237="","",IF(INDEX(tblRegistros[Data],$L237)&gt;$D$4,"",IFERROR(IF(INDEX(tblRegistros[Status],$L237)="EM ABERTO","",INDEX(tblRegistros[Valor],$L237)),"")))</f>
        <v/>
      </c>
      <c r="J237" t="str">
        <f>IF($L237="","",IF(INDEX(tblRegistros[Data],$L237)&gt;$D$4,"",IFERROR(INDEX(tblRegistros[Status],$L237),"")))</f>
        <v/>
      </c>
      <c r="K237" t="str">
        <f>IF($L237="","",IF(INDEX(tblRegistros[Data],$L237)&gt;$D$4,"",IFERROR(INDEX(tblRegistros[Observação],$L237),"")))</f>
        <v/>
      </c>
      <c r="L237" s="16" t="str">
        <f>IFERROR(MATCH($B$3*100000+COUNTIFS(tblRegistros[ID],$B$3,tblRegistros[Data],"&lt;"&amp;$B$4)+ROWS($L$10:L237),tblRegistros[Chave do cartão],0),"")</f>
        <v/>
      </c>
    </row>
    <row r="238" spans="1:12">
      <c r="A238" s="2" t="str">
        <f>IF($L238="","",IF(INDEX(tblRegistros[Data],$L238)&gt;$D$4,"",IFERROR(INDEX(tblRegistros[Data],$L238),"")))</f>
        <v/>
      </c>
      <c r="B238" t="str">
        <f>IF($L238="","",IF(INDEX(tblRegistros[Data],$L238)&gt;$D$4,"",IFERROR(INDEX(tblRegistros[Projeto],$L238),"")))</f>
        <v/>
      </c>
      <c r="C238" t="str">
        <f>IF($L238="","",IF(INDEX(tblRegistros[Data],$L238)&gt;$D$4,"",IFERROR(INDEX(tblRegistros[Atividade],$L238),"")))</f>
        <v/>
      </c>
      <c r="D238" s="4" t="str">
        <f>IF($L238="","",IF(INDEX(tblRegistros[Data],$L238)&gt;$D$4,"",IFERROR(INDEX(tblRegistros[Início],$L238),"")))</f>
        <v/>
      </c>
      <c r="E238" s="4" t="str">
        <f>IF($L238="","",IF(INDEX(tblRegistros[Data],$L238)&gt;$D$4,"",IFERROR(IF(INDEX(tblRegistros[Status],$L238)="EM ABERTO","",INDEX(tblRegistros[Fim],$L238)),"")))</f>
        <v/>
      </c>
      <c r="F238" s="14" t="str">
        <f>IF($L238="","",IF(INDEX(tblRegistros[Data],$L238)&gt;$D$4,"",IFERROR(IF(INDEX(tblRegistros[Status],$L238)="EM ABERTO","",INDEX(tblRegistros[Horas],$L238)),"")))</f>
        <v/>
      </c>
      <c r="G238" t="str">
        <f>IF($L238="","",IF(INDEX(tblRegistros[Data],$L238)&gt;$D$4,"",IFERROR(INDEX(tblRegistros[Base],$L238),"")))</f>
        <v/>
      </c>
      <c r="H238" s="3" t="str">
        <f>IF($L238="","",IF(INDEX(tblRegistros[Data],$L238)&gt;$D$4,"",IFERROR(INDEX(tblRegistros[Taxa aplicada],$L238),"")))</f>
        <v/>
      </c>
      <c r="I238" s="3" t="str">
        <f>IF($L238="","",IF(INDEX(tblRegistros[Data],$L238)&gt;$D$4,"",IFERROR(IF(INDEX(tblRegistros[Status],$L238)="EM ABERTO","",INDEX(tblRegistros[Valor],$L238)),"")))</f>
        <v/>
      </c>
      <c r="J238" t="str">
        <f>IF($L238="","",IF(INDEX(tblRegistros[Data],$L238)&gt;$D$4,"",IFERROR(INDEX(tblRegistros[Status],$L238),"")))</f>
        <v/>
      </c>
      <c r="K238" t="str">
        <f>IF($L238="","",IF(INDEX(tblRegistros[Data],$L238)&gt;$D$4,"",IFERROR(INDEX(tblRegistros[Observação],$L238),"")))</f>
        <v/>
      </c>
      <c r="L238" s="16" t="str">
        <f>IFERROR(MATCH($B$3*100000+COUNTIFS(tblRegistros[ID],$B$3,tblRegistros[Data],"&lt;"&amp;$B$4)+ROWS($L$10:L238),tblRegistros[Chave do cartão],0),"")</f>
        <v/>
      </c>
    </row>
    <row r="239" spans="1:12">
      <c r="A239" s="2" t="str">
        <f>IF($L239="","",IF(INDEX(tblRegistros[Data],$L239)&gt;$D$4,"",IFERROR(INDEX(tblRegistros[Data],$L239),"")))</f>
        <v/>
      </c>
      <c r="B239" t="str">
        <f>IF($L239="","",IF(INDEX(tblRegistros[Data],$L239)&gt;$D$4,"",IFERROR(INDEX(tblRegistros[Projeto],$L239),"")))</f>
        <v/>
      </c>
      <c r="C239" t="str">
        <f>IF($L239="","",IF(INDEX(tblRegistros[Data],$L239)&gt;$D$4,"",IFERROR(INDEX(tblRegistros[Atividade],$L239),"")))</f>
        <v/>
      </c>
      <c r="D239" s="4" t="str">
        <f>IF($L239="","",IF(INDEX(tblRegistros[Data],$L239)&gt;$D$4,"",IFERROR(INDEX(tblRegistros[Início],$L239),"")))</f>
        <v/>
      </c>
      <c r="E239" s="4" t="str">
        <f>IF($L239="","",IF(INDEX(tblRegistros[Data],$L239)&gt;$D$4,"",IFERROR(IF(INDEX(tblRegistros[Status],$L239)="EM ABERTO","",INDEX(tblRegistros[Fim],$L239)),"")))</f>
        <v/>
      </c>
      <c r="F239" s="14" t="str">
        <f>IF($L239="","",IF(INDEX(tblRegistros[Data],$L239)&gt;$D$4,"",IFERROR(IF(INDEX(tblRegistros[Status],$L239)="EM ABERTO","",INDEX(tblRegistros[Horas],$L239)),"")))</f>
        <v/>
      </c>
      <c r="G239" t="str">
        <f>IF($L239="","",IF(INDEX(tblRegistros[Data],$L239)&gt;$D$4,"",IFERROR(INDEX(tblRegistros[Base],$L239),"")))</f>
        <v/>
      </c>
      <c r="H239" s="3" t="str">
        <f>IF($L239="","",IF(INDEX(tblRegistros[Data],$L239)&gt;$D$4,"",IFERROR(INDEX(tblRegistros[Taxa aplicada],$L239),"")))</f>
        <v/>
      </c>
      <c r="I239" s="3" t="str">
        <f>IF($L239="","",IF(INDEX(tblRegistros[Data],$L239)&gt;$D$4,"",IFERROR(IF(INDEX(tblRegistros[Status],$L239)="EM ABERTO","",INDEX(tblRegistros[Valor],$L239)),"")))</f>
        <v/>
      </c>
      <c r="J239" t="str">
        <f>IF($L239="","",IF(INDEX(tblRegistros[Data],$L239)&gt;$D$4,"",IFERROR(INDEX(tblRegistros[Status],$L239),"")))</f>
        <v/>
      </c>
      <c r="K239" t="str">
        <f>IF($L239="","",IF(INDEX(tblRegistros[Data],$L239)&gt;$D$4,"",IFERROR(INDEX(tblRegistros[Observação],$L239),"")))</f>
        <v/>
      </c>
      <c r="L239" s="16" t="str">
        <f>IFERROR(MATCH($B$3*100000+COUNTIFS(tblRegistros[ID],$B$3,tblRegistros[Data],"&lt;"&amp;$B$4)+ROWS($L$10:L239),tblRegistros[Chave do cartão],0),"")</f>
        <v/>
      </c>
    </row>
    <row r="240" spans="1:12">
      <c r="A240" s="2" t="str">
        <f>IF($L240="","",IF(INDEX(tblRegistros[Data],$L240)&gt;$D$4,"",IFERROR(INDEX(tblRegistros[Data],$L240),"")))</f>
        <v/>
      </c>
      <c r="B240" t="str">
        <f>IF($L240="","",IF(INDEX(tblRegistros[Data],$L240)&gt;$D$4,"",IFERROR(INDEX(tblRegistros[Projeto],$L240),"")))</f>
        <v/>
      </c>
      <c r="C240" t="str">
        <f>IF($L240="","",IF(INDEX(tblRegistros[Data],$L240)&gt;$D$4,"",IFERROR(INDEX(tblRegistros[Atividade],$L240),"")))</f>
        <v/>
      </c>
      <c r="D240" s="4" t="str">
        <f>IF($L240="","",IF(INDEX(tblRegistros[Data],$L240)&gt;$D$4,"",IFERROR(INDEX(tblRegistros[Início],$L240),"")))</f>
        <v/>
      </c>
      <c r="E240" s="4" t="str">
        <f>IF($L240="","",IF(INDEX(tblRegistros[Data],$L240)&gt;$D$4,"",IFERROR(IF(INDEX(tblRegistros[Status],$L240)="EM ABERTO","",INDEX(tblRegistros[Fim],$L240)),"")))</f>
        <v/>
      </c>
      <c r="F240" s="14" t="str">
        <f>IF($L240="","",IF(INDEX(tblRegistros[Data],$L240)&gt;$D$4,"",IFERROR(IF(INDEX(tblRegistros[Status],$L240)="EM ABERTO","",INDEX(tblRegistros[Horas],$L240)),"")))</f>
        <v/>
      </c>
      <c r="G240" t="str">
        <f>IF($L240="","",IF(INDEX(tblRegistros[Data],$L240)&gt;$D$4,"",IFERROR(INDEX(tblRegistros[Base],$L240),"")))</f>
        <v/>
      </c>
      <c r="H240" s="3" t="str">
        <f>IF($L240="","",IF(INDEX(tblRegistros[Data],$L240)&gt;$D$4,"",IFERROR(INDEX(tblRegistros[Taxa aplicada],$L240),"")))</f>
        <v/>
      </c>
      <c r="I240" s="3" t="str">
        <f>IF($L240="","",IF(INDEX(tblRegistros[Data],$L240)&gt;$D$4,"",IFERROR(IF(INDEX(tblRegistros[Status],$L240)="EM ABERTO","",INDEX(tblRegistros[Valor],$L240)),"")))</f>
        <v/>
      </c>
      <c r="J240" t="str">
        <f>IF($L240="","",IF(INDEX(tblRegistros[Data],$L240)&gt;$D$4,"",IFERROR(INDEX(tblRegistros[Status],$L240),"")))</f>
        <v/>
      </c>
      <c r="K240" t="str">
        <f>IF($L240="","",IF(INDEX(tblRegistros[Data],$L240)&gt;$D$4,"",IFERROR(INDEX(tblRegistros[Observação],$L240),"")))</f>
        <v/>
      </c>
      <c r="L240" s="16" t="str">
        <f>IFERROR(MATCH($B$3*100000+COUNTIFS(tblRegistros[ID],$B$3,tblRegistros[Data],"&lt;"&amp;$B$4)+ROWS($L$10:L240),tblRegistros[Chave do cartão],0),"")</f>
        <v/>
      </c>
    </row>
    <row r="241" spans="1:12">
      <c r="A241" s="2" t="str">
        <f>IF($L241="","",IF(INDEX(tblRegistros[Data],$L241)&gt;$D$4,"",IFERROR(INDEX(tblRegistros[Data],$L241),"")))</f>
        <v/>
      </c>
      <c r="B241" t="str">
        <f>IF($L241="","",IF(INDEX(tblRegistros[Data],$L241)&gt;$D$4,"",IFERROR(INDEX(tblRegistros[Projeto],$L241),"")))</f>
        <v/>
      </c>
      <c r="C241" t="str">
        <f>IF($L241="","",IF(INDEX(tblRegistros[Data],$L241)&gt;$D$4,"",IFERROR(INDEX(tblRegistros[Atividade],$L241),"")))</f>
        <v/>
      </c>
      <c r="D241" s="4" t="str">
        <f>IF($L241="","",IF(INDEX(tblRegistros[Data],$L241)&gt;$D$4,"",IFERROR(INDEX(tblRegistros[Início],$L241),"")))</f>
        <v/>
      </c>
      <c r="E241" s="4" t="str">
        <f>IF($L241="","",IF(INDEX(tblRegistros[Data],$L241)&gt;$D$4,"",IFERROR(IF(INDEX(tblRegistros[Status],$L241)="EM ABERTO","",INDEX(tblRegistros[Fim],$L241)),"")))</f>
        <v/>
      </c>
      <c r="F241" s="14" t="str">
        <f>IF($L241="","",IF(INDEX(tblRegistros[Data],$L241)&gt;$D$4,"",IFERROR(IF(INDEX(tblRegistros[Status],$L241)="EM ABERTO","",INDEX(tblRegistros[Horas],$L241)),"")))</f>
        <v/>
      </c>
      <c r="G241" t="str">
        <f>IF($L241="","",IF(INDEX(tblRegistros[Data],$L241)&gt;$D$4,"",IFERROR(INDEX(tblRegistros[Base],$L241),"")))</f>
        <v/>
      </c>
      <c r="H241" s="3" t="str">
        <f>IF($L241="","",IF(INDEX(tblRegistros[Data],$L241)&gt;$D$4,"",IFERROR(INDEX(tblRegistros[Taxa aplicada],$L241),"")))</f>
        <v/>
      </c>
      <c r="I241" s="3" t="str">
        <f>IF($L241="","",IF(INDEX(tblRegistros[Data],$L241)&gt;$D$4,"",IFERROR(IF(INDEX(tblRegistros[Status],$L241)="EM ABERTO","",INDEX(tblRegistros[Valor],$L241)),"")))</f>
        <v/>
      </c>
      <c r="J241" t="str">
        <f>IF($L241="","",IF(INDEX(tblRegistros[Data],$L241)&gt;$D$4,"",IFERROR(INDEX(tblRegistros[Status],$L241),"")))</f>
        <v/>
      </c>
      <c r="K241" t="str">
        <f>IF($L241="","",IF(INDEX(tblRegistros[Data],$L241)&gt;$D$4,"",IFERROR(INDEX(tblRegistros[Observação],$L241),"")))</f>
        <v/>
      </c>
      <c r="L241" s="16" t="str">
        <f>IFERROR(MATCH($B$3*100000+COUNTIFS(tblRegistros[ID],$B$3,tblRegistros[Data],"&lt;"&amp;$B$4)+ROWS($L$10:L241),tblRegistros[Chave do cartão],0),"")</f>
        <v/>
      </c>
    </row>
    <row r="242" spans="1:12">
      <c r="A242" s="2" t="str">
        <f>IF($L242="","",IF(INDEX(tblRegistros[Data],$L242)&gt;$D$4,"",IFERROR(INDEX(tblRegistros[Data],$L242),"")))</f>
        <v/>
      </c>
      <c r="B242" t="str">
        <f>IF($L242="","",IF(INDEX(tblRegistros[Data],$L242)&gt;$D$4,"",IFERROR(INDEX(tblRegistros[Projeto],$L242),"")))</f>
        <v/>
      </c>
      <c r="C242" t="str">
        <f>IF($L242="","",IF(INDEX(tblRegistros[Data],$L242)&gt;$D$4,"",IFERROR(INDEX(tblRegistros[Atividade],$L242),"")))</f>
        <v/>
      </c>
      <c r="D242" s="4" t="str">
        <f>IF($L242="","",IF(INDEX(tblRegistros[Data],$L242)&gt;$D$4,"",IFERROR(INDEX(tblRegistros[Início],$L242),"")))</f>
        <v/>
      </c>
      <c r="E242" s="4" t="str">
        <f>IF($L242="","",IF(INDEX(tblRegistros[Data],$L242)&gt;$D$4,"",IFERROR(IF(INDEX(tblRegistros[Status],$L242)="EM ABERTO","",INDEX(tblRegistros[Fim],$L242)),"")))</f>
        <v/>
      </c>
      <c r="F242" s="14" t="str">
        <f>IF($L242="","",IF(INDEX(tblRegistros[Data],$L242)&gt;$D$4,"",IFERROR(IF(INDEX(tblRegistros[Status],$L242)="EM ABERTO","",INDEX(tblRegistros[Horas],$L242)),"")))</f>
        <v/>
      </c>
      <c r="G242" t="str">
        <f>IF($L242="","",IF(INDEX(tblRegistros[Data],$L242)&gt;$D$4,"",IFERROR(INDEX(tblRegistros[Base],$L242),"")))</f>
        <v/>
      </c>
      <c r="H242" s="3" t="str">
        <f>IF($L242="","",IF(INDEX(tblRegistros[Data],$L242)&gt;$D$4,"",IFERROR(INDEX(tblRegistros[Taxa aplicada],$L242),"")))</f>
        <v/>
      </c>
      <c r="I242" s="3" t="str">
        <f>IF($L242="","",IF(INDEX(tblRegistros[Data],$L242)&gt;$D$4,"",IFERROR(IF(INDEX(tblRegistros[Status],$L242)="EM ABERTO","",INDEX(tblRegistros[Valor],$L242)),"")))</f>
        <v/>
      </c>
      <c r="J242" t="str">
        <f>IF($L242="","",IF(INDEX(tblRegistros[Data],$L242)&gt;$D$4,"",IFERROR(INDEX(tblRegistros[Status],$L242),"")))</f>
        <v/>
      </c>
      <c r="K242" t="str">
        <f>IF($L242="","",IF(INDEX(tblRegistros[Data],$L242)&gt;$D$4,"",IFERROR(INDEX(tblRegistros[Observação],$L242),"")))</f>
        <v/>
      </c>
      <c r="L242" s="16" t="str">
        <f>IFERROR(MATCH($B$3*100000+COUNTIFS(tblRegistros[ID],$B$3,tblRegistros[Data],"&lt;"&amp;$B$4)+ROWS($L$10:L242),tblRegistros[Chave do cartão],0),"")</f>
        <v/>
      </c>
    </row>
    <row r="243" spans="1:12">
      <c r="A243" s="2" t="str">
        <f>IF($L243="","",IF(INDEX(tblRegistros[Data],$L243)&gt;$D$4,"",IFERROR(INDEX(tblRegistros[Data],$L243),"")))</f>
        <v/>
      </c>
      <c r="B243" t="str">
        <f>IF($L243="","",IF(INDEX(tblRegistros[Data],$L243)&gt;$D$4,"",IFERROR(INDEX(tblRegistros[Projeto],$L243),"")))</f>
        <v/>
      </c>
      <c r="C243" t="str">
        <f>IF($L243="","",IF(INDEX(tblRegistros[Data],$L243)&gt;$D$4,"",IFERROR(INDEX(tblRegistros[Atividade],$L243),"")))</f>
        <v/>
      </c>
      <c r="D243" s="4" t="str">
        <f>IF($L243="","",IF(INDEX(tblRegistros[Data],$L243)&gt;$D$4,"",IFERROR(INDEX(tblRegistros[Início],$L243),"")))</f>
        <v/>
      </c>
      <c r="E243" s="4" t="str">
        <f>IF($L243="","",IF(INDEX(tblRegistros[Data],$L243)&gt;$D$4,"",IFERROR(IF(INDEX(tblRegistros[Status],$L243)="EM ABERTO","",INDEX(tblRegistros[Fim],$L243)),"")))</f>
        <v/>
      </c>
      <c r="F243" s="14" t="str">
        <f>IF($L243="","",IF(INDEX(tblRegistros[Data],$L243)&gt;$D$4,"",IFERROR(IF(INDEX(tblRegistros[Status],$L243)="EM ABERTO","",INDEX(tblRegistros[Horas],$L243)),"")))</f>
        <v/>
      </c>
      <c r="G243" t="str">
        <f>IF($L243="","",IF(INDEX(tblRegistros[Data],$L243)&gt;$D$4,"",IFERROR(INDEX(tblRegistros[Base],$L243),"")))</f>
        <v/>
      </c>
      <c r="H243" s="3" t="str">
        <f>IF($L243="","",IF(INDEX(tblRegistros[Data],$L243)&gt;$D$4,"",IFERROR(INDEX(tblRegistros[Taxa aplicada],$L243),"")))</f>
        <v/>
      </c>
      <c r="I243" s="3" t="str">
        <f>IF($L243="","",IF(INDEX(tblRegistros[Data],$L243)&gt;$D$4,"",IFERROR(IF(INDEX(tblRegistros[Status],$L243)="EM ABERTO","",INDEX(tblRegistros[Valor],$L243)),"")))</f>
        <v/>
      </c>
      <c r="J243" t="str">
        <f>IF($L243="","",IF(INDEX(tblRegistros[Data],$L243)&gt;$D$4,"",IFERROR(INDEX(tblRegistros[Status],$L243),"")))</f>
        <v/>
      </c>
      <c r="K243" t="str">
        <f>IF($L243="","",IF(INDEX(tblRegistros[Data],$L243)&gt;$D$4,"",IFERROR(INDEX(tblRegistros[Observação],$L243),"")))</f>
        <v/>
      </c>
      <c r="L243" s="16" t="str">
        <f>IFERROR(MATCH($B$3*100000+COUNTIFS(tblRegistros[ID],$B$3,tblRegistros[Data],"&lt;"&amp;$B$4)+ROWS($L$10:L243),tblRegistros[Chave do cartão],0),"")</f>
        <v/>
      </c>
    </row>
    <row r="244" spans="1:12">
      <c r="A244" s="2" t="str">
        <f>IF($L244="","",IF(INDEX(tblRegistros[Data],$L244)&gt;$D$4,"",IFERROR(INDEX(tblRegistros[Data],$L244),"")))</f>
        <v/>
      </c>
      <c r="B244" t="str">
        <f>IF($L244="","",IF(INDEX(tblRegistros[Data],$L244)&gt;$D$4,"",IFERROR(INDEX(tblRegistros[Projeto],$L244),"")))</f>
        <v/>
      </c>
      <c r="C244" t="str">
        <f>IF($L244="","",IF(INDEX(tblRegistros[Data],$L244)&gt;$D$4,"",IFERROR(INDEX(tblRegistros[Atividade],$L244),"")))</f>
        <v/>
      </c>
      <c r="D244" s="4" t="str">
        <f>IF($L244="","",IF(INDEX(tblRegistros[Data],$L244)&gt;$D$4,"",IFERROR(INDEX(tblRegistros[Início],$L244),"")))</f>
        <v/>
      </c>
      <c r="E244" s="4" t="str">
        <f>IF($L244="","",IF(INDEX(tblRegistros[Data],$L244)&gt;$D$4,"",IFERROR(IF(INDEX(tblRegistros[Status],$L244)="EM ABERTO","",INDEX(tblRegistros[Fim],$L244)),"")))</f>
        <v/>
      </c>
      <c r="F244" s="14" t="str">
        <f>IF($L244="","",IF(INDEX(tblRegistros[Data],$L244)&gt;$D$4,"",IFERROR(IF(INDEX(tblRegistros[Status],$L244)="EM ABERTO","",INDEX(tblRegistros[Horas],$L244)),"")))</f>
        <v/>
      </c>
      <c r="G244" t="str">
        <f>IF($L244="","",IF(INDEX(tblRegistros[Data],$L244)&gt;$D$4,"",IFERROR(INDEX(tblRegistros[Base],$L244),"")))</f>
        <v/>
      </c>
      <c r="H244" s="3" t="str">
        <f>IF($L244="","",IF(INDEX(tblRegistros[Data],$L244)&gt;$D$4,"",IFERROR(INDEX(tblRegistros[Taxa aplicada],$L244),"")))</f>
        <v/>
      </c>
      <c r="I244" s="3" t="str">
        <f>IF($L244="","",IF(INDEX(tblRegistros[Data],$L244)&gt;$D$4,"",IFERROR(IF(INDEX(tblRegistros[Status],$L244)="EM ABERTO","",INDEX(tblRegistros[Valor],$L244)),"")))</f>
        <v/>
      </c>
      <c r="J244" t="str">
        <f>IF($L244="","",IF(INDEX(tblRegistros[Data],$L244)&gt;$D$4,"",IFERROR(INDEX(tblRegistros[Status],$L244),"")))</f>
        <v/>
      </c>
      <c r="K244" t="str">
        <f>IF($L244="","",IF(INDEX(tblRegistros[Data],$L244)&gt;$D$4,"",IFERROR(INDEX(tblRegistros[Observação],$L244),"")))</f>
        <v/>
      </c>
      <c r="L244" s="16" t="str">
        <f>IFERROR(MATCH($B$3*100000+COUNTIFS(tblRegistros[ID],$B$3,tblRegistros[Data],"&lt;"&amp;$B$4)+ROWS($L$10:L244),tblRegistros[Chave do cartão],0),"")</f>
        <v/>
      </c>
    </row>
    <row r="245" spans="1:12">
      <c r="A245" s="2" t="str">
        <f>IF($L245="","",IF(INDEX(tblRegistros[Data],$L245)&gt;$D$4,"",IFERROR(INDEX(tblRegistros[Data],$L245),"")))</f>
        <v/>
      </c>
      <c r="B245" t="str">
        <f>IF($L245="","",IF(INDEX(tblRegistros[Data],$L245)&gt;$D$4,"",IFERROR(INDEX(tblRegistros[Projeto],$L245),"")))</f>
        <v/>
      </c>
      <c r="C245" t="str">
        <f>IF($L245="","",IF(INDEX(tblRegistros[Data],$L245)&gt;$D$4,"",IFERROR(INDEX(tblRegistros[Atividade],$L245),"")))</f>
        <v/>
      </c>
      <c r="D245" s="4" t="str">
        <f>IF($L245="","",IF(INDEX(tblRegistros[Data],$L245)&gt;$D$4,"",IFERROR(INDEX(tblRegistros[Início],$L245),"")))</f>
        <v/>
      </c>
      <c r="E245" s="4" t="str">
        <f>IF($L245="","",IF(INDEX(tblRegistros[Data],$L245)&gt;$D$4,"",IFERROR(IF(INDEX(tblRegistros[Status],$L245)="EM ABERTO","",INDEX(tblRegistros[Fim],$L245)),"")))</f>
        <v/>
      </c>
      <c r="F245" s="14" t="str">
        <f>IF($L245="","",IF(INDEX(tblRegistros[Data],$L245)&gt;$D$4,"",IFERROR(IF(INDEX(tblRegistros[Status],$L245)="EM ABERTO","",INDEX(tblRegistros[Horas],$L245)),"")))</f>
        <v/>
      </c>
      <c r="G245" t="str">
        <f>IF($L245="","",IF(INDEX(tblRegistros[Data],$L245)&gt;$D$4,"",IFERROR(INDEX(tblRegistros[Base],$L245),"")))</f>
        <v/>
      </c>
      <c r="H245" s="3" t="str">
        <f>IF($L245="","",IF(INDEX(tblRegistros[Data],$L245)&gt;$D$4,"",IFERROR(INDEX(tblRegistros[Taxa aplicada],$L245),"")))</f>
        <v/>
      </c>
      <c r="I245" s="3" t="str">
        <f>IF($L245="","",IF(INDEX(tblRegistros[Data],$L245)&gt;$D$4,"",IFERROR(IF(INDEX(tblRegistros[Status],$L245)="EM ABERTO","",INDEX(tblRegistros[Valor],$L245)),"")))</f>
        <v/>
      </c>
      <c r="J245" t="str">
        <f>IF($L245="","",IF(INDEX(tblRegistros[Data],$L245)&gt;$D$4,"",IFERROR(INDEX(tblRegistros[Status],$L245),"")))</f>
        <v/>
      </c>
      <c r="K245" t="str">
        <f>IF($L245="","",IF(INDEX(tblRegistros[Data],$L245)&gt;$D$4,"",IFERROR(INDEX(tblRegistros[Observação],$L245),"")))</f>
        <v/>
      </c>
      <c r="L245" s="16" t="str">
        <f>IFERROR(MATCH($B$3*100000+COUNTIFS(tblRegistros[ID],$B$3,tblRegistros[Data],"&lt;"&amp;$B$4)+ROWS($L$10:L245),tblRegistros[Chave do cartão],0),"")</f>
        <v/>
      </c>
    </row>
    <row r="246" spans="1:12">
      <c r="A246" s="2" t="str">
        <f>IF($L246="","",IF(INDEX(tblRegistros[Data],$L246)&gt;$D$4,"",IFERROR(INDEX(tblRegistros[Data],$L246),"")))</f>
        <v/>
      </c>
      <c r="B246" t="str">
        <f>IF($L246="","",IF(INDEX(tblRegistros[Data],$L246)&gt;$D$4,"",IFERROR(INDEX(tblRegistros[Projeto],$L246),"")))</f>
        <v/>
      </c>
      <c r="C246" t="str">
        <f>IF($L246="","",IF(INDEX(tblRegistros[Data],$L246)&gt;$D$4,"",IFERROR(INDEX(tblRegistros[Atividade],$L246),"")))</f>
        <v/>
      </c>
      <c r="D246" s="4" t="str">
        <f>IF($L246="","",IF(INDEX(tblRegistros[Data],$L246)&gt;$D$4,"",IFERROR(INDEX(tblRegistros[Início],$L246),"")))</f>
        <v/>
      </c>
      <c r="E246" s="4" t="str">
        <f>IF($L246="","",IF(INDEX(tblRegistros[Data],$L246)&gt;$D$4,"",IFERROR(IF(INDEX(tblRegistros[Status],$L246)="EM ABERTO","",INDEX(tblRegistros[Fim],$L246)),"")))</f>
        <v/>
      </c>
      <c r="F246" s="14" t="str">
        <f>IF($L246="","",IF(INDEX(tblRegistros[Data],$L246)&gt;$D$4,"",IFERROR(IF(INDEX(tblRegistros[Status],$L246)="EM ABERTO","",INDEX(tblRegistros[Horas],$L246)),"")))</f>
        <v/>
      </c>
      <c r="G246" t="str">
        <f>IF($L246="","",IF(INDEX(tblRegistros[Data],$L246)&gt;$D$4,"",IFERROR(INDEX(tblRegistros[Base],$L246),"")))</f>
        <v/>
      </c>
      <c r="H246" s="3" t="str">
        <f>IF($L246="","",IF(INDEX(tblRegistros[Data],$L246)&gt;$D$4,"",IFERROR(INDEX(tblRegistros[Taxa aplicada],$L246),"")))</f>
        <v/>
      </c>
      <c r="I246" s="3" t="str">
        <f>IF($L246="","",IF(INDEX(tblRegistros[Data],$L246)&gt;$D$4,"",IFERROR(IF(INDEX(tblRegistros[Status],$L246)="EM ABERTO","",INDEX(tblRegistros[Valor],$L246)),"")))</f>
        <v/>
      </c>
      <c r="J246" t="str">
        <f>IF($L246="","",IF(INDEX(tblRegistros[Data],$L246)&gt;$D$4,"",IFERROR(INDEX(tblRegistros[Status],$L246),"")))</f>
        <v/>
      </c>
      <c r="K246" t="str">
        <f>IF($L246="","",IF(INDEX(tblRegistros[Data],$L246)&gt;$D$4,"",IFERROR(INDEX(tblRegistros[Observação],$L246),"")))</f>
        <v/>
      </c>
      <c r="L246" s="16" t="str">
        <f>IFERROR(MATCH($B$3*100000+COUNTIFS(tblRegistros[ID],$B$3,tblRegistros[Data],"&lt;"&amp;$B$4)+ROWS($L$10:L246),tblRegistros[Chave do cartão],0),"")</f>
        <v/>
      </c>
    </row>
    <row r="247" spans="1:12">
      <c r="A247" s="2" t="str">
        <f>IF($L247="","",IF(INDEX(tblRegistros[Data],$L247)&gt;$D$4,"",IFERROR(INDEX(tblRegistros[Data],$L247),"")))</f>
        <v/>
      </c>
      <c r="B247" t="str">
        <f>IF($L247="","",IF(INDEX(tblRegistros[Data],$L247)&gt;$D$4,"",IFERROR(INDEX(tblRegistros[Projeto],$L247),"")))</f>
        <v/>
      </c>
      <c r="C247" t="str">
        <f>IF($L247="","",IF(INDEX(tblRegistros[Data],$L247)&gt;$D$4,"",IFERROR(INDEX(tblRegistros[Atividade],$L247),"")))</f>
        <v/>
      </c>
      <c r="D247" s="4" t="str">
        <f>IF($L247="","",IF(INDEX(tblRegistros[Data],$L247)&gt;$D$4,"",IFERROR(INDEX(tblRegistros[Início],$L247),"")))</f>
        <v/>
      </c>
      <c r="E247" s="4" t="str">
        <f>IF($L247="","",IF(INDEX(tblRegistros[Data],$L247)&gt;$D$4,"",IFERROR(IF(INDEX(tblRegistros[Status],$L247)="EM ABERTO","",INDEX(tblRegistros[Fim],$L247)),"")))</f>
        <v/>
      </c>
      <c r="F247" s="14" t="str">
        <f>IF($L247="","",IF(INDEX(tblRegistros[Data],$L247)&gt;$D$4,"",IFERROR(IF(INDEX(tblRegistros[Status],$L247)="EM ABERTO","",INDEX(tblRegistros[Horas],$L247)),"")))</f>
        <v/>
      </c>
      <c r="G247" t="str">
        <f>IF($L247="","",IF(INDEX(tblRegistros[Data],$L247)&gt;$D$4,"",IFERROR(INDEX(tblRegistros[Base],$L247),"")))</f>
        <v/>
      </c>
      <c r="H247" s="3" t="str">
        <f>IF($L247="","",IF(INDEX(tblRegistros[Data],$L247)&gt;$D$4,"",IFERROR(INDEX(tblRegistros[Taxa aplicada],$L247),"")))</f>
        <v/>
      </c>
      <c r="I247" s="3" t="str">
        <f>IF($L247="","",IF(INDEX(tblRegistros[Data],$L247)&gt;$D$4,"",IFERROR(IF(INDEX(tblRegistros[Status],$L247)="EM ABERTO","",INDEX(tblRegistros[Valor],$L247)),"")))</f>
        <v/>
      </c>
      <c r="J247" t="str">
        <f>IF($L247="","",IF(INDEX(tblRegistros[Data],$L247)&gt;$D$4,"",IFERROR(INDEX(tblRegistros[Status],$L247),"")))</f>
        <v/>
      </c>
      <c r="K247" t="str">
        <f>IF($L247="","",IF(INDEX(tblRegistros[Data],$L247)&gt;$D$4,"",IFERROR(INDEX(tblRegistros[Observação],$L247),"")))</f>
        <v/>
      </c>
      <c r="L247" s="16" t="str">
        <f>IFERROR(MATCH($B$3*100000+COUNTIFS(tblRegistros[ID],$B$3,tblRegistros[Data],"&lt;"&amp;$B$4)+ROWS($L$10:L247),tblRegistros[Chave do cartão],0),"")</f>
        <v/>
      </c>
    </row>
    <row r="248" spans="1:12">
      <c r="A248" s="2" t="str">
        <f>IF($L248="","",IF(INDEX(tblRegistros[Data],$L248)&gt;$D$4,"",IFERROR(INDEX(tblRegistros[Data],$L248),"")))</f>
        <v/>
      </c>
      <c r="B248" t="str">
        <f>IF($L248="","",IF(INDEX(tblRegistros[Data],$L248)&gt;$D$4,"",IFERROR(INDEX(tblRegistros[Projeto],$L248),"")))</f>
        <v/>
      </c>
      <c r="C248" t="str">
        <f>IF($L248="","",IF(INDEX(tblRegistros[Data],$L248)&gt;$D$4,"",IFERROR(INDEX(tblRegistros[Atividade],$L248),"")))</f>
        <v/>
      </c>
      <c r="D248" s="4" t="str">
        <f>IF($L248="","",IF(INDEX(tblRegistros[Data],$L248)&gt;$D$4,"",IFERROR(INDEX(tblRegistros[Início],$L248),"")))</f>
        <v/>
      </c>
      <c r="E248" s="4" t="str">
        <f>IF($L248="","",IF(INDEX(tblRegistros[Data],$L248)&gt;$D$4,"",IFERROR(IF(INDEX(tblRegistros[Status],$L248)="EM ABERTO","",INDEX(tblRegistros[Fim],$L248)),"")))</f>
        <v/>
      </c>
      <c r="F248" s="14" t="str">
        <f>IF($L248="","",IF(INDEX(tblRegistros[Data],$L248)&gt;$D$4,"",IFERROR(IF(INDEX(tblRegistros[Status],$L248)="EM ABERTO","",INDEX(tblRegistros[Horas],$L248)),"")))</f>
        <v/>
      </c>
      <c r="G248" t="str">
        <f>IF($L248="","",IF(INDEX(tblRegistros[Data],$L248)&gt;$D$4,"",IFERROR(INDEX(tblRegistros[Base],$L248),"")))</f>
        <v/>
      </c>
      <c r="H248" s="3" t="str">
        <f>IF($L248="","",IF(INDEX(tblRegistros[Data],$L248)&gt;$D$4,"",IFERROR(INDEX(tblRegistros[Taxa aplicada],$L248),"")))</f>
        <v/>
      </c>
      <c r="I248" s="3" t="str">
        <f>IF($L248="","",IF(INDEX(tblRegistros[Data],$L248)&gt;$D$4,"",IFERROR(IF(INDEX(tblRegistros[Status],$L248)="EM ABERTO","",INDEX(tblRegistros[Valor],$L248)),"")))</f>
        <v/>
      </c>
      <c r="J248" t="str">
        <f>IF($L248="","",IF(INDEX(tblRegistros[Data],$L248)&gt;$D$4,"",IFERROR(INDEX(tblRegistros[Status],$L248),"")))</f>
        <v/>
      </c>
      <c r="K248" t="str">
        <f>IF($L248="","",IF(INDEX(tblRegistros[Data],$L248)&gt;$D$4,"",IFERROR(INDEX(tblRegistros[Observação],$L248),"")))</f>
        <v/>
      </c>
      <c r="L248" s="16" t="str">
        <f>IFERROR(MATCH($B$3*100000+COUNTIFS(tblRegistros[ID],$B$3,tblRegistros[Data],"&lt;"&amp;$B$4)+ROWS($L$10:L248),tblRegistros[Chave do cartão],0),"")</f>
        <v/>
      </c>
    </row>
    <row r="249" spans="1:12">
      <c r="A249" s="2" t="str">
        <f>IF($L249="","",IF(INDEX(tblRegistros[Data],$L249)&gt;$D$4,"",IFERROR(INDEX(tblRegistros[Data],$L249),"")))</f>
        <v/>
      </c>
      <c r="B249" t="str">
        <f>IF($L249="","",IF(INDEX(tblRegistros[Data],$L249)&gt;$D$4,"",IFERROR(INDEX(tblRegistros[Projeto],$L249),"")))</f>
        <v/>
      </c>
      <c r="C249" t="str">
        <f>IF($L249="","",IF(INDEX(tblRegistros[Data],$L249)&gt;$D$4,"",IFERROR(INDEX(tblRegistros[Atividade],$L249),"")))</f>
        <v/>
      </c>
      <c r="D249" s="4" t="str">
        <f>IF($L249="","",IF(INDEX(tblRegistros[Data],$L249)&gt;$D$4,"",IFERROR(INDEX(tblRegistros[Início],$L249),"")))</f>
        <v/>
      </c>
      <c r="E249" s="4" t="str">
        <f>IF($L249="","",IF(INDEX(tblRegistros[Data],$L249)&gt;$D$4,"",IFERROR(IF(INDEX(tblRegistros[Status],$L249)="EM ABERTO","",INDEX(tblRegistros[Fim],$L249)),"")))</f>
        <v/>
      </c>
      <c r="F249" s="14" t="str">
        <f>IF($L249="","",IF(INDEX(tblRegistros[Data],$L249)&gt;$D$4,"",IFERROR(IF(INDEX(tblRegistros[Status],$L249)="EM ABERTO","",INDEX(tblRegistros[Horas],$L249)),"")))</f>
        <v/>
      </c>
      <c r="G249" t="str">
        <f>IF($L249="","",IF(INDEX(tblRegistros[Data],$L249)&gt;$D$4,"",IFERROR(INDEX(tblRegistros[Base],$L249),"")))</f>
        <v/>
      </c>
      <c r="H249" s="3" t="str">
        <f>IF($L249="","",IF(INDEX(tblRegistros[Data],$L249)&gt;$D$4,"",IFERROR(INDEX(tblRegistros[Taxa aplicada],$L249),"")))</f>
        <v/>
      </c>
      <c r="I249" s="3" t="str">
        <f>IF($L249="","",IF(INDEX(tblRegistros[Data],$L249)&gt;$D$4,"",IFERROR(IF(INDEX(tblRegistros[Status],$L249)="EM ABERTO","",INDEX(tblRegistros[Valor],$L249)),"")))</f>
        <v/>
      </c>
      <c r="J249" t="str">
        <f>IF($L249="","",IF(INDEX(tblRegistros[Data],$L249)&gt;$D$4,"",IFERROR(INDEX(tblRegistros[Status],$L249),"")))</f>
        <v/>
      </c>
      <c r="K249" t="str">
        <f>IF($L249="","",IF(INDEX(tblRegistros[Data],$L249)&gt;$D$4,"",IFERROR(INDEX(tblRegistros[Observação],$L249),"")))</f>
        <v/>
      </c>
      <c r="L249" s="16" t="str">
        <f>IFERROR(MATCH($B$3*100000+COUNTIFS(tblRegistros[ID],$B$3,tblRegistros[Data],"&lt;"&amp;$B$4)+ROWS($L$10:L249),tblRegistros[Chave do cartão],0),"")</f>
        <v/>
      </c>
    </row>
    <row r="250" spans="1:12">
      <c r="A250" s="2" t="str">
        <f>IF($L250="","",IF(INDEX(tblRegistros[Data],$L250)&gt;$D$4,"",IFERROR(INDEX(tblRegistros[Data],$L250),"")))</f>
        <v/>
      </c>
      <c r="B250" t="str">
        <f>IF($L250="","",IF(INDEX(tblRegistros[Data],$L250)&gt;$D$4,"",IFERROR(INDEX(tblRegistros[Projeto],$L250),"")))</f>
        <v/>
      </c>
      <c r="C250" t="str">
        <f>IF($L250="","",IF(INDEX(tblRegistros[Data],$L250)&gt;$D$4,"",IFERROR(INDEX(tblRegistros[Atividade],$L250),"")))</f>
        <v/>
      </c>
      <c r="D250" s="4" t="str">
        <f>IF($L250="","",IF(INDEX(tblRegistros[Data],$L250)&gt;$D$4,"",IFERROR(INDEX(tblRegistros[Início],$L250),"")))</f>
        <v/>
      </c>
      <c r="E250" s="4" t="str">
        <f>IF($L250="","",IF(INDEX(tblRegistros[Data],$L250)&gt;$D$4,"",IFERROR(IF(INDEX(tblRegistros[Status],$L250)="EM ABERTO","",INDEX(tblRegistros[Fim],$L250)),"")))</f>
        <v/>
      </c>
      <c r="F250" s="14" t="str">
        <f>IF($L250="","",IF(INDEX(tblRegistros[Data],$L250)&gt;$D$4,"",IFERROR(IF(INDEX(tblRegistros[Status],$L250)="EM ABERTO","",INDEX(tblRegistros[Horas],$L250)),"")))</f>
        <v/>
      </c>
      <c r="G250" t="str">
        <f>IF($L250="","",IF(INDEX(tblRegistros[Data],$L250)&gt;$D$4,"",IFERROR(INDEX(tblRegistros[Base],$L250),"")))</f>
        <v/>
      </c>
      <c r="H250" s="3" t="str">
        <f>IF($L250="","",IF(INDEX(tblRegistros[Data],$L250)&gt;$D$4,"",IFERROR(INDEX(tblRegistros[Taxa aplicada],$L250),"")))</f>
        <v/>
      </c>
      <c r="I250" s="3" t="str">
        <f>IF($L250="","",IF(INDEX(tblRegistros[Data],$L250)&gt;$D$4,"",IFERROR(IF(INDEX(tblRegistros[Status],$L250)="EM ABERTO","",INDEX(tblRegistros[Valor],$L250)),"")))</f>
        <v/>
      </c>
      <c r="J250" t="str">
        <f>IF($L250="","",IF(INDEX(tblRegistros[Data],$L250)&gt;$D$4,"",IFERROR(INDEX(tblRegistros[Status],$L250),"")))</f>
        <v/>
      </c>
      <c r="K250" t="str">
        <f>IF($L250="","",IF(INDEX(tblRegistros[Data],$L250)&gt;$D$4,"",IFERROR(INDEX(tblRegistros[Observação],$L250),"")))</f>
        <v/>
      </c>
      <c r="L250" s="16" t="str">
        <f>IFERROR(MATCH($B$3*100000+COUNTIFS(tblRegistros[ID],$B$3,tblRegistros[Data],"&lt;"&amp;$B$4)+ROWS($L$10:L250),tblRegistros[Chave do cartão],0),"")</f>
        <v/>
      </c>
    </row>
    <row r="251" spans="1:12">
      <c r="A251" s="2" t="str">
        <f>IF($L251="","",IF(INDEX(tblRegistros[Data],$L251)&gt;$D$4,"",IFERROR(INDEX(tblRegistros[Data],$L251),"")))</f>
        <v/>
      </c>
      <c r="B251" t="str">
        <f>IF($L251="","",IF(INDEX(tblRegistros[Data],$L251)&gt;$D$4,"",IFERROR(INDEX(tblRegistros[Projeto],$L251),"")))</f>
        <v/>
      </c>
      <c r="C251" t="str">
        <f>IF($L251="","",IF(INDEX(tblRegistros[Data],$L251)&gt;$D$4,"",IFERROR(INDEX(tblRegistros[Atividade],$L251),"")))</f>
        <v/>
      </c>
      <c r="D251" s="4" t="str">
        <f>IF($L251="","",IF(INDEX(tblRegistros[Data],$L251)&gt;$D$4,"",IFERROR(INDEX(tblRegistros[Início],$L251),"")))</f>
        <v/>
      </c>
      <c r="E251" s="4" t="str">
        <f>IF($L251="","",IF(INDEX(tblRegistros[Data],$L251)&gt;$D$4,"",IFERROR(IF(INDEX(tblRegistros[Status],$L251)="EM ABERTO","",INDEX(tblRegistros[Fim],$L251)),"")))</f>
        <v/>
      </c>
      <c r="F251" s="14" t="str">
        <f>IF($L251="","",IF(INDEX(tblRegistros[Data],$L251)&gt;$D$4,"",IFERROR(IF(INDEX(tblRegistros[Status],$L251)="EM ABERTO","",INDEX(tblRegistros[Horas],$L251)),"")))</f>
        <v/>
      </c>
      <c r="G251" t="str">
        <f>IF($L251="","",IF(INDEX(tblRegistros[Data],$L251)&gt;$D$4,"",IFERROR(INDEX(tblRegistros[Base],$L251),"")))</f>
        <v/>
      </c>
      <c r="H251" s="3" t="str">
        <f>IF($L251="","",IF(INDEX(tblRegistros[Data],$L251)&gt;$D$4,"",IFERROR(INDEX(tblRegistros[Taxa aplicada],$L251),"")))</f>
        <v/>
      </c>
      <c r="I251" s="3" t="str">
        <f>IF($L251="","",IF(INDEX(tblRegistros[Data],$L251)&gt;$D$4,"",IFERROR(IF(INDEX(tblRegistros[Status],$L251)="EM ABERTO","",INDEX(tblRegistros[Valor],$L251)),"")))</f>
        <v/>
      </c>
      <c r="J251" t="str">
        <f>IF($L251="","",IF(INDEX(tblRegistros[Data],$L251)&gt;$D$4,"",IFERROR(INDEX(tblRegistros[Status],$L251),"")))</f>
        <v/>
      </c>
      <c r="K251" t="str">
        <f>IF($L251="","",IF(INDEX(tblRegistros[Data],$L251)&gt;$D$4,"",IFERROR(INDEX(tblRegistros[Observação],$L251),"")))</f>
        <v/>
      </c>
      <c r="L251" s="16" t="str">
        <f>IFERROR(MATCH($B$3*100000+COUNTIFS(tblRegistros[ID],$B$3,tblRegistros[Data],"&lt;"&amp;$B$4)+ROWS($L$10:L251),tblRegistros[Chave do cartão],0),"")</f>
        <v/>
      </c>
    </row>
    <row r="252" spans="1:12">
      <c r="A252" s="2" t="str">
        <f>IF($L252="","",IF(INDEX(tblRegistros[Data],$L252)&gt;$D$4,"",IFERROR(INDEX(tblRegistros[Data],$L252),"")))</f>
        <v/>
      </c>
      <c r="B252" t="str">
        <f>IF($L252="","",IF(INDEX(tblRegistros[Data],$L252)&gt;$D$4,"",IFERROR(INDEX(tblRegistros[Projeto],$L252),"")))</f>
        <v/>
      </c>
      <c r="C252" t="str">
        <f>IF($L252="","",IF(INDEX(tblRegistros[Data],$L252)&gt;$D$4,"",IFERROR(INDEX(tblRegistros[Atividade],$L252),"")))</f>
        <v/>
      </c>
      <c r="D252" s="4" t="str">
        <f>IF($L252="","",IF(INDEX(tblRegistros[Data],$L252)&gt;$D$4,"",IFERROR(INDEX(tblRegistros[Início],$L252),"")))</f>
        <v/>
      </c>
      <c r="E252" s="4" t="str">
        <f>IF($L252="","",IF(INDEX(tblRegistros[Data],$L252)&gt;$D$4,"",IFERROR(IF(INDEX(tblRegistros[Status],$L252)="EM ABERTO","",INDEX(tblRegistros[Fim],$L252)),"")))</f>
        <v/>
      </c>
      <c r="F252" s="14" t="str">
        <f>IF($L252="","",IF(INDEX(tblRegistros[Data],$L252)&gt;$D$4,"",IFERROR(IF(INDEX(tblRegistros[Status],$L252)="EM ABERTO","",INDEX(tblRegistros[Horas],$L252)),"")))</f>
        <v/>
      </c>
      <c r="G252" t="str">
        <f>IF($L252="","",IF(INDEX(tblRegistros[Data],$L252)&gt;$D$4,"",IFERROR(INDEX(tblRegistros[Base],$L252),"")))</f>
        <v/>
      </c>
      <c r="H252" s="3" t="str">
        <f>IF($L252="","",IF(INDEX(tblRegistros[Data],$L252)&gt;$D$4,"",IFERROR(INDEX(tblRegistros[Taxa aplicada],$L252),"")))</f>
        <v/>
      </c>
      <c r="I252" s="3" t="str">
        <f>IF($L252="","",IF(INDEX(tblRegistros[Data],$L252)&gt;$D$4,"",IFERROR(IF(INDEX(tblRegistros[Status],$L252)="EM ABERTO","",INDEX(tblRegistros[Valor],$L252)),"")))</f>
        <v/>
      </c>
      <c r="J252" t="str">
        <f>IF($L252="","",IF(INDEX(tblRegistros[Data],$L252)&gt;$D$4,"",IFERROR(INDEX(tblRegistros[Status],$L252),"")))</f>
        <v/>
      </c>
      <c r="K252" t="str">
        <f>IF($L252="","",IF(INDEX(tblRegistros[Data],$L252)&gt;$D$4,"",IFERROR(INDEX(tblRegistros[Observação],$L252),"")))</f>
        <v/>
      </c>
      <c r="L252" s="16" t="str">
        <f>IFERROR(MATCH($B$3*100000+COUNTIFS(tblRegistros[ID],$B$3,tblRegistros[Data],"&lt;"&amp;$B$4)+ROWS($L$10:L252),tblRegistros[Chave do cartão],0),"")</f>
        <v/>
      </c>
    </row>
    <row r="253" spans="1:12">
      <c r="A253" s="2" t="str">
        <f>IF($L253="","",IF(INDEX(tblRegistros[Data],$L253)&gt;$D$4,"",IFERROR(INDEX(tblRegistros[Data],$L253),"")))</f>
        <v/>
      </c>
      <c r="B253" t="str">
        <f>IF($L253="","",IF(INDEX(tblRegistros[Data],$L253)&gt;$D$4,"",IFERROR(INDEX(tblRegistros[Projeto],$L253),"")))</f>
        <v/>
      </c>
      <c r="C253" t="str">
        <f>IF($L253="","",IF(INDEX(tblRegistros[Data],$L253)&gt;$D$4,"",IFERROR(INDEX(tblRegistros[Atividade],$L253),"")))</f>
        <v/>
      </c>
      <c r="D253" s="4" t="str">
        <f>IF($L253="","",IF(INDEX(tblRegistros[Data],$L253)&gt;$D$4,"",IFERROR(INDEX(tblRegistros[Início],$L253),"")))</f>
        <v/>
      </c>
      <c r="E253" s="4" t="str">
        <f>IF($L253="","",IF(INDEX(tblRegistros[Data],$L253)&gt;$D$4,"",IFERROR(IF(INDEX(tblRegistros[Status],$L253)="EM ABERTO","",INDEX(tblRegistros[Fim],$L253)),"")))</f>
        <v/>
      </c>
      <c r="F253" s="14" t="str">
        <f>IF($L253="","",IF(INDEX(tblRegistros[Data],$L253)&gt;$D$4,"",IFERROR(IF(INDEX(tblRegistros[Status],$L253)="EM ABERTO","",INDEX(tblRegistros[Horas],$L253)),"")))</f>
        <v/>
      </c>
      <c r="G253" t="str">
        <f>IF($L253="","",IF(INDEX(tblRegistros[Data],$L253)&gt;$D$4,"",IFERROR(INDEX(tblRegistros[Base],$L253),"")))</f>
        <v/>
      </c>
      <c r="H253" s="3" t="str">
        <f>IF($L253="","",IF(INDEX(tblRegistros[Data],$L253)&gt;$D$4,"",IFERROR(INDEX(tblRegistros[Taxa aplicada],$L253),"")))</f>
        <v/>
      </c>
      <c r="I253" s="3" t="str">
        <f>IF($L253="","",IF(INDEX(tblRegistros[Data],$L253)&gt;$D$4,"",IFERROR(IF(INDEX(tblRegistros[Status],$L253)="EM ABERTO","",INDEX(tblRegistros[Valor],$L253)),"")))</f>
        <v/>
      </c>
      <c r="J253" t="str">
        <f>IF($L253="","",IF(INDEX(tblRegistros[Data],$L253)&gt;$D$4,"",IFERROR(INDEX(tblRegistros[Status],$L253),"")))</f>
        <v/>
      </c>
      <c r="K253" t="str">
        <f>IF($L253="","",IF(INDEX(tblRegistros[Data],$L253)&gt;$D$4,"",IFERROR(INDEX(tblRegistros[Observação],$L253),"")))</f>
        <v/>
      </c>
      <c r="L253" s="16" t="str">
        <f>IFERROR(MATCH($B$3*100000+COUNTIFS(tblRegistros[ID],$B$3,tblRegistros[Data],"&lt;"&amp;$B$4)+ROWS($L$10:L253),tblRegistros[Chave do cartão],0),"")</f>
        <v/>
      </c>
    </row>
    <row r="254" spans="1:12">
      <c r="A254" s="2" t="str">
        <f>IF($L254="","",IF(INDEX(tblRegistros[Data],$L254)&gt;$D$4,"",IFERROR(INDEX(tblRegistros[Data],$L254),"")))</f>
        <v/>
      </c>
      <c r="B254" t="str">
        <f>IF($L254="","",IF(INDEX(tblRegistros[Data],$L254)&gt;$D$4,"",IFERROR(INDEX(tblRegistros[Projeto],$L254),"")))</f>
        <v/>
      </c>
      <c r="C254" t="str">
        <f>IF($L254="","",IF(INDEX(tblRegistros[Data],$L254)&gt;$D$4,"",IFERROR(INDEX(tblRegistros[Atividade],$L254),"")))</f>
        <v/>
      </c>
      <c r="D254" s="4" t="str">
        <f>IF($L254="","",IF(INDEX(tblRegistros[Data],$L254)&gt;$D$4,"",IFERROR(INDEX(tblRegistros[Início],$L254),"")))</f>
        <v/>
      </c>
      <c r="E254" s="4" t="str">
        <f>IF($L254="","",IF(INDEX(tblRegistros[Data],$L254)&gt;$D$4,"",IFERROR(IF(INDEX(tblRegistros[Status],$L254)="EM ABERTO","",INDEX(tblRegistros[Fim],$L254)),"")))</f>
        <v/>
      </c>
      <c r="F254" s="14" t="str">
        <f>IF($L254="","",IF(INDEX(tblRegistros[Data],$L254)&gt;$D$4,"",IFERROR(IF(INDEX(tblRegistros[Status],$L254)="EM ABERTO","",INDEX(tblRegistros[Horas],$L254)),"")))</f>
        <v/>
      </c>
      <c r="G254" t="str">
        <f>IF($L254="","",IF(INDEX(tblRegistros[Data],$L254)&gt;$D$4,"",IFERROR(INDEX(tblRegistros[Base],$L254),"")))</f>
        <v/>
      </c>
      <c r="H254" s="3" t="str">
        <f>IF($L254="","",IF(INDEX(tblRegistros[Data],$L254)&gt;$D$4,"",IFERROR(INDEX(tblRegistros[Taxa aplicada],$L254),"")))</f>
        <v/>
      </c>
      <c r="I254" s="3" t="str">
        <f>IF($L254="","",IF(INDEX(tblRegistros[Data],$L254)&gt;$D$4,"",IFERROR(IF(INDEX(tblRegistros[Status],$L254)="EM ABERTO","",INDEX(tblRegistros[Valor],$L254)),"")))</f>
        <v/>
      </c>
      <c r="J254" t="str">
        <f>IF($L254="","",IF(INDEX(tblRegistros[Data],$L254)&gt;$D$4,"",IFERROR(INDEX(tblRegistros[Status],$L254),"")))</f>
        <v/>
      </c>
      <c r="K254" t="str">
        <f>IF($L254="","",IF(INDEX(tblRegistros[Data],$L254)&gt;$D$4,"",IFERROR(INDEX(tblRegistros[Observação],$L254),"")))</f>
        <v/>
      </c>
      <c r="L254" s="16" t="str">
        <f>IFERROR(MATCH($B$3*100000+COUNTIFS(tblRegistros[ID],$B$3,tblRegistros[Data],"&lt;"&amp;$B$4)+ROWS($L$10:L254),tblRegistros[Chave do cartão],0),"")</f>
        <v/>
      </c>
    </row>
    <row r="255" spans="1:12">
      <c r="A255" s="2" t="str">
        <f>IF($L255="","",IF(INDEX(tblRegistros[Data],$L255)&gt;$D$4,"",IFERROR(INDEX(tblRegistros[Data],$L255),"")))</f>
        <v/>
      </c>
      <c r="B255" t="str">
        <f>IF($L255="","",IF(INDEX(tblRegistros[Data],$L255)&gt;$D$4,"",IFERROR(INDEX(tblRegistros[Projeto],$L255),"")))</f>
        <v/>
      </c>
      <c r="C255" t="str">
        <f>IF($L255="","",IF(INDEX(tblRegistros[Data],$L255)&gt;$D$4,"",IFERROR(INDEX(tblRegistros[Atividade],$L255),"")))</f>
        <v/>
      </c>
      <c r="D255" s="4" t="str">
        <f>IF($L255="","",IF(INDEX(tblRegistros[Data],$L255)&gt;$D$4,"",IFERROR(INDEX(tblRegistros[Início],$L255),"")))</f>
        <v/>
      </c>
      <c r="E255" s="4" t="str">
        <f>IF($L255="","",IF(INDEX(tblRegistros[Data],$L255)&gt;$D$4,"",IFERROR(IF(INDEX(tblRegistros[Status],$L255)="EM ABERTO","",INDEX(tblRegistros[Fim],$L255)),"")))</f>
        <v/>
      </c>
      <c r="F255" s="14" t="str">
        <f>IF($L255="","",IF(INDEX(tblRegistros[Data],$L255)&gt;$D$4,"",IFERROR(IF(INDEX(tblRegistros[Status],$L255)="EM ABERTO","",INDEX(tblRegistros[Horas],$L255)),"")))</f>
        <v/>
      </c>
      <c r="G255" t="str">
        <f>IF($L255="","",IF(INDEX(tblRegistros[Data],$L255)&gt;$D$4,"",IFERROR(INDEX(tblRegistros[Base],$L255),"")))</f>
        <v/>
      </c>
      <c r="H255" s="3" t="str">
        <f>IF($L255="","",IF(INDEX(tblRegistros[Data],$L255)&gt;$D$4,"",IFERROR(INDEX(tblRegistros[Taxa aplicada],$L255),"")))</f>
        <v/>
      </c>
      <c r="I255" s="3" t="str">
        <f>IF($L255="","",IF(INDEX(tblRegistros[Data],$L255)&gt;$D$4,"",IFERROR(IF(INDEX(tblRegistros[Status],$L255)="EM ABERTO","",INDEX(tblRegistros[Valor],$L255)),"")))</f>
        <v/>
      </c>
      <c r="J255" t="str">
        <f>IF($L255="","",IF(INDEX(tblRegistros[Data],$L255)&gt;$D$4,"",IFERROR(INDEX(tblRegistros[Status],$L255),"")))</f>
        <v/>
      </c>
      <c r="K255" t="str">
        <f>IF($L255="","",IF(INDEX(tblRegistros[Data],$L255)&gt;$D$4,"",IFERROR(INDEX(tblRegistros[Observação],$L255),"")))</f>
        <v/>
      </c>
      <c r="L255" s="16" t="str">
        <f>IFERROR(MATCH($B$3*100000+COUNTIFS(tblRegistros[ID],$B$3,tblRegistros[Data],"&lt;"&amp;$B$4)+ROWS($L$10:L255),tblRegistros[Chave do cartão],0),"")</f>
        <v/>
      </c>
    </row>
    <row r="256" spans="1:12">
      <c r="A256" s="2" t="str">
        <f>IF($L256="","",IF(INDEX(tblRegistros[Data],$L256)&gt;$D$4,"",IFERROR(INDEX(tblRegistros[Data],$L256),"")))</f>
        <v/>
      </c>
      <c r="B256" t="str">
        <f>IF($L256="","",IF(INDEX(tblRegistros[Data],$L256)&gt;$D$4,"",IFERROR(INDEX(tblRegistros[Projeto],$L256),"")))</f>
        <v/>
      </c>
      <c r="C256" t="str">
        <f>IF($L256="","",IF(INDEX(tblRegistros[Data],$L256)&gt;$D$4,"",IFERROR(INDEX(tblRegistros[Atividade],$L256),"")))</f>
        <v/>
      </c>
      <c r="D256" s="4" t="str">
        <f>IF($L256="","",IF(INDEX(tblRegistros[Data],$L256)&gt;$D$4,"",IFERROR(INDEX(tblRegistros[Início],$L256),"")))</f>
        <v/>
      </c>
      <c r="E256" s="4" t="str">
        <f>IF($L256="","",IF(INDEX(tblRegistros[Data],$L256)&gt;$D$4,"",IFERROR(IF(INDEX(tblRegistros[Status],$L256)="EM ABERTO","",INDEX(tblRegistros[Fim],$L256)),"")))</f>
        <v/>
      </c>
      <c r="F256" s="14" t="str">
        <f>IF($L256="","",IF(INDEX(tblRegistros[Data],$L256)&gt;$D$4,"",IFERROR(IF(INDEX(tblRegistros[Status],$L256)="EM ABERTO","",INDEX(tblRegistros[Horas],$L256)),"")))</f>
        <v/>
      </c>
      <c r="G256" t="str">
        <f>IF($L256="","",IF(INDEX(tblRegistros[Data],$L256)&gt;$D$4,"",IFERROR(INDEX(tblRegistros[Base],$L256),"")))</f>
        <v/>
      </c>
      <c r="H256" s="3" t="str">
        <f>IF($L256="","",IF(INDEX(tblRegistros[Data],$L256)&gt;$D$4,"",IFERROR(INDEX(tblRegistros[Taxa aplicada],$L256),"")))</f>
        <v/>
      </c>
      <c r="I256" s="3" t="str">
        <f>IF($L256="","",IF(INDEX(tblRegistros[Data],$L256)&gt;$D$4,"",IFERROR(IF(INDEX(tblRegistros[Status],$L256)="EM ABERTO","",INDEX(tblRegistros[Valor],$L256)),"")))</f>
        <v/>
      </c>
      <c r="J256" t="str">
        <f>IF($L256="","",IF(INDEX(tblRegistros[Data],$L256)&gt;$D$4,"",IFERROR(INDEX(tblRegistros[Status],$L256),"")))</f>
        <v/>
      </c>
      <c r="K256" t="str">
        <f>IF($L256="","",IF(INDEX(tblRegistros[Data],$L256)&gt;$D$4,"",IFERROR(INDEX(tblRegistros[Observação],$L256),"")))</f>
        <v/>
      </c>
      <c r="L256" s="16" t="str">
        <f>IFERROR(MATCH($B$3*100000+COUNTIFS(tblRegistros[ID],$B$3,tblRegistros[Data],"&lt;"&amp;$B$4)+ROWS($L$10:L256),tblRegistros[Chave do cartão],0),"")</f>
        <v/>
      </c>
    </row>
    <row r="257" spans="1:12">
      <c r="A257" s="2" t="str">
        <f>IF($L257="","",IF(INDEX(tblRegistros[Data],$L257)&gt;$D$4,"",IFERROR(INDEX(tblRegistros[Data],$L257),"")))</f>
        <v/>
      </c>
      <c r="B257" t="str">
        <f>IF($L257="","",IF(INDEX(tblRegistros[Data],$L257)&gt;$D$4,"",IFERROR(INDEX(tblRegistros[Projeto],$L257),"")))</f>
        <v/>
      </c>
      <c r="C257" t="str">
        <f>IF($L257="","",IF(INDEX(tblRegistros[Data],$L257)&gt;$D$4,"",IFERROR(INDEX(tblRegistros[Atividade],$L257),"")))</f>
        <v/>
      </c>
      <c r="D257" s="4" t="str">
        <f>IF($L257="","",IF(INDEX(tblRegistros[Data],$L257)&gt;$D$4,"",IFERROR(INDEX(tblRegistros[Início],$L257),"")))</f>
        <v/>
      </c>
      <c r="E257" s="4" t="str">
        <f>IF($L257="","",IF(INDEX(tblRegistros[Data],$L257)&gt;$D$4,"",IFERROR(IF(INDEX(tblRegistros[Status],$L257)="EM ABERTO","",INDEX(tblRegistros[Fim],$L257)),"")))</f>
        <v/>
      </c>
      <c r="F257" s="14" t="str">
        <f>IF($L257="","",IF(INDEX(tblRegistros[Data],$L257)&gt;$D$4,"",IFERROR(IF(INDEX(tblRegistros[Status],$L257)="EM ABERTO","",INDEX(tblRegistros[Horas],$L257)),"")))</f>
        <v/>
      </c>
      <c r="G257" t="str">
        <f>IF($L257="","",IF(INDEX(tblRegistros[Data],$L257)&gt;$D$4,"",IFERROR(INDEX(tblRegistros[Base],$L257),"")))</f>
        <v/>
      </c>
      <c r="H257" s="3" t="str">
        <f>IF($L257="","",IF(INDEX(tblRegistros[Data],$L257)&gt;$D$4,"",IFERROR(INDEX(tblRegistros[Taxa aplicada],$L257),"")))</f>
        <v/>
      </c>
      <c r="I257" s="3" t="str">
        <f>IF($L257="","",IF(INDEX(tblRegistros[Data],$L257)&gt;$D$4,"",IFERROR(IF(INDEX(tblRegistros[Status],$L257)="EM ABERTO","",INDEX(tblRegistros[Valor],$L257)),"")))</f>
        <v/>
      </c>
      <c r="J257" t="str">
        <f>IF($L257="","",IF(INDEX(tblRegistros[Data],$L257)&gt;$D$4,"",IFERROR(INDEX(tblRegistros[Status],$L257),"")))</f>
        <v/>
      </c>
      <c r="K257" t="str">
        <f>IF($L257="","",IF(INDEX(tblRegistros[Data],$L257)&gt;$D$4,"",IFERROR(INDEX(tblRegistros[Observação],$L257),"")))</f>
        <v/>
      </c>
      <c r="L257" s="16" t="str">
        <f>IFERROR(MATCH($B$3*100000+COUNTIFS(tblRegistros[ID],$B$3,tblRegistros[Data],"&lt;"&amp;$B$4)+ROWS($L$10:L257),tblRegistros[Chave do cartão],0),"")</f>
        <v/>
      </c>
    </row>
    <row r="258" spans="1:12">
      <c r="A258" s="2" t="str">
        <f>IF($L258="","",IF(INDEX(tblRegistros[Data],$L258)&gt;$D$4,"",IFERROR(INDEX(tblRegistros[Data],$L258),"")))</f>
        <v/>
      </c>
      <c r="B258" t="str">
        <f>IF($L258="","",IF(INDEX(tblRegistros[Data],$L258)&gt;$D$4,"",IFERROR(INDEX(tblRegistros[Projeto],$L258),"")))</f>
        <v/>
      </c>
      <c r="C258" t="str">
        <f>IF($L258="","",IF(INDEX(tblRegistros[Data],$L258)&gt;$D$4,"",IFERROR(INDEX(tblRegistros[Atividade],$L258),"")))</f>
        <v/>
      </c>
      <c r="D258" s="4" t="str">
        <f>IF($L258="","",IF(INDEX(tblRegistros[Data],$L258)&gt;$D$4,"",IFERROR(INDEX(tblRegistros[Início],$L258),"")))</f>
        <v/>
      </c>
      <c r="E258" s="4" t="str">
        <f>IF($L258="","",IF(INDEX(tblRegistros[Data],$L258)&gt;$D$4,"",IFERROR(IF(INDEX(tblRegistros[Status],$L258)="EM ABERTO","",INDEX(tblRegistros[Fim],$L258)),"")))</f>
        <v/>
      </c>
      <c r="F258" s="14" t="str">
        <f>IF($L258="","",IF(INDEX(tblRegistros[Data],$L258)&gt;$D$4,"",IFERROR(IF(INDEX(tblRegistros[Status],$L258)="EM ABERTO","",INDEX(tblRegistros[Horas],$L258)),"")))</f>
        <v/>
      </c>
      <c r="G258" t="str">
        <f>IF($L258="","",IF(INDEX(tblRegistros[Data],$L258)&gt;$D$4,"",IFERROR(INDEX(tblRegistros[Base],$L258),"")))</f>
        <v/>
      </c>
      <c r="H258" s="3" t="str">
        <f>IF($L258="","",IF(INDEX(tblRegistros[Data],$L258)&gt;$D$4,"",IFERROR(INDEX(tblRegistros[Taxa aplicada],$L258),"")))</f>
        <v/>
      </c>
      <c r="I258" s="3" t="str">
        <f>IF($L258="","",IF(INDEX(tblRegistros[Data],$L258)&gt;$D$4,"",IFERROR(IF(INDEX(tblRegistros[Status],$L258)="EM ABERTO","",INDEX(tblRegistros[Valor],$L258)),"")))</f>
        <v/>
      </c>
      <c r="J258" t="str">
        <f>IF($L258="","",IF(INDEX(tblRegistros[Data],$L258)&gt;$D$4,"",IFERROR(INDEX(tblRegistros[Status],$L258),"")))</f>
        <v/>
      </c>
      <c r="K258" t="str">
        <f>IF($L258="","",IF(INDEX(tblRegistros[Data],$L258)&gt;$D$4,"",IFERROR(INDEX(tblRegistros[Observação],$L258),"")))</f>
        <v/>
      </c>
      <c r="L258" s="16" t="str">
        <f>IFERROR(MATCH($B$3*100000+COUNTIFS(tblRegistros[ID],$B$3,tblRegistros[Data],"&lt;"&amp;$B$4)+ROWS($L$10:L258),tblRegistros[Chave do cartão],0),"")</f>
        <v/>
      </c>
    </row>
    <row r="259" spans="1:12">
      <c r="A259" s="2" t="str">
        <f>IF($L259="","",IF(INDEX(tblRegistros[Data],$L259)&gt;$D$4,"",IFERROR(INDEX(tblRegistros[Data],$L259),"")))</f>
        <v/>
      </c>
      <c r="B259" t="str">
        <f>IF($L259="","",IF(INDEX(tblRegistros[Data],$L259)&gt;$D$4,"",IFERROR(INDEX(tblRegistros[Projeto],$L259),"")))</f>
        <v/>
      </c>
      <c r="C259" t="str">
        <f>IF($L259="","",IF(INDEX(tblRegistros[Data],$L259)&gt;$D$4,"",IFERROR(INDEX(tblRegistros[Atividade],$L259),"")))</f>
        <v/>
      </c>
      <c r="D259" s="4" t="str">
        <f>IF($L259="","",IF(INDEX(tblRegistros[Data],$L259)&gt;$D$4,"",IFERROR(INDEX(tblRegistros[Início],$L259),"")))</f>
        <v/>
      </c>
      <c r="E259" s="4" t="str">
        <f>IF($L259="","",IF(INDEX(tblRegistros[Data],$L259)&gt;$D$4,"",IFERROR(IF(INDEX(tblRegistros[Status],$L259)="EM ABERTO","",INDEX(tblRegistros[Fim],$L259)),"")))</f>
        <v/>
      </c>
      <c r="F259" s="14" t="str">
        <f>IF($L259="","",IF(INDEX(tblRegistros[Data],$L259)&gt;$D$4,"",IFERROR(IF(INDEX(tblRegistros[Status],$L259)="EM ABERTO","",INDEX(tblRegistros[Horas],$L259)),"")))</f>
        <v/>
      </c>
      <c r="G259" t="str">
        <f>IF($L259="","",IF(INDEX(tblRegistros[Data],$L259)&gt;$D$4,"",IFERROR(INDEX(tblRegistros[Base],$L259),"")))</f>
        <v/>
      </c>
      <c r="H259" s="3" t="str">
        <f>IF($L259="","",IF(INDEX(tblRegistros[Data],$L259)&gt;$D$4,"",IFERROR(INDEX(tblRegistros[Taxa aplicada],$L259),"")))</f>
        <v/>
      </c>
      <c r="I259" s="3" t="str">
        <f>IF($L259="","",IF(INDEX(tblRegistros[Data],$L259)&gt;$D$4,"",IFERROR(IF(INDEX(tblRegistros[Status],$L259)="EM ABERTO","",INDEX(tblRegistros[Valor],$L259)),"")))</f>
        <v/>
      </c>
      <c r="J259" t="str">
        <f>IF($L259="","",IF(INDEX(tblRegistros[Data],$L259)&gt;$D$4,"",IFERROR(INDEX(tblRegistros[Status],$L259),"")))</f>
        <v/>
      </c>
      <c r="K259" t="str">
        <f>IF($L259="","",IF(INDEX(tblRegistros[Data],$L259)&gt;$D$4,"",IFERROR(INDEX(tblRegistros[Observação],$L259),"")))</f>
        <v/>
      </c>
      <c r="L259" s="16" t="str">
        <f>IFERROR(MATCH($B$3*100000+COUNTIFS(tblRegistros[ID],$B$3,tblRegistros[Data],"&lt;"&amp;$B$4)+ROWS($L$10:L259),tblRegistros[Chave do cartão],0),"")</f>
        <v/>
      </c>
    </row>
    <row r="260" spans="1:12">
      <c r="A260" s="2" t="str">
        <f>IF($L260="","",IF(INDEX(tblRegistros[Data],$L260)&gt;$D$4,"",IFERROR(INDEX(tblRegistros[Data],$L260),"")))</f>
        <v/>
      </c>
      <c r="B260" t="str">
        <f>IF($L260="","",IF(INDEX(tblRegistros[Data],$L260)&gt;$D$4,"",IFERROR(INDEX(tblRegistros[Projeto],$L260),"")))</f>
        <v/>
      </c>
      <c r="C260" t="str">
        <f>IF($L260="","",IF(INDEX(tblRegistros[Data],$L260)&gt;$D$4,"",IFERROR(INDEX(tblRegistros[Atividade],$L260),"")))</f>
        <v/>
      </c>
      <c r="D260" s="4" t="str">
        <f>IF($L260="","",IF(INDEX(tblRegistros[Data],$L260)&gt;$D$4,"",IFERROR(INDEX(tblRegistros[Início],$L260),"")))</f>
        <v/>
      </c>
      <c r="E260" s="4" t="str">
        <f>IF($L260="","",IF(INDEX(tblRegistros[Data],$L260)&gt;$D$4,"",IFERROR(IF(INDEX(tblRegistros[Status],$L260)="EM ABERTO","",INDEX(tblRegistros[Fim],$L260)),"")))</f>
        <v/>
      </c>
      <c r="F260" s="14" t="str">
        <f>IF($L260="","",IF(INDEX(tblRegistros[Data],$L260)&gt;$D$4,"",IFERROR(IF(INDEX(tblRegistros[Status],$L260)="EM ABERTO","",INDEX(tblRegistros[Horas],$L260)),"")))</f>
        <v/>
      </c>
      <c r="G260" t="str">
        <f>IF($L260="","",IF(INDEX(tblRegistros[Data],$L260)&gt;$D$4,"",IFERROR(INDEX(tblRegistros[Base],$L260),"")))</f>
        <v/>
      </c>
      <c r="H260" s="3" t="str">
        <f>IF($L260="","",IF(INDEX(tblRegistros[Data],$L260)&gt;$D$4,"",IFERROR(INDEX(tblRegistros[Taxa aplicada],$L260),"")))</f>
        <v/>
      </c>
      <c r="I260" s="3" t="str">
        <f>IF($L260="","",IF(INDEX(tblRegistros[Data],$L260)&gt;$D$4,"",IFERROR(IF(INDEX(tblRegistros[Status],$L260)="EM ABERTO","",INDEX(tblRegistros[Valor],$L260)),"")))</f>
        <v/>
      </c>
      <c r="J260" t="str">
        <f>IF($L260="","",IF(INDEX(tblRegistros[Data],$L260)&gt;$D$4,"",IFERROR(INDEX(tblRegistros[Status],$L260),"")))</f>
        <v/>
      </c>
      <c r="K260" t="str">
        <f>IF($L260="","",IF(INDEX(tblRegistros[Data],$L260)&gt;$D$4,"",IFERROR(INDEX(tblRegistros[Observação],$L260),"")))</f>
        <v/>
      </c>
      <c r="L260" s="16" t="str">
        <f>IFERROR(MATCH($B$3*100000+COUNTIFS(tblRegistros[ID],$B$3,tblRegistros[Data],"&lt;"&amp;$B$4)+ROWS($L$10:L260),tblRegistros[Chave do cartão],0),"")</f>
        <v/>
      </c>
    </row>
    <row r="261" spans="1:12">
      <c r="A261" s="2" t="str">
        <f>IF($L261="","",IF(INDEX(tblRegistros[Data],$L261)&gt;$D$4,"",IFERROR(INDEX(tblRegistros[Data],$L261),"")))</f>
        <v/>
      </c>
      <c r="B261" t="str">
        <f>IF($L261="","",IF(INDEX(tblRegistros[Data],$L261)&gt;$D$4,"",IFERROR(INDEX(tblRegistros[Projeto],$L261),"")))</f>
        <v/>
      </c>
      <c r="C261" t="str">
        <f>IF($L261="","",IF(INDEX(tblRegistros[Data],$L261)&gt;$D$4,"",IFERROR(INDEX(tblRegistros[Atividade],$L261),"")))</f>
        <v/>
      </c>
      <c r="D261" s="4" t="str">
        <f>IF($L261="","",IF(INDEX(tblRegistros[Data],$L261)&gt;$D$4,"",IFERROR(INDEX(tblRegistros[Início],$L261),"")))</f>
        <v/>
      </c>
      <c r="E261" s="4" t="str">
        <f>IF($L261="","",IF(INDEX(tblRegistros[Data],$L261)&gt;$D$4,"",IFERROR(IF(INDEX(tblRegistros[Status],$L261)="EM ABERTO","",INDEX(tblRegistros[Fim],$L261)),"")))</f>
        <v/>
      </c>
      <c r="F261" s="14" t="str">
        <f>IF($L261="","",IF(INDEX(tblRegistros[Data],$L261)&gt;$D$4,"",IFERROR(IF(INDEX(tblRegistros[Status],$L261)="EM ABERTO","",INDEX(tblRegistros[Horas],$L261)),"")))</f>
        <v/>
      </c>
      <c r="G261" t="str">
        <f>IF($L261="","",IF(INDEX(tblRegistros[Data],$L261)&gt;$D$4,"",IFERROR(INDEX(tblRegistros[Base],$L261),"")))</f>
        <v/>
      </c>
      <c r="H261" s="3" t="str">
        <f>IF($L261="","",IF(INDEX(tblRegistros[Data],$L261)&gt;$D$4,"",IFERROR(INDEX(tblRegistros[Taxa aplicada],$L261),"")))</f>
        <v/>
      </c>
      <c r="I261" s="3" t="str">
        <f>IF($L261="","",IF(INDEX(tblRegistros[Data],$L261)&gt;$D$4,"",IFERROR(IF(INDEX(tblRegistros[Status],$L261)="EM ABERTO","",INDEX(tblRegistros[Valor],$L261)),"")))</f>
        <v/>
      </c>
      <c r="J261" t="str">
        <f>IF($L261="","",IF(INDEX(tblRegistros[Data],$L261)&gt;$D$4,"",IFERROR(INDEX(tblRegistros[Status],$L261),"")))</f>
        <v/>
      </c>
      <c r="K261" t="str">
        <f>IF($L261="","",IF(INDEX(tblRegistros[Data],$L261)&gt;$D$4,"",IFERROR(INDEX(tblRegistros[Observação],$L261),"")))</f>
        <v/>
      </c>
      <c r="L261" s="16" t="str">
        <f>IFERROR(MATCH($B$3*100000+COUNTIFS(tblRegistros[ID],$B$3,tblRegistros[Data],"&lt;"&amp;$B$4)+ROWS($L$10:L261),tblRegistros[Chave do cartão],0),"")</f>
        <v/>
      </c>
    </row>
    <row r="262" spans="1:12">
      <c r="A262" s="2" t="str">
        <f>IF($L262="","",IF(INDEX(tblRegistros[Data],$L262)&gt;$D$4,"",IFERROR(INDEX(tblRegistros[Data],$L262),"")))</f>
        <v/>
      </c>
      <c r="B262" t="str">
        <f>IF($L262="","",IF(INDEX(tblRegistros[Data],$L262)&gt;$D$4,"",IFERROR(INDEX(tblRegistros[Projeto],$L262),"")))</f>
        <v/>
      </c>
      <c r="C262" t="str">
        <f>IF($L262="","",IF(INDEX(tblRegistros[Data],$L262)&gt;$D$4,"",IFERROR(INDEX(tblRegistros[Atividade],$L262),"")))</f>
        <v/>
      </c>
      <c r="D262" s="4" t="str">
        <f>IF($L262="","",IF(INDEX(tblRegistros[Data],$L262)&gt;$D$4,"",IFERROR(INDEX(tblRegistros[Início],$L262),"")))</f>
        <v/>
      </c>
      <c r="E262" s="4" t="str">
        <f>IF($L262="","",IF(INDEX(tblRegistros[Data],$L262)&gt;$D$4,"",IFERROR(IF(INDEX(tblRegistros[Status],$L262)="EM ABERTO","",INDEX(tblRegistros[Fim],$L262)),"")))</f>
        <v/>
      </c>
      <c r="F262" s="14" t="str">
        <f>IF($L262="","",IF(INDEX(tblRegistros[Data],$L262)&gt;$D$4,"",IFERROR(IF(INDEX(tblRegistros[Status],$L262)="EM ABERTO","",INDEX(tblRegistros[Horas],$L262)),"")))</f>
        <v/>
      </c>
      <c r="G262" t="str">
        <f>IF($L262="","",IF(INDEX(tblRegistros[Data],$L262)&gt;$D$4,"",IFERROR(INDEX(tblRegistros[Base],$L262),"")))</f>
        <v/>
      </c>
      <c r="H262" s="3" t="str">
        <f>IF($L262="","",IF(INDEX(tblRegistros[Data],$L262)&gt;$D$4,"",IFERROR(INDEX(tblRegistros[Taxa aplicada],$L262),"")))</f>
        <v/>
      </c>
      <c r="I262" s="3" t="str">
        <f>IF($L262="","",IF(INDEX(tblRegistros[Data],$L262)&gt;$D$4,"",IFERROR(IF(INDEX(tblRegistros[Status],$L262)="EM ABERTO","",INDEX(tblRegistros[Valor],$L262)),"")))</f>
        <v/>
      </c>
      <c r="J262" t="str">
        <f>IF($L262="","",IF(INDEX(tblRegistros[Data],$L262)&gt;$D$4,"",IFERROR(INDEX(tblRegistros[Status],$L262),"")))</f>
        <v/>
      </c>
      <c r="K262" t="str">
        <f>IF($L262="","",IF(INDEX(tblRegistros[Data],$L262)&gt;$D$4,"",IFERROR(INDEX(tblRegistros[Observação],$L262),"")))</f>
        <v/>
      </c>
      <c r="L262" s="16" t="str">
        <f>IFERROR(MATCH($B$3*100000+COUNTIFS(tblRegistros[ID],$B$3,tblRegistros[Data],"&lt;"&amp;$B$4)+ROWS($L$10:L262),tblRegistros[Chave do cartão],0),"")</f>
        <v/>
      </c>
    </row>
    <row r="263" spans="1:12">
      <c r="A263" s="2" t="str">
        <f>IF($L263="","",IF(INDEX(tblRegistros[Data],$L263)&gt;$D$4,"",IFERROR(INDEX(tblRegistros[Data],$L263),"")))</f>
        <v/>
      </c>
      <c r="B263" t="str">
        <f>IF($L263="","",IF(INDEX(tblRegistros[Data],$L263)&gt;$D$4,"",IFERROR(INDEX(tblRegistros[Projeto],$L263),"")))</f>
        <v/>
      </c>
      <c r="C263" t="str">
        <f>IF($L263="","",IF(INDEX(tblRegistros[Data],$L263)&gt;$D$4,"",IFERROR(INDEX(tblRegistros[Atividade],$L263),"")))</f>
        <v/>
      </c>
      <c r="D263" s="4" t="str">
        <f>IF($L263="","",IF(INDEX(tblRegistros[Data],$L263)&gt;$D$4,"",IFERROR(INDEX(tblRegistros[Início],$L263),"")))</f>
        <v/>
      </c>
      <c r="E263" s="4" t="str">
        <f>IF($L263="","",IF(INDEX(tblRegistros[Data],$L263)&gt;$D$4,"",IFERROR(IF(INDEX(tblRegistros[Status],$L263)="EM ABERTO","",INDEX(tblRegistros[Fim],$L263)),"")))</f>
        <v/>
      </c>
      <c r="F263" s="14" t="str">
        <f>IF($L263="","",IF(INDEX(tblRegistros[Data],$L263)&gt;$D$4,"",IFERROR(IF(INDEX(tblRegistros[Status],$L263)="EM ABERTO","",INDEX(tblRegistros[Horas],$L263)),"")))</f>
        <v/>
      </c>
      <c r="G263" t="str">
        <f>IF($L263="","",IF(INDEX(tblRegistros[Data],$L263)&gt;$D$4,"",IFERROR(INDEX(tblRegistros[Base],$L263),"")))</f>
        <v/>
      </c>
      <c r="H263" s="3" t="str">
        <f>IF($L263="","",IF(INDEX(tblRegistros[Data],$L263)&gt;$D$4,"",IFERROR(INDEX(tblRegistros[Taxa aplicada],$L263),"")))</f>
        <v/>
      </c>
      <c r="I263" s="3" t="str">
        <f>IF($L263="","",IF(INDEX(tblRegistros[Data],$L263)&gt;$D$4,"",IFERROR(IF(INDEX(tblRegistros[Status],$L263)="EM ABERTO","",INDEX(tblRegistros[Valor],$L263)),"")))</f>
        <v/>
      </c>
      <c r="J263" t="str">
        <f>IF($L263="","",IF(INDEX(tblRegistros[Data],$L263)&gt;$D$4,"",IFERROR(INDEX(tblRegistros[Status],$L263),"")))</f>
        <v/>
      </c>
      <c r="K263" t="str">
        <f>IF($L263="","",IF(INDEX(tblRegistros[Data],$L263)&gt;$D$4,"",IFERROR(INDEX(tblRegistros[Observação],$L263),"")))</f>
        <v/>
      </c>
      <c r="L263" s="16" t="str">
        <f>IFERROR(MATCH($B$3*100000+COUNTIFS(tblRegistros[ID],$B$3,tblRegistros[Data],"&lt;"&amp;$B$4)+ROWS($L$10:L263),tblRegistros[Chave do cartão],0),"")</f>
        <v/>
      </c>
    </row>
    <row r="264" spans="1:12">
      <c r="A264" s="2" t="str">
        <f>IF($L264="","",IF(INDEX(tblRegistros[Data],$L264)&gt;$D$4,"",IFERROR(INDEX(tblRegistros[Data],$L264),"")))</f>
        <v/>
      </c>
      <c r="B264" t="str">
        <f>IF($L264="","",IF(INDEX(tblRegistros[Data],$L264)&gt;$D$4,"",IFERROR(INDEX(tblRegistros[Projeto],$L264),"")))</f>
        <v/>
      </c>
      <c r="C264" t="str">
        <f>IF($L264="","",IF(INDEX(tblRegistros[Data],$L264)&gt;$D$4,"",IFERROR(INDEX(tblRegistros[Atividade],$L264),"")))</f>
        <v/>
      </c>
      <c r="D264" s="4" t="str">
        <f>IF($L264="","",IF(INDEX(tblRegistros[Data],$L264)&gt;$D$4,"",IFERROR(INDEX(tblRegistros[Início],$L264),"")))</f>
        <v/>
      </c>
      <c r="E264" s="4" t="str">
        <f>IF($L264="","",IF(INDEX(tblRegistros[Data],$L264)&gt;$D$4,"",IFERROR(IF(INDEX(tblRegistros[Status],$L264)="EM ABERTO","",INDEX(tblRegistros[Fim],$L264)),"")))</f>
        <v/>
      </c>
      <c r="F264" s="14" t="str">
        <f>IF($L264="","",IF(INDEX(tblRegistros[Data],$L264)&gt;$D$4,"",IFERROR(IF(INDEX(tblRegistros[Status],$L264)="EM ABERTO","",INDEX(tblRegistros[Horas],$L264)),"")))</f>
        <v/>
      </c>
      <c r="G264" t="str">
        <f>IF($L264="","",IF(INDEX(tblRegistros[Data],$L264)&gt;$D$4,"",IFERROR(INDEX(tblRegistros[Base],$L264),"")))</f>
        <v/>
      </c>
      <c r="H264" s="3" t="str">
        <f>IF($L264="","",IF(INDEX(tblRegistros[Data],$L264)&gt;$D$4,"",IFERROR(INDEX(tblRegistros[Taxa aplicada],$L264),"")))</f>
        <v/>
      </c>
      <c r="I264" s="3" t="str">
        <f>IF($L264="","",IF(INDEX(tblRegistros[Data],$L264)&gt;$D$4,"",IFERROR(IF(INDEX(tblRegistros[Status],$L264)="EM ABERTO","",INDEX(tblRegistros[Valor],$L264)),"")))</f>
        <v/>
      </c>
      <c r="J264" t="str">
        <f>IF($L264="","",IF(INDEX(tblRegistros[Data],$L264)&gt;$D$4,"",IFERROR(INDEX(tblRegistros[Status],$L264),"")))</f>
        <v/>
      </c>
      <c r="K264" t="str">
        <f>IF($L264="","",IF(INDEX(tblRegistros[Data],$L264)&gt;$D$4,"",IFERROR(INDEX(tblRegistros[Observação],$L264),"")))</f>
        <v/>
      </c>
      <c r="L264" s="16" t="str">
        <f>IFERROR(MATCH($B$3*100000+COUNTIFS(tblRegistros[ID],$B$3,tblRegistros[Data],"&lt;"&amp;$B$4)+ROWS($L$10:L264),tblRegistros[Chave do cartão],0),"")</f>
        <v/>
      </c>
    </row>
    <row r="265" spans="1:12">
      <c r="A265" s="2" t="str">
        <f>IF($L265="","",IF(INDEX(tblRegistros[Data],$L265)&gt;$D$4,"",IFERROR(INDEX(tblRegistros[Data],$L265),"")))</f>
        <v/>
      </c>
      <c r="B265" t="str">
        <f>IF($L265="","",IF(INDEX(tblRegistros[Data],$L265)&gt;$D$4,"",IFERROR(INDEX(tblRegistros[Projeto],$L265),"")))</f>
        <v/>
      </c>
      <c r="C265" t="str">
        <f>IF($L265="","",IF(INDEX(tblRegistros[Data],$L265)&gt;$D$4,"",IFERROR(INDEX(tblRegistros[Atividade],$L265),"")))</f>
        <v/>
      </c>
      <c r="D265" s="4" t="str">
        <f>IF($L265="","",IF(INDEX(tblRegistros[Data],$L265)&gt;$D$4,"",IFERROR(INDEX(tblRegistros[Início],$L265),"")))</f>
        <v/>
      </c>
      <c r="E265" s="4" t="str">
        <f>IF($L265="","",IF(INDEX(tblRegistros[Data],$L265)&gt;$D$4,"",IFERROR(IF(INDEX(tblRegistros[Status],$L265)="EM ABERTO","",INDEX(tblRegistros[Fim],$L265)),"")))</f>
        <v/>
      </c>
      <c r="F265" s="14" t="str">
        <f>IF($L265="","",IF(INDEX(tblRegistros[Data],$L265)&gt;$D$4,"",IFERROR(IF(INDEX(tblRegistros[Status],$L265)="EM ABERTO","",INDEX(tblRegistros[Horas],$L265)),"")))</f>
        <v/>
      </c>
      <c r="G265" t="str">
        <f>IF($L265="","",IF(INDEX(tblRegistros[Data],$L265)&gt;$D$4,"",IFERROR(INDEX(tblRegistros[Base],$L265),"")))</f>
        <v/>
      </c>
      <c r="H265" s="3" t="str">
        <f>IF($L265="","",IF(INDEX(tblRegistros[Data],$L265)&gt;$D$4,"",IFERROR(INDEX(tblRegistros[Taxa aplicada],$L265),"")))</f>
        <v/>
      </c>
      <c r="I265" s="3" t="str">
        <f>IF($L265="","",IF(INDEX(tblRegistros[Data],$L265)&gt;$D$4,"",IFERROR(IF(INDEX(tblRegistros[Status],$L265)="EM ABERTO","",INDEX(tblRegistros[Valor],$L265)),"")))</f>
        <v/>
      </c>
      <c r="J265" t="str">
        <f>IF($L265="","",IF(INDEX(tblRegistros[Data],$L265)&gt;$D$4,"",IFERROR(INDEX(tblRegistros[Status],$L265),"")))</f>
        <v/>
      </c>
      <c r="K265" t="str">
        <f>IF($L265="","",IF(INDEX(tblRegistros[Data],$L265)&gt;$D$4,"",IFERROR(INDEX(tblRegistros[Observação],$L265),"")))</f>
        <v/>
      </c>
      <c r="L265" s="16" t="str">
        <f>IFERROR(MATCH($B$3*100000+COUNTIFS(tblRegistros[ID],$B$3,tblRegistros[Data],"&lt;"&amp;$B$4)+ROWS($L$10:L265),tblRegistros[Chave do cartão],0),"")</f>
        <v/>
      </c>
    </row>
    <row r="266" spans="1:12">
      <c r="A266" s="2" t="str">
        <f>IF($L266="","",IF(INDEX(tblRegistros[Data],$L266)&gt;$D$4,"",IFERROR(INDEX(tblRegistros[Data],$L266),"")))</f>
        <v/>
      </c>
      <c r="B266" t="str">
        <f>IF($L266="","",IF(INDEX(tblRegistros[Data],$L266)&gt;$D$4,"",IFERROR(INDEX(tblRegistros[Projeto],$L266),"")))</f>
        <v/>
      </c>
      <c r="C266" t="str">
        <f>IF($L266="","",IF(INDEX(tblRegistros[Data],$L266)&gt;$D$4,"",IFERROR(INDEX(tblRegistros[Atividade],$L266),"")))</f>
        <v/>
      </c>
      <c r="D266" s="4" t="str">
        <f>IF($L266="","",IF(INDEX(tblRegistros[Data],$L266)&gt;$D$4,"",IFERROR(INDEX(tblRegistros[Início],$L266),"")))</f>
        <v/>
      </c>
      <c r="E266" s="4" t="str">
        <f>IF($L266="","",IF(INDEX(tblRegistros[Data],$L266)&gt;$D$4,"",IFERROR(IF(INDEX(tblRegistros[Status],$L266)="EM ABERTO","",INDEX(tblRegistros[Fim],$L266)),"")))</f>
        <v/>
      </c>
      <c r="F266" s="14" t="str">
        <f>IF($L266="","",IF(INDEX(tblRegistros[Data],$L266)&gt;$D$4,"",IFERROR(IF(INDEX(tblRegistros[Status],$L266)="EM ABERTO","",INDEX(tblRegistros[Horas],$L266)),"")))</f>
        <v/>
      </c>
      <c r="G266" t="str">
        <f>IF($L266="","",IF(INDEX(tblRegistros[Data],$L266)&gt;$D$4,"",IFERROR(INDEX(tblRegistros[Base],$L266),"")))</f>
        <v/>
      </c>
      <c r="H266" s="3" t="str">
        <f>IF($L266="","",IF(INDEX(tblRegistros[Data],$L266)&gt;$D$4,"",IFERROR(INDEX(tblRegistros[Taxa aplicada],$L266),"")))</f>
        <v/>
      </c>
      <c r="I266" s="3" t="str">
        <f>IF($L266="","",IF(INDEX(tblRegistros[Data],$L266)&gt;$D$4,"",IFERROR(IF(INDEX(tblRegistros[Status],$L266)="EM ABERTO","",INDEX(tblRegistros[Valor],$L266)),"")))</f>
        <v/>
      </c>
      <c r="J266" t="str">
        <f>IF($L266="","",IF(INDEX(tblRegistros[Data],$L266)&gt;$D$4,"",IFERROR(INDEX(tblRegistros[Status],$L266),"")))</f>
        <v/>
      </c>
      <c r="K266" t="str">
        <f>IF($L266="","",IF(INDEX(tblRegistros[Data],$L266)&gt;$D$4,"",IFERROR(INDEX(tblRegistros[Observação],$L266),"")))</f>
        <v/>
      </c>
      <c r="L266" s="16" t="str">
        <f>IFERROR(MATCH($B$3*100000+COUNTIFS(tblRegistros[ID],$B$3,tblRegistros[Data],"&lt;"&amp;$B$4)+ROWS($L$10:L266),tblRegistros[Chave do cartão],0),"")</f>
        <v/>
      </c>
    </row>
    <row r="267" spans="1:12">
      <c r="A267" s="2" t="str">
        <f>IF($L267="","",IF(INDEX(tblRegistros[Data],$L267)&gt;$D$4,"",IFERROR(INDEX(tblRegistros[Data],$L267),"")))</f>
        <v/>
      </c>
      <c r="B267" t="str">
        <f>IF($L267="","",IF(INDEX(tblRegistros[Data],$L267)&gt;$D$4,"",IFERROR(INDEX(tblRegistros[Projeto],$L267),"")))</f>
        <v/>
      </c>
      <c r="C267" t="str">
        <f>IF($L267="","",IF(INDEX(tblRegistros[Data],$L267)&gt;$D$4,"",IFERROR(INDEX(tblRegistros[Atividade],$L267),"")))</f>
        <v/>
      </c>
      <c r="D267" s="4" t="str">
        <f>IF($L267="","",IF(INDEX(tblRegistros[Data],$L267)&gt;$D$4,"",IFERROR(INDEX(tblRegistros[Início],$L267),"")))</f>
        <v/>
      </c>
      <c r="E267" s="4" t="str">
        <f>IF($L267="","",IF(INDEX(tblRegistros[Data],$L267)&gt;$D$4,"",IFERROR(IF(INDEX(tblRegistros[Status],$L267)="EM ABERTO","",INDEX(tblRegistros[Fim],$L267)),"")))</f>
        <v/>
      </c>
      <c r="F267" s="14" t="str">
        <f>IF($L267="","",IF(INDEX(tblRegistros[Data],$L267)&gt;$D$4,"",IFERROR(IF(INDEX(tblRegistros[Status],$L267)="EM ABERTO","",INDEX(tblRegistros[Horas],$L267)),"")))</f>
        <v/>
      </c>
      <c r="G267" t="str">
        <f>IF($L267="","",IF(INDEX(tblRegistros[Data],$L267)&gt;$D$4,"",IFERROR(INDEX(tblRegistros[Base],$L267),"")))</f>
        <v/>
      </c>
      <c r="H267" s="3" t="str">
        <f>IF($L267="","",IF(INDEX(tblRegistros[Data],$L267)&gt;$D$4,"",IFERROR(INDEX(tblRegistros[Taxa aplicada],$L267),"")))</f>
        <v/>
      </c>
      <c r="I267" s="3" t="str">
        <f>IF($L267="","",IF(INDEX(tblRegistros[Data],$L267)&gt;$D$4,"",IFERROR(IF(INDEX(tblRegistros[Status],$L267)="EM ABERTO","",INDEX(tblRegistros[Valor],$L267)),"")))</f>
        <v/>
      </c>
      <c r="J267" t="str">
        <f>IF($L267="","",IF(INDEX(tblRegistros[Data],$L267)&gt;$D$4,"",IFERROR(INDEX(tblRegistros[Status],$L267),"")))</f>
        <v/>
      </c>
      <c r="K267" t="str">
        <f>IF($L267="","",IF(INDEX(tblRegistros[Data],$L267)&gt;$D$4,"",IFERROR(INDEX(tblRegistros[Observação],$L267),"")))</f>
        <v/>
      </c>
      <c r="L267" s="16" t="str">
        <f>IFERROR(MATCH($B$3*100000+COUNTIFS(tblRegistros[ID],$B$3,tblRegistros[Data],"&lt;"&amp;$B$4)+ROWS($L$10:L267),tblRegistros[Chave do cartão],0),"")</f>
        <v/>
      </c>
    </row>
    <row r="268" spans="1:12">
      <c r="A268" s="2" t="str">
        <f>IF($L268="","",IF(INDEX(tblRegistros[Data],$L268)&gt;$D$4,"",IFERROR(INDEX(tblRegistros[Data],$L268),"")))</f>
        <v/>
      </c>
      <c r="B268" t="str">
        <f>IF($L268="","",IF(INDEX(tblRegistros[Data],$L268)&gt;$D$4,"",IFERROR(INDEX(tblRegistros[Projeto],$L268),"")))</f>
        <v/>
      </c>
      <c r="C268" t="str">
        <f>IF($L268="","",IF(INDEX(tblRegistros[Data],$L268)&gt;$D$4,"",IFERROR(INDEX(tblRegistros[Atividade],$L268),"")))</f>
        <v/>
      </c>
      <c r="D268" s="4" t="str">
        <f>IF($L268="","",IF(INDEX(tblRegistros[Data],$L268)&gt;$D$4,"",IFERROR(INDEX(tblRegistros[Início],$L268),"")))</f>
        <v/>
      </c>
      <c r="E268" s="4" t="str">
        <f>IF($L268="","",IF(INDEX(tblRegistros[Data],$L268)&gt;$D$4,"",IFERROR(IF(INDEX(tblRegistros[Status],$L268)="EM ABERTO","",INDEX(tblRegistros[Fim],$L268)),"")))</f>
        <v/>
      </c>
      <c r="F268" s="14" t="str">
        <f>IF($L268="","",IF(INDEX(tblRegistros[Data],$L268)&gt;$D$4,"",IFERROR(IF(INDEX(tblRegistros[Status],$L268)="EM ABERTO","",INDEX(tblRegistros[Horas],$L268)),"")))</f>
        <v/>
      </c>
      <c r="G268" t="str">
        <f>IF($L268="","",IF(INDEX(tblRegistros[Data],$L268)&gt;$D$4,"",IFERROR(INDEX(tblRegistros[Base],$L268),"")))</f>
        <v/>
      </c>
      <c r="H268" s="3" t="str">
        <f>IF($L268="","",IF(INDEX(tblRegistros[Data],$L268)&gt;$D$4,"",IFERROR(INDEX(tblRegistros[Taxa aplicada],$L268),"")))</f>
        <v/>
      </c>
      <c r="I268" s="3" t="str">
        <f>IF($L268="","",IF(INDEX(tblRegistros[Data],$L268)&gt;$D$4,"",IFERROR(IF(INDEX(tblRegistros[Status],$L268)="EM ABERTO","",INDEX(tblRegistros[Valor],$L268)),"")))</f>
        <v/>
      </c>
      <c r="J268" t="str">
        <f>IF($L268="","",IF(INDEX(tblRegistros[Data],$L268)&gt;$D$4,"",IFERROR(INDEX(tblRegistros[Status],$L268),"")))</f>
        <v/>
      </c>
      <c r="K268" t="str">
        <f>IF($L268="","",IF(INDEX(tblRegistros[Data],$L268)&gt;$D$4,"",IFERROR(INDEX(tblRegistros[Observação],$L268),"")))</f>
        <v/>
      </c>
      <c r="L268" s="16" t="str">
        <f>IFERROR(MATCH($B$3*100000+COUNTIFS(tblRegistros[ID],$B$3,tblRegistros[Data],"&lt;"&amp;$B$4)+ROWS($L$10:L268),tblRegistros[Chave do cartão],0),"")</f>
        <v/>
      </c>
    </row>
    <row r="269" spans="1:12">
      <c r="A269" s="2" t="str">
        <f>IF($L269="","",IF(INDEX(tblRegistros[Data],$L269)&gt;$D$4,"",IFERROR(INDEX(tblRegistros[Data],$L269),"")))</f>
        <v/>
      </c>
      <c r="B269" t="str">
        <f>IF($L269="","",IF(INDEX(tblRegistros[Data],$L269)&gt;$D$4,"",IFERROR(INDEX(tblRegistros[Projeto],$L269),"")))</f>
        <v/>
      </c>
      <c r="C269" t="str">
        <f>IF($L269="","",IF(INDEX(tblRegistros[Data],$L269)&gt;$D$4,"",IFERROR(INDEX(tblRegistros[Atividade],$L269),"")))</f>
        <v/>
      </c>
      <c r="D269" s="4" t="str">
        <f>IF($L269="","",IF(INDEX(tblRegistros[Data],$L269)&gt;$D$4,"",IFERROR(INDEX(tblRegistros[Início],$L269),"")))</f>
        <v/>
      </c>
      <c r="E269" s="4" t="str">
        <f>IF($L269="","",IF(INDEX(tblRegistros[Data],$L269)&gt;$D$4,"",IFERROR(IF(INDEX(tblRegistros[Status],$L269)="EM ABERTO","",INDEX(tblRegistros[Fim],$L269)),"")))</f>
        <v/>
      </c>
      <c r="F269" s="14" t="str">
        <f>IF($L269="","",IF(INDEX(tblRegistros[Data],$L269)&gt;$D$4,"",IFERROR(IF(INDEX(tblRegistros[Status],$L269)="EM ABERTO","",INDEX(tblRegistros[Horas],$L269)),"")))</f>
        <v/>
      </c>
      <c r="G269" t="str">
        <f>IF($L269="","",IF(INDEX(tblRegistros[Data],$L269)&gt;$D$4,"",IFERROR(INDEX(tblRegistros[Base],$L269),"")))</f>
        <v/>
      </c>
      <c r="H269" s="3" t="str">
        <f>IF($L269="","",IF(INDEX(tblRegistros[Data],$L269)&gt;$D$4,"",IFERROR(INDEX(tblRegistros[Taxa aplicada],$L269),"")))</f>
        <v/>
      </c>
      <c r="I269" s="3" t="str">
        <f>IF($L269="","",IF(INDEX(tblRegistros[Data],$L269)&gt;$D$4,"",IFERROR(IF(INDEX(tblRegistros[Status],$L269)="EM ABERTO","",INDEX(tblRegistros[Valor],$L269)),"")))</f>
        <v/>
      </c>
      <c r="J269" t="str">
        <f>IF($L269="","",IF(INDEX(tblRegistros[Data],$L269)&gt;$D$4,"",IFERROR(INDEX(tblRegistros[Status],$L269),"")))</f>
        <v/>
      </c>
      <c r="K269" t="str">
        <f>IF($L269="","",IF(INDEX(tblRegistros[Data],$L269)&gt;$D$4,"",IFERROR(INDEX(tblRegistros[Observação],$L269),"")))</f>
        <v/>
      </c>
      <c r="L269" s="16" t="str">
        <f>IFERROR(MATCH($B$3*100000+COUNTIFS(tblRegistros[ID],$B$3,tblRegistros[Data],"&lt;"&amp;$B$4)+ROWS($L$10:L269),tblRegistros[Chave do cartão],0),"")</f>
        <v/>
      </c>
    </row>
    <row r="270" spans="1:12">
      <c r="A270" s="2" t="str">
        <f>IF($L270="","",IF(INDEX(tblRegistros[Data],$L270)&gt;$D$4,"",IFERROR(INDEX(tblRegistros[Data],$L270),"")))</f>
        <v/>
      </c>
      <c r="B270" t="str">
        <f>IF($L270="","",IF(INDEX(tblRegistros[Data],$L270)&gt;$D$4,"",IFERROR(INDEX(tblRegistros[Projeto],$L270),"")))</f>
        <v/>
      </c>
      <c r="C270" t="str">
        <f>IF($L270="","",IF(INDEX(tblRegistros[Data],$L270)&gt;$D$4,"",IFERROR(INDEX(tblRegistros[Atividade],$L270),"")))</f>
        <v/>
      </c>
      <c r="D270" s="4" t="str">
        <f>IF($L270="","",IF(INDEX(tblRegistros[Data],$L270)&gt;$D$4,"",IFERROR(INDEX(tblRegistros[Início],$L270),"")))</f>
        <v/>
      </c>
      <c r="E270" s="4" t="str">
        <f>IF($L270="","",IF(INDEX(tblRegistros[Data],$L270)&gt;$D$4,"",IFERROR(IF(INDEX(tblRegistros[Status],$L270)="EM ABERTO","",INDEX(tblRegistros[Fim],$L270)),"")))</f>
        <v/>
      </c>
      <c r="F270" s="14" t="str">
        <f>IF($L270="","",IF(INDEX(tblRegistros[Data],$L270)&gt;$D$4,"",IFERROR(IF(INDEX(tblRegistros[Status],$L270)="EM ABERTO","",INDEX(tblRegistros[Horas],$L270)),"")))</f>
        <v/>
      </c>
      <c r="G270" t="str">
        <f>IF($L270="","",IF(INDEX(tblRegistros[Data],$L270)&gt;$D$4,"",IFERROR(INDEX(tblRegistros[Base],$L270),"")))</f>
        <v/>
      </c>
      <c r="H270" s="3" t="str">
        <f>IF($L270="","",IF(INDEX(tblRegistros[Data],$L270)&gt;$D$4,"",IFERROR(INDEX(tblRegistros[Taxa aplicada],$L270),"")))</f>
        <v/>
      </c>
      <c r="I270" s="3" t="str">
        <f>IF($L270="","",IF(INDEX(tblRegistros[Data],$L270)&gt;$D$4,"",IFERROR(IF(INDEX(tblRegistros[Status],$L270)="EM ABERTO","",INDEX(tblRegistros[Valor],$L270)),"")))</f>
        <v/>
      </c>
      <c r="J270" t="str">
        <f>IF($L270="","",IF(INDEX(tblRegistros[Data],$L270)&gt;$D$4,"",IFERROR(INDEX(tblRegistros[Status],$L270),"")))</f>
        <v/>
      </c>
      <c r="K270" t="str">
        <f>IF($L270="","",IF(INDEX(tblRegistros[Data],$L270)&gt;$D$4,"",IFERROR(INDEX(tblRegistros[Observação],$L270),"")))</f>
        <v/>
      </c>
      <c r="L270" s="16" t="str">
        <f>IFERROR(MATCH($B$3*100000+COUNTIFS(tblRegistros[ID],$B$3,tblRegistros[Data],"&lt;"&amp;$B$4)+ROWS($L$10:L270),tblRegistros[Chave do cartão],0),"")</f>
        <v/>
      </c>
    </row>
    <row r="271" spans="1:12">
      <c r="A271" s="2" t="str">
        <f>IF($L271="","",IF(INDEX(tblRegistros[Data],$L271)&gt;$D$4,"",IFERROR(INDEX(tblRegistros[Data],$L271),"")))</f>
        <v/>
      </c>
      <c r="B271" t="str">
        <f>IF($L271="","",IF(INDEX(tblRegistros[Data],$L271)&gt;$D$4,"",IFERROR(INDEX(tblRegistros[Projeto],$L271),"")))</f>
        <v/>
      </c>
      <c r="C271" t="str">
        <f>IF($L271="","",IF(INDEX(tblRegistros[Data],$L271)&gt;$D$4,"",IFERROR(INDEX(tblRegistros[Atividade],$L271),"")))</f>
        <v/>
      </c>
      <c r="D271" s="4" t="str">
        <f>IF($L271="","",IF(INDEX(tblRegistros[Data],$L271)&gt;$D$4,"",IFERROR(INDEX(tblRegistros[Início],$L271),"")))</f>
        <v/>
      </c>
      <c r="E271" s="4" t="str">
        <f>IF($L271="","",IF(INDEX(tblRegistros[Data],$L271)&gt;$D$4,"",IFERROR(IF(INDEX(tblRegistros[Status],$L271)="EM ABERTO","",INDEX(tblRegistros[Fim],$L271)),"")))</f>
        <v/>
      </c>
      <c r="F271" s="14" t="str">
        <f>IF($L271="","",IF(INDEX(tblRegistros[Data],$L271)&gt;$D$4,"",IFERROR(IF(INDEX(tblRegistros[Status],$L271)="EM ABERTO","",INDEX(tblRegistros[Horas],$L271)),"")))</f>
        <v/>
      </c>
      <c r="G271" t="str">
        <f>IF($L271="","",IF(INDEX(tblRegistros[Data],$L271)&gt;$D$4,"",IFERROR(INDEX(tblRegistros[Base],$L271),"")))</f>
        <v/>
      </c>
      <c r="H271" s="3" t="str">
        <f>IF($L271="","",IF(INDEX(tblRegistros[Data],$L271)&gt;$D$4,"",IFERROR(INDEX(tblRegistros[Taxa aplicada],$L271),"")))</f>
        <v/>
      </c>
      <c r="I271" s="3" t="str">
        <f>IF($L271="","",IF(INDEX(tblRegistros[Data],$L271)&gt;$D$4,"",IFERROR(IF(INDEX(tblRegistros[Status],$L271)="EM ABERTO","",INDEX(tblRegistros[Valor],$L271)),"")))</f>
        <v/>
      </c>
      <c r="J271" t="str">
        <f>IF($L271="","",IF(INDEX(tblRegistros[Data],$L271)&gt;$D$4,"",IFERROR(INDEX(tblRegistros[Status],$L271),"")))</f>
        <v/>
      </c>
      <c r="K271" t="str">
        <f>IF($L271="","",IF(INDEX(tblRegistros[Data],$L271)&gt;$D$4,"",IFERROR(INDEX(tblRegistros[Observação],$L271),"")))</f>
        <v/>
      </c>
      <c r="L271" s="16" t="str">
        <f>IFERROR(MATCH($B$3*100000+COUNTIFS(tblRegistros[ID],$B$3,tblRegistros[Data],"&lt;"&amp;$B$4)+ROWS($L$10:L271),tblRegistros[Chave do cartão],0),"")</f>
        <v/>
      </c>
    </row>
    <row r="272" spans="1:12">
      <c r="A272" s="2" t="str">
        <f>IF($L272="","",IF(INDEX(tblRegistros[Data],$L272)&gt;$D$4,"",IFERROR(INDEX(tblRegistros[Data],$L272),"")))</f>
        <v/>
      </c>
      <c r="B272" t="str">
        <f>IF($L272="","",IF(INDEX(tblRegistros[Data],$L272)&gt;$D$4,"",IFERROR(INDEX(tblRegistros[Projeto],$L272),"")))</f>
        <v/>
      </c>
      <c r="C272" t="str">
        <f>IF($L272="","",IF(INDEX(tblRegistros[Data],$L272)&gt;$D$4,"",IFERROR(INDEX(tblRegistros[Atividade],$L272),"")))</f>
        <v/>
      </c>
      <c r="D272" s="4" t="str">
        <f>IF($L272="","",IF(INDEX(tblRegistros[Data],$L272)&gt;$D$4,"",IFERROR(INDEX(tblRegistros[Início],$L272),"")))</f>
        <v/>
      </c>
      <c r="E272" s="4" t="str">
        <f>IF($L272="","",IF(INDEX(tblRegistros[Data],$L272)&gt;$D$4,"",IFERROR(IF(INDEX(tblRegistros[Status],$L272)="EM ABERTO","",INDEX(tblRegistros[Fim],$L272)),"")))</f>
        <v/>
      </c>
      <c r="F272" s="14" t="str">
        <f>IF($L272="","",IF(INDEX(tblRegistros[Data],$L272)&gt;$D$4,"",IFERROR(IF(INDEX(tblRegistros[Status],$L272)="EM ABERTO","",INDEX(tblRegistros[Horas],$L272)),"")))</f>
        <v/>
      </c>
      <c r="G272" t="str">
        <f>IF($L272="","",IF(INDEX(tblRegistros[Data],$L272)&gt;$D$4,"",IFERROR(INDEX(tblRegistros[Base],$L272),"")))</f>
        <v/>
      </c>
      <c r="H272" s="3" t="str">
        <f>IF($L272="","",IF(INDEX(tblRegistros[Data],$L272)&gt;$D$4,"",IFERROR(INDEX(tblRegistros[Taxa aplicada],$L272),"")))</f>
        <v/>
      </c>
      <c r="I272" s="3" t="str">
        <f>IF($L272="","",IF(INDEX(tblRegistros[Data],$L272)&gt;$D$4,"",IFERROR(IF(INDEX(tblRegistros[Status],$L272)="EM ABERTO","",INDEX(tblRegistros[Valor],$L272)),"")))</f>
        <v/>
      </c>
      <c r="J272" t="str">
        <f>IF($L272="","",IF(INDEX(tblRegistros[Data],$L272)&gt;$D$4,"",IFERROR(INDEX(tblRegistros[Status],$L272),"")))</f>
        <v/>
      </c>
      <c r="K272" t="str">
        <f>IF($L272="","",IF(INDEX(tblRegistros[Data],$L272)&gt;$D$4,"",IFERROR(INDEX(tblRegistros[Observação],$L272),"")))</f>
        <v/>
      </c>
      <c r="L272" s="16" t="str">
        <f>IFERROR(MATCH($B$3*100000+COUNTIFS(tblRegistros[ID],$B$3,tblRegistros[Data],"&lt;"&amp;$B$4)+ROWS($L$10:L272),tblRegistros[Chave do cartão],0),"")</f>
        <v/>
      </c>
    </row>
    <row r="273" spans="1:12">
      <c r="A273" s="2" t="str">
        <f>IF($L273="","",IF(INDEX(tblRegistros[Data],$L273)&gt;$D$4,"",IFERROR(INDEX(tblRegistros[Data],$L273),"")))</f>
        <v/>
      </c>
      <c r="B273" t="str">
        <f>IF($L273="","",IF(INDEX(tblRegistros[Data],$L273)&gt;$D$4,"",IFERROR(INDEX(tblRegistros[Projeto],$L273),"")))</f>
        <v/>
      </c>
      <c r="C273" t="str">
        <f>IF($L273="","",IF(INDEX(tblRegistros[Data],$L273)&gt;$D$4,"",IFERROR(INDEX(tblRegistros[Atividade],$L273),"")))</f>
        <v/>
      </c>
      <c r="D273" s="4" t="str">
        <f>IF($L273="","",IF(INDEX(tblRegistros[Data],$L273)&gt;$D$4,"",IFERROR(INDEX(tblRegistros[Início],$L273),"")))</f>
        <v/>
      </c>
      <c r="E273" s="4" t="str">
        <f>IF($L273="","",IF(INDEX(tblRegistros[Data],$L273)&gt;$D$4,"",IFERROR(IF(INDEX(tblRegistros[Status],$L273)="EM ABERTO","",INDEX(tblRegistros[Fim],$L273)),"")))</f>
        <v/>
      </c>
      <c r="F273" s="14" t="str">
        <f>IF($L273="","",IF(INDEX(tblRegistros[Data],$L273)&gt;$D$4,"",IFERROR(IF(INDEX(tblRegistros[Status],$L273)="EM ABERTO","",INDEX(tblRegistros[Horas],$L273)),"")))</f>
        <v/>
      </c>
      <c r="G273" t="str">
        <f>IF($L273="","",IF(INDEX(tblRegistros[Data],$L273)&gt;$D$4,"",IFERROR(INDEX(tblRegistros[Base],$L273),"")))</f>
        <v/>
      </c>
      <c r="H273" s="3" t="str">
        <f>IF($L273="","",IF(INDEX(tblRegistros[Data],$L273)&gt;$D$4,"",IFERROR(INDEX(tblRegistros[Taxa aplicada],$L273),"")))</f>
        <v/>
      </c>
      <c r="I273" s="3" t="str">
        <f>IF($L273="","",IF(INDEX(tblRegistros[Data],$L273)&gt;$D$4,"",IFERROR(IF(INDEX(tblRegistros[Status],$L273)="EM ABERTO","",INDEX(tblRegistros[Valor],$L273)),"")))</f>
        <v/>
      </c>
      <c r="J273" t="str">
        <f>IF($L273="","",IF(INDEX(tblRegistros[Data],$L273)&gt;$D$4,"",IFERROR(INDEX(tblRegistros[Status],$L273),"")))</f>
        <v/>
      </c>
      <c r="K273" t="str">
        <f>IF($L273="","",IF(INDEX(tblRegistros[Data],$L273)&gt;$D$4,"",IFERROR(INDEX(tblRegistros[Observação],$L273),"")))</f>
        <v/>
      </c>
      <c r="L273" s="16" t="str">
        <f>IFERROR(MATCH($B$3*100000+COUNTIFS(tblRegistros[ID],$B$3,tblRegistros[Data],"&lt;"&amp;$B$4)+ROWS($L$10:L273),tblRegistros[Chave do cartão],0),"")</f>
        <v/>
      </c>
    </row>
    <row r="274" spans="1:12">
      <c r="A274" s="2" t="str">
        <f>IF($L274="","",IF(INDEX(tblRegistros[Data],$L274)&gt;$D$4,"",IFERROR(INDEX(tblRegistros[Data],$L274),"")))</f>
        <v/>
      </c>
      <c r="B274" t="str">
        <f>IF($L274="","",IF(INDEX(tblRegistros[Data],$L274)&gt;$D$4,"",IFERROR(INDEX(tblRegistros[Projeto],$L274),"")))</f>
        <v/>
      </c>
      <c r="C274" t="str">
        <f>IF($L274="","",IF(INDEX(tblRegistros[Data],$L274)&gt;$D$4,"",IFERROR(INDEX(tblRegistros[Atividade],$L274),"")))</f>
        <v/>
      </c>
      <c r="D274" s="4" t="str">
        <f>IF($L274="","",IF(INDEX(tblRegistros[Data],$L274)&gt;$D$4,"",IFERROR(INDEX(tblRegistros[Início],$L274),"")))</f>
        <v/>
      </c>
      <c r="E274" s="4" t="str">
        <f>IF($L274="","",IF(INDEX(tblRegistros[Data],$L274)&gt;$D$4,"",IFERROR(IF(INDEX(tblRegistros[Status],$L274)="EM ABERTO","",INDEX(tblRegistros[Fim],$L274)),"")))</f>
        <v/>
      </c>
      <c r="F274" s="14" t="str">
        <f>IF($L274="","",IF(INDEX(tblRegistros[Data],$L274)&gt;$D$4,"",IFERROR(IF(INDEX(tblRegistros[Status],$L274)="EM ABERTO","",INDEX(tblRegistros[Horas],$L274)),"")))</f>
        <v/>
      </c>
      <c r="G274" t="str">
        <f>IF($L274="","",IF(INDEX(tblRegistros[Data],$L274)&gt;$D$4,"",IFERROR(INDEX(tblRegistros[Base],$L274),"")))</f>
        <v/>
      </c>
      <c r="H274" s="3" t="str">
        <f>IF($L274="","",IF(INDEX(tblRegistros[Data],$L274)&gt;$D$4,"",IFERROR(INDEX(tblRegistros[Taxa aplicada],$L274),"")))</f>
        <v/>
      </c>
      <c r="I274" s="3" t="str">
        <f>IF($L274="","",IF(INDEX(tblRegistros[Data],$L274)&gt;$D$4,"",IFERROR(IF(INDEX(tblRegistros[Status],$L274)="EM ABERTO","",INDEX(tblRegistros[Valor],$L274)),"")))</f>
        <v/>
      </c>
      <c r="J274" t="str">
        <f>IF($L274="","",IF(INDEX(tblRegistros[Data],$L274)&gt;$D$4,"",IFERROR(INDEX(tblRegistros[Status],$L274),"")))</f>
        <v/>
      </c>
      <c r="K274" t="str">
        <f>IF($L274="","",IF(INDEX(tblRegistros[Data],$L274)&gt;$D$4,"",IFERROR(INDEX(tblRegistros[Observação],$L274),"")))</f>
        <v/>
      </c>
      <c r="L274" s="16" t="str">
        <f>IFERROR(MATCH($B$3*100000+COUNTIFS(tblRegistros[ID],$B$3,tblRegistros[Data],"&lt;"&amp;$B$4)+ROWS($L$10:L274),tblRegistros[Chave do cartão],0),"")</f>
        <v/>
      </c>
    </row>
    <row r="275" spans="1:12">
      <c r="A275" s="2" t="str">
        <f>IF($L275="","",IF(INDEX(tblRegistros[Data],$L275)&gt;$D$4,"",IFERROR(INDEX(tblRegistros[Data],$L275),"")))</f>
        <v/>
      </c>
      <c r="B275" t="str">
        <f>IF($L275="","",IF(INDEX(tblRegistros[Data],$L275)&gt;$D$4,"",IFERROR(INDEX(tblRegistros[Projeto],$L275),"")))</f>
        <v/>
      </c>
      <c r="C275" t="str">
        <f>IF($L275="","",IF(INDEX(tblRegistros[Data],$L275)&gt;$D$4,"",IFERROR(INDEX(tblRegistros[Atividade],$L275),"")))</f>
        <v/>
      </c>
      <c r="D275" s="4" t="str">
        <f>IF($L275="","",IF(INDEX(tblRegistros[Data],$L275)&gt;$D$4,"",IFERROR(INDEX(tblRegistros[Início],$L275),"")))</f>
        <v/>
      </c>
      <c r="E275" s="4" t="str">
        <f>IF($L275="","",IF(INDEX(tblRegistros[Data],$L275)&gt;$D$4,"",IFERROR(IF(INDEX(tblRegistros[Status],$L275)="EM ABERTO","",INDEX(tblRegistros[Fim],$L275)),"")))</f>
        <v/>
      </c>
      <c r="F275" s="14" t="str">
        <f>IF($L275="","",IF(INDEX(tblRegistros[Data],$L275)&gt;$D$4,"",IFERROR(IF(INDEX(tblRegistros[Status],$L275)="EM ABERTO","",INDEX(tblRegistros[Horas],$L275)),"")))</f>
        <v/>
      </c>
      <c r="G275" t="str">
        <f>IF($L275="","",IF(INDEX(tblRegistros[Data],$L275)&gt;$D$4,"",IFERROR(INDEX(tblRegistros[Base],$L275),"")))</f>
        <v/>
      </c>
      <c r="H275" s="3" t="str">
        <f>IF($L275="","",IF(INDEX(tblRegistros[Data],$L275)&gt;$D$4,"",IFERROR(INDEX(tblRegistros[Taxa aplicada],$L275),"")))</f>
        <v/>
      </c>
      <c r="I275" s="3" t="str">
        <f>IF($L275="","",IF(INDEX(tblRegistros[Data],$L275)&gt;$D$4,"",IFERROR(IF(INDEX(tblRegistros[Status],$L275)="EM ABERTO","",INDEX(tblRegistros[Valor],$L275)),"")))</f>
        <v/>
      </c>
      <c r="J275" t="str">
        <f>IF($L275="","",IF(INDEX(tblRegistros[Data],$L275)&gt;$D$4,"",IFERROR(INDEX(tblRegistros[Status],$L275),"")))</f>
        <v/>
      </c>
      <c r="K275" t="str">
        <f>IF($L275="","",IF(INDEX(tblRegistros[Data],$L275)&gt;$D$4,"",IFERROR(INDEX(tblRegistros[Observação],$L275),"")))</f>
        <v/>
      </c>
      <c r="L275" s="16" t="str">
        <f>IFERROR(MATCH($B$3*100000+COUNTIFS(tblRegistros[ID],$B$3,tblRegistros[Data],"&lt;"&amp;$B$4)+ROWS($L$10:L275),tblRegistros[Chave do cartão],0),"")</f>
        <v/>
      </c>
    </row>
    <row r="276" spans="1:12">
      <c r="A276" s="2" t="str">
        <f>IF($L276="","",IF(INDEX(tblRegistros[Data],$L276)&gt;$D$4,"",IFERROR(INDEX(tblRegistros[Data],$L276),"")))</f>
        <v/>
      </c>
      <c r="B276" t="str">
        <f>IF($L276="","",IF(INDEX(tblRegistros[Data],$L276)&gt;$D$4,"",IFERROR(INDEX(tblRegistros[Projeto],$L276),"")))</f>
        <v/>
      </c>
      <c r="C276" t="str">
        <f>IF($L276="","",IF(INDEX(tblRegistros[Data],$L276)&gt;$D$4,"",IFERROR(INDEX(tblRegistros[Atividade],$L276),"")))</f>
        <v/>
      </c>
      <c r="D276" s="4" t="str">
        <f>IF($L276="","",IF(INDEX(tblRegistros[Data],$L276)&gt;$D$4,"",IFERROR(INDEX(tblRegistros[Início],$L276),"")))</f>
        <v/>
      </c>
      <c r="E276" s="4" t="str">
        <f>IF($L276="","",IF(INDEX(tblRegistros[Data],$L276)&gt;$D$4,"",IFERROR(IF(INDEX(tblRegistros[Status],$L276)="EM ABERTO","",INDEX(tblRegistros[Fim],$L276)),"")))</f>
        <v/>
      </c>
      <c r="F276" s="14" t="str">
        <f>IF($L276="","",IF(INDEX(tblRegistros[Data],$L276)&gt;$D$4,"",IFERROR(IF(INDEX(tblRegistros[Status],$L276)="EM ABERTO","",INDEX(tblRegistros[Horas],$L276)),"")))</f>
        <v/>
      </c>
      <c r="G276" t="str">
        <f>IF($L276="","",IF(INDEX(tblRegistros[Data],$L276)&gt;$D$4,"",IFERROR(INDEX(tblRegistros[Base],$L276),"")))</f>
        <v/>
      </c>
      <c r="H276" s="3" t="str">
        <f>IF($L276="","",IF(INDEX(tblRegistros[Data],$L276)&gt;$D$4,"",IFERROR(INDEX(tblRegistros[Taxa aplicada],$L276),"")))</f>
        <v/>
      </c>
      <c r="I276" s="3" t="str">
        <f>IF($L276="","",IF(INDEX(tblRegistros[Data],$L276)&gt;$D$4,"",IFERROR(IF(INDEX(tblRegistros[Status],$L276)="EM ABERTO","",INDEX(tblRegistros[Valor],$L276)),"")))</f>
        <v/>
      </c>
      <c r="J276" t="str">
        <f>IF($L276="","",IF(INDEX(tblRegistros[Data],$L276)&gt;$D$4,"",IFERROR(INDEX(tblRegistros[Status],$L276),"")))</f>
        <v/>
      </c>
      <c r="K276" t="str">
        <f>IF($L276="","",IF(INDEX(tblRegistros[Data],$L276)&gt;$D$4,"",IFERROR(INDEX(tblRegistros[Observação],$L276),"")))</f>
        <v/>
      </c>
      <c r="L276" s="16" t="str">
        <f>IFERROR(MATCH($B$3*100000+COUNTIFS(tblRegistros[ID],$B$3,tblRegistros[Data],"&lt;"&amp;$B$4)+ROWS($L$10:L276),tblRegistros[Chave do cartão],0),"")</f>
        <v/>
      </c>
    </row>
    <row r="277" spans="1:12">
      <c r="A277" s="2" t="str">
        <f>IF($L277="","",IF(INDEX(tblRegistros[Data],$L277)&gt;$D$4,"",IFERROR(INDEX(tblRegistros[Data],$L277),"")))</f>
        <v/>
      </c>
      <c r="B277" t="str">
        <f>IF($L277="","",IF(INDEX(tblRegistros[Data],$L277)&gt;$D$4,"",IFERROR(INDEX(tblRegistros[Projeto],$L277),"")))</f>
        <v/>
      </c>
      <c r="C277" t="str">
        <f>IF($L277="","",IF(INDEX(tblRegistros[Data],$L277)&gt;$D$4,"",IFERROR(INDEX(tblRegistros[Atividade],$L277),"")))</f>
        <v/>
      </c>
      <c r="D277" s="4" t="str">
        <f>IF($L277="","",IF(INDEX(tblRegistros[Data],$L277)&gt;$D$4,"",IFERROR(INDEX(tblRegistros[Início],$L277),"")))</f>
        <v/>
      </c>
      <c r="E277" s="4" t="str">
        <f>IF($L277="","",IF(INDEX(tblRegistros[Data],$L277)&gt;$D$4,"",IFERROR(IF(INDEX(tblRegistros[Status],$L277)="EM ABERTO","",INDEX(tblRegistros[Fim],$L277)),"")))</f>
        <v/>
      </c>
      <c r="F277" s="14" t="str">
        <f>IF($L277="","",IF(INDEX(tblRegistros[Data],$L277)&gt;$D$4,"",IFERROR(IF(INDEX(tblRegistros[Status],$L277)="EM ABERTO","",INDEX(tblRegistros[Horas],$L277)),"")))</f>
        <v/>
      </c>
      <c r="G277" t="str">
        <f>IF($L277="","",IF(INDEX(tblRegistros[Data],$L277)&gt;$D$4,"",IFERROR(INDEX(tblRegistros[Base],$L277),"")))</f>
        <v/>
      </c>
      <c r="H277" s="3" t="str">
        <f>IF($L277="","",IF(INDEX(tblRegistros[Data],$L277)&gt;$D$4,"",IFERROR(INDEX(tblRegistros[Taxa aplicada],$L277),"")))</f>
        <v/>
      </c>
      <c r="I277" s="3" t="str">
        <f>IF($L277="","",IF(INDEX(tblRegistros[Data],$L277)&gt;$D$4,"",IFERROR(IF(INDEX(tblRegistros[Status],$L277)="EM ABERTO","",INDEX(tblRegistros[Valor],$L277)),"")))</f>
        <v/>
      </c>
      <c r="J277" t="str">
        <f>IF($L277="","",IF(INDEX(tblRegistros[Data],$L277)&gt;$D$4,"",IFERROR(INDEX(tblRegistros[Status],$L277),"")))</f>
        <v/>
      </c>
      <c r="K277" t="str">
        <f>IF($L277="","",IF(INDEX(tblRegistros[Data],$L277)&gt;$D$4,"",IFERROR(INDEX(tblRegistros[Observação],$L277),"")))</f>
        <v/>
      </c>
      <c r="L277" s="16" t="str">
        <f>IFERROR(MATCH($B$3*100000+COUNTIFS(tblRegistros[ID],$B$3,tblRegistros[Data],"&lt;"&amp;$B$4)+ROWS($L$10:L277),tblRegistros[Chave do cartão],0),"")</f>
        <v/>
      </c>
    </row>
    <row r="278" spans="1:12">
      <c r="A278" s="2" t="str">
        <f>IF($L278="","",IF(INDEX(tblRegistros[Data],$L278)&gt;$D$4,"",IFERROR(INDEX(tblRegistros[Data],$L278),"")))</f>
        <v/>
      </c>
      <c r="B278" t="str">
        <f>IF($L278="","",IF(INDEX(tblRegistros[Data],$L278)&gt;$D$4,"",IFERROR(INDEX(tblRegistros[Projeto],$L278),"")))</f>
        <v/>
      </c>
      <c r="C278" t="str">
        <f>IF($L278="","",IF(INDEX(tblRegistros[Data],$L278)&gt;$D$4,"",IFERROR(INDEX(tblRegistros[Atividade],$L278),"")))</f>
        <v/>
      </c>
      <c r="D278" s="4" t="str">
        <f>IF($L278="","",IF(INDEX(tblRegistros[Data],$L278)&gt;$D$4,"",IFERROR(INDEX(tblRegistros[Início],$L278),"")))</f>
        <v/>
      </c>
      <c r="E278" s="4" t="str">
        <f>IF($L278="","",IF(INDEX(tblRegistros[Data],$L278)&gt;$D$4,"",IFERROR(IF(INDEX(tblRegistros[Status],$L278)="EM ABERTO","",INDEX(tblRegistros[Fim],$L278)),"")))</f>
        <v/>
      </c>
      <c r="F278" s="14" t="str">
        <f>IF($L278="","",IF(INDEX(tblRegistros[Data],$L278)&gt;$D$4,"",IFERROR(IF(INDEX(tblRegistros[Status],$L278)="EM ABERTO","",INDEX(tblRegistros[Horas],$L278)),"")))</f>
        <v/>
      </c>
      <c r="G278" t="str">
        <f>IF($L278="","",IF(INDEX(tblRegistros[Data],$L278)&gt;$D$4,"",IFERROR(INDEX(tblRegistros[Base],$L278),"")))</f>
        <v/>
      </c>
      <c r="H278" s="3" t="str">
        <f>IF($L278="","",IF(INDEX(tblRegistros[Data],$L278)&gt;$D$4,"",IFERROR(INDEX(tblRegistros[Taxa aplicada],$L278),"")))</f>
        <v/>
      </c>
      <c r="I278" s="3" t="str">
        <f>IF($L278="","",IF(INDEX(tblRegistros[Data],$L278)&gt;$D$4,"",IFERROR(IF(INDEX(tblRegistros[Status],$L278)="EM ABERTO","",INDEX(tblRegistros[Valor],$L278)),"")))</f>
        <v/>
      </c>
      <c r="J278" t="str">
        <f>IF($L278="","",IF(INDEX(tblRegistros[Data],$L278)&gt;$D$4,"",IFERROR(INDEX(tblRegistros[Status],$L278),"")))</f>
        <v/>
      </c>
      <c r="K278" t="str">
        <f>IF($L278="","",IF(INDEX(tblRegistros[Data],$L278)&gt;$D$4,"",IFERROR(INDEX(tblRegistros[Observação],$L278),"")))</f>
        <v/>
      </c>
      <c r="L278" s="16" t="str">
        <f>IFERROR(MATCH($B$3*100000+COUNTIFS(tblRegistros[ID],$B$3,tblRegistros[Data],"&lt;"&amp;$B$4)+ROWS($L$10:L278),tblRegistros[Chave do cartão],0),"")</f>
        <v/>
      </c>
    </row>
    <row r="279" spans="1:12">
      <c r="A279" s="2" t="str">
        <f>IF($L279="","",IF(INDEX(tblRegistros[Data],$L279)&gt;$D$4,"",IFERROR(INDEX(tblRegistros[Data],$L279),"")))</f>
        <v/>
      </c>
      <c r="B279" t="str">
        <f>IF($L279="","",IF(INDEX(tblRegistros[Data],$L279)&gt;$D$4,"",IFERROR(INDEX(tblRegistros[Projeto],$L279),"")))</f>
        <v/>
      </c>
      <c r="C279" t="str">
        <f>IF($L279="","",IF(INDEX(tblRegistros[Data],$L279)&gt;$D$4,"",IFERROR(INDEX(tblRegistros[Atividade],$L279),"")))</f>
        <v/>
      </c>
      <c r="D279" s="4" t="str">
        <f>IF($L279="","",IF(INDEX(tblRegistros[Data],$L279)&gt;$D$4,"",IFERROR(INDEX(tblRegistros[Início],$L279),"")))</f>
        <v/>
      </c>
      <c r="E279" s="4" t="str">
        <f>IF($L279="","",IF(INDEX(tblRegistros[Data],$L279)&gt;$D$4,"",IFERROR(IF(INDEX(tblRegistros[Status],$L279)="EM ABERTO","",INDEX(tblRegistros[Fim],$L279)),"")))</f>
        <v/>
      </c>
      <c r="F279" s="14" t="str">
        <f>IF($L279="","",IF(INDEX(tblRegistros[Data],$L279)&gt;$D$4,"",IFERROR(IF(INDEX(tblRegistros[Status],$L279)="EM ABERTO","",INDEX(tblRegistros[Horas],$L279)),"")))</f>
        <v/>
      </c>
      <c r="G279" t="str">
        <f>IF($L279="","",IF(INDEX(tblRegistros[Data],$L279)&gt;$D$4,"",IFERROR(INDEX(tblRegistros[Base],$L279),"")))</f>
        <v/>
      </c>
      <c r="H279" s="3" t="str">
        <f>IF($L279="","",IF(INDEX(tblRegistros[Data],$L279)&gt;$D$4,"",IFERROR(INDEX(tblRegistros[Taxa aplicada],$L279),"")))</f>
        <v/>
      </c>
      <c r="I279" s="3" t="str">
        <f>IF($L279="","",IF(INDEX(tblRegistros[Data],$L279)&gt;$D$4,"",IFERROR(IF(INDEX(tblRegistros[Status],$L279)="EM ABERTO","",INDEX(tblRegistros[Valor],$L279)),"")))</f>
        <v/>
      </c>
      <c r="J279" t="str">
        <f>IF($L279="","",IF(INDEX(tblRegistros[Data],$L279)&gt;$D$4,"",IFERROR(INDEX(tblRegistros[Status],$L279),"")))</f>
        <v/>
      </c>
      <c r="K279" t="str">
        <f>IF($L279="","",IF(INDEX(tblRegistros[Data],$L279)&gt;$D$4,"",IFERROR(INDEX(tblRegistros[Observação],$L279),"")))</f>
        <v/>
      </c>
      <c r="L279" s="16" t="str">
        <f>IFERROR(MATCH($B$3*100000+COUNTIFS(tblRegistros[ID],$B$3,tblRegistros[Data],"&lt;"&amp;$B$4)+ROWS($L$10:L279),tblRegistros[Chave do cartão],0),"")</f>
        <v/>
      </c>
    </row>
    <row r="280" spans="1:12">
      <c r="A280" s="2" t="str">
        <f>IF($L280="","",IF(INDEX(tblRegistros[Data],$L280)&gt;$D$4,"",IFERROR(INDEX(tblRegistros[Data],$L280),"")))</f>
        <v/>
      </c>
      <c r="B280" t="str">
        <f>IF($L280="","",IF(INDEX(tblRegistros[Data],$L280)&gt;$D$4,"",IFERROR(INDEX(tblRegistros[Projeto],$L280),"")))</f>
        <v/>
      </c>
      <c r="C280" t="str">
        <f>IF($L280="","",IF(INDEX(tblRegistros[Data],$L280)&gt;$D$4,"",IFERROR(INDEX(tblRegistros[Atividade],$L280),"")))</f>
        <v/>
      </c>
      <c r="D280" s="4" t="str">
        <f>IF($L280="","",IF(INDEX(tblRegistros[Data],$L280)&gt;$D$4,"",IFERROR(INDEX(tblRegistros[Início],$L280),"")))</f>
        <v/>
      </c>
      <c r="E280" s="4" t="str">
        <f>IF($L280="","",IF(INDEX(tblRegistros[Data],$L280)&gt;$D$4,"",IFERROR(IF(INDEX(tblRegistros[Status],$L280)="EM ABERTO","",INDEX(tblRegistros[Fim],$L280)),"")))</f>
        <v/>
      </c>
      <c r="F280" s="14" t="str">
        <f>IF($L280="","",IF(INDEX(tblRegistros[Data],$L280)&gt;$D$4,"",IFERROR(IF(INDEX(tblRegistros[Status],$L280)="EM ABERTO","",INDEX(tblRegistros[Horas],$L280)),"")))</f>
        <v/>
      </c>
      <c r="G280" t="str">
        <f>IF($L280="","",IF(INDEX(tblRegistros[Data],$L280)&gt;$D$4,"",IFERROR(INDEX(tblRegistros[Base],$L280),"")))</f>
        <v/>
      </c>
      <c r="H280" s="3" t="str">
        <f>IF($L280="","",IF(INDEX(tblRegistros[Data],$L280)&gt;$D$4,"",IFERROR(INDEX(tblRegistros[Taxa aplicada],$L280),"")))</f>
        <v/>
      </c>
      <c r="I280" s="3" t="str">
        <f>IF($L280="","",IF(INDEX(tblRegistros[Data],$L280)&gt;$D$4,"",IFERROR(IF(INDEX(tblRegistros[Status],$L280)="EM ABERTO","",INDEX(tblRegistros[Valor],$L280)),"")))</f>
        <v/>
      </c>
      <c r="J280" t="str">
        <f>IF($L280="","",IF(INDEX(tblRegistros[Data],$L280)&gt;$D$4,"",IFERROR(INDEX(tblRegistros[Status],$L280),"")))</f>
        <v/>
      </c>
      <c r="K280" t="str">
        <f>IF($L280="","",IF(INDEX(tblRegistros[Data],$L280)&gt;$D$4,"",IFERROR(INDEX(tblRegistros[Observação],$L280),"")))</f>
        <v/>
      </c>
      <c r="L280" s="16" t="str">
        <f>IFERROR(MATCH($B$3*100000+COUNTIFS(tblRegistros[ID],$B$3,tblRegistros[Data],"&lt;"&amp;$B$4)+ROWS($L$10:L280),tblRegistros[Chave do cartão],0),"")</f>
        <v/>
      </c>
    </row>
    <row r="281" spans="1:12">
      <c r="A281" s="2" t="str">
        <f>IF($L281="","",IF(INDEX(tblRegistros[Data],$L281)&gt;$D$4,"",IFERROR(INDEX(tblRegistros[Data],$L281),"")))</f>
        <v/>
      </c>
      <c r="B281" t="str">
        <f>IF($L281="","",IF(INDEX(tblRegistros[Data],$L281)&gt;$D$4,"",IFERROR(INDEX(tblRegistros[Projeto],$L281),"")))</f>
        <v/>
      </c>
      <c r="C281" t="str">
        <f>IF($L281="","",IF(INDEX(tblRegistros[Data],$L281)&gt;$D$4,"",IFERROR(INDEX(tblRegistros[Atividade],$L281),"")))</f>
        <v/>
      </c>
      <c r="D281" s="4" t="str">
        <f>IF($L281="","",IF(INDEX(tblRegistros[Data],$L281)&gt;$D$4,"",IFERROR(INDEX(tblRegistros[Início],$L281),"")))</f>
        <v/>
      </c>
      <c r="E281" s="4" t="str">
        <f>IF($L281="","",IF(INDEX(tblRegistros[Data],$L281)&gt;$D$4,"",IFERROR(IF(INDEX(tblRegistros[Status],$L281)="EM ABERTO","",INDEX(tblRegistros[Fim],$L281)),"")))</f>
        <v/>
      </c>
      <c r="F281" s="14" t="str">
        <f>IF($L281="","",IF(INDEX(tblRegistros[Data],$L281)&gt;$D$4,"",IFERROR(IF(INDEX(tblRegistros[Status],$L281)="EM ABERTO","",INDEX(tblRegistros[Horas],$L281)),"")))</f>
        <v/>
      </c>
      <c r="G281" t="str">
        <f>IF($L281="","",IF(INDEX(tblRegistros[Data],$L281)&gt;$D$4,"",IFERROR(INDEX(tblRegistros[Base],$L281),"")))</f>
        <v/>
      </c>
      <c r="H281" s="3" t="str">
        <f>IF($L281="","",IF(INDEX(tblRegistros[Data],$L281)&gt;$D$4,"",IFERROR(INDEX(tblRegistros[Taxa aplicada],$L281),"")))</f>
        <v/>
      </c>
      <c r="I281" s="3" t="str">
        <f>IF($L281="","",IF(INDEX(tblRegistros[Data],$L281)&gt;$D$4,"",IFERROR(IF(INDEX(tblRegistros[Status],$L281)="EM ABERTO","",INDEX(tblRegistros[Valor],$L281)),"")))</f>
        <v/>
      </c>
      <c r="J281" t="str">
        <f>IF($L281="","",IF(INDEX(tblRegistros[Data],$L281)&gt;$D$4,"",IFERROR(INDEX(tblRegistros[Status],$L281),"")))</f>
        <v/>
      </c>
      <c r="K281" t="str">
        <f>IF($L281="","",IF(INDEX(tblRegistros[Data],$L281)&gt;$D$4,"",IFERROR(INDEX(tblRegistros[Observação],$L281),"")))</f>
        <v/>
      </c>
      <c r="L281" s="16" t="str">
        <f>IFERROR(MATCH($B$3*100000+COUNTIFS(tblRegistros[ID],$B$3,tblRegistros[Data],"&lt;"&amp;$B$4)+ROWS($L$10:L281),tblRegistros[Chave do cartão],0),"")</f>
        <v/>
      </c>
    </row>
    <row r="282" spans="1:12">
      <c r="A282" s="2" t="str">
        <f>IF($L282="","",IF(INDEX(tblRegistros[Data],$L282)&gt;$D$4,"",IFERROR(INDEX(tblRegistros[Data],$L282),"")))</f>
        <v/>
      </c>
      <c r="B282" t="str">
        <f>IF($L282="","",IF(INDEX(tblRegistros[Data],$L282)&gt;$D$4,"",IFERROR(INDEX(tblRegistros[Projeto],$L282),"")))</f>
        <v/>
      </c>
      <c r="C282" t="str">
        <f>IF($L282="","",IF(INDEX(tblRegistros[Data],$L282)&gt;$D$4,"",IFERROR(INDEX(tblRegistros[Atividade],$L282),"")))</f>
        <v/>
      </c>
      <c r="D282" s="4" t="str">
        <f>IF($L282="","",IF(INDEX(tblRegistros[Data],$L282)&gt;$D$4,"",IFERROR(INDEX(tblRegistros[Início],$L282),"")))</f>
        <v/>
      </c>
      <c r="E282" s="4" t="str">
        <f>IF($L282="","",IF(INDEX(tblRegistros[Data],$L282)&gt;$D$4,"",IFERROR(IF(INDEX(tblRegistros[Status],$L282)="EM ABERTO","",INDEX(tblRegistros[Fim],$L282)),"")))</f>
        <v/>
      </c>
      <c r="F282" s="14" t="str">
        <f>IF($L282="","",IF(INDEX(tblRegistros[Data],$L282)&gt;$D$4,"",IFERROR(IF(INDEX(tblRegistros[Status],$L282)="EM ABERTO","",INDEX(tblRegistros[Horas],$L282)),"")))</f>
        <v/>
      </c>
      <c r="G282" t="str">
        <f>IF($L282="","",IF(INDEX(tblRegistros[Data],$L282)&gt;$D$4,"",IFERROR(INDEX(tblRegistros[Base],$L282),"")))</f>
        <v/>
      </c>
      <c r="H282" s="3" t="str">
        <f>IF($L282="","",IF(INDEX(tblRegistros[Data],$L282)&gt;$D$4,"",IFERROR(INDEX(tblRegistros[Taxa aplicada],$L282),"")))</f>
        <v/>
      </c>
      <c r="I282" s="3" t="str">
        <f>IF($L282="","",IF(INDEX(tblRegistros[Data],$L282)&gt;$D$4,"",IFERROR(IF(INDEX(tblRegistros[Status],$L282)="EM ABERTO","",INDEX(tblRegistros[Valor],$L282)),"")))</f>
        <v/>
      </c>
      <c r="J282" t="str">
        <f>IF($L282="","",IF(INDEX(tblRegistros[Data],$L282)&gt;$D$4,"",IFERROR(INDEX(tblRegistros[Status],$L282),"")))</f>
        <v/>
      </c>
      <c r="K282" t="str">
        <f>IF($L282="","",IF(INDEX(tblRegistros[Data],$L282)&gt;$D$4,"",IFERROR(INDEX(tblRegistros[Observação],$L282),"")))</f>
        <v/>
      </c>
      <c r="L282" s="16" t="str">
        <f>IFERROR(MATCH($B$3*100000+COUNTIFS(tblRegistros[ID],$B$3,tblRegistros[Data],"&lt;"&amp;$B$4)+ROWS($L$10:L282),tblRegistros[Chave do cartão],0),"")</f>
        <v/>
      </c>
    </row>
    <row r="283" spans="1:12">
      <c r="A283" s="2" t="str">
        <f>IF($L283="","",IF(INDEX(tblRegistros[Data],$L283)&gt;$D$4,"",IFERROR(INDEX(tblRegistros[Data],$L283),"")))</f>
        <v/>
      </c>
      <c r="B283" t="str">
        <f>IF($L283="","",IF(INDEX(tblRegistros[Data],$L283)&gt;$D$4,"",IFERROR(INDEX(tblRegistros[Projeto],$L283),"")))</f>
        <v/>
      </c>
      <c r="C283" t="str">
        <f>IF($L283="","",IF(INDEX(tblRegistros[Data],$L283)&gt;$D$4,"",IFERROR(INDEX(tblRegistros[Atividade],$L283),"")))</f>
        <v/>
      </c>
      <c r="D283" s="4" t="str">
        <f>IF($L283="","",IF(INDEX(tblRegistros[Data],$L283)&gt;$D$4,"",IFERROR(INDEX(tblRegistros[Início],$L283),"")))</f>
        <v/>
      </c>
      <c r="E283" s="4" t="str">
        <f>IF($L283="","",IF(INDEX(tblRegistros[Data],$L283)&gt;$D$4,"",IFERROR(IF(INDEX(tblRegistros[Status],$L283)="EM ABERTO","",INDEX(tblRegistros[Fim],$L283)),"")))</f>
        <v/>
      </c>
      <c r="F283" s="14" t="str">
        <f>IF($L283="","",IF(INDEX(tblRegistros[Data],$L283)&gt;$D$4,"",IFERROR(IF(INDEX(tblRegistros[Status],$L283)="EM ABERTO","",INDEX(tblRegistros[Horas],$L283)),"")))</f>
        <v/>
      </c>
      <c r="G283" t="str">
        <f>IF($L283="","",IF(INDEX(tblRegistros[Data],$L283)&gt;$D$4,"",IFERROR(INDEX(tblRegistros[Base],$L283),"")))</f>
        <v/>
      </c>
      <c r="H283" s="3" t="str">
        <f>IF($L283="","",IF(INDEX(tblRegistros[Data],$L283)&gt;$D$4,"",IFERROR(INDEX(tblRegistros[Taxa aplicada],$L283),"")))</f>
        <v/>
      </c>
      <c r="I283" s="3" t="str">
        <f>IF($L283="","",IF(INDEX(tblRegistros[Data],$L283)&gt;$D$4,"",IFERROR(IF(INDEX(tblRegistros[Status],$L283)="EM ABERTO","",INDEX(tblRegistros[Valor],$L283)),"")))</f>
        <v/>
      </c>
      <c r="J283" t="str">
        <f>IF($L283="","",IF(INDEX(tblRegistros[Data],$L283)&gt;$D$4,"",IFERROR(INDEX(tblRegistros[Status],$L283),"")))</f>
        <v/>
      </c>
      <c r="K283" t="str">
        <f>IF($L283="","",IF(INDEX(tblRegistros[Data],$L283)&gt;$D$4,"",IFERROR(INDEX(tblRegistros[Observação],$L283),"")))</f>
        <v/>
      </c>
      <c r="L283" s="16" t="str">
        <f>IFERROR(MATCH($B$3*100000+COUNTIFS(tblRegistros[ID],$B$3,tblRegistros[Data],"&lt;"&amp;$B$4)+ROWS($L$10:L283),tblRegistros[Chave do cartão],0),"")</f>
        <v/>
      </c>
    </row>
    <row r="284" spans="1:12">
      <c r="A284" s="2" t="str">
        <f>IF($L284="","",IF(INDEX(tblRegistros[Data],$L284)&gt;$D$4,"",IFERROR(INDEX(tblRegistros[Data],$L284),"")))</f>
        <v/>
      </c>
      <c r="B284" t="str">
        <f>IF($L284="","",IF(INDEX(tblRegistros[Data],$L284)&gt;$D$4,"",IFERROR(INDEX(tblRegistros[Projeto],$L284),"")))</f>
        <v/>
      </c>
      <c r="C284" t="str">
        <f>IF($L284="","",IF(INDEX(tblRegistros[Data],$L284)&gt;$D$4,"",IFERROR(INDEX(tblRegistros[Atividade],$L284),"")))</f>
        <v/>
      </c>
      <c r="D284" s="4" t="str">
        <f>IF($L284="","",IF(INDEX(tblRegistros[Data],$L284)&gt;$D$4,"",IFERROR(INDEX(tblRegistros[Início],$L284),"")))</f>
        <v/>
      </c>
      <c r="E284" s="4" t="str">
        <f>IF($L284="","",IF(INDEX(tblRegistros[Data],$L284)&gt;$D$4,"",IFERROR(IF(INDEX(tblRegistros[Status],$L284)="EM ABERTO","",INDEX(tblRegistros[Fim],$L284)),"")))</f>
        <v/>
      </c>
      <c r="F284" s="14" t="str">
        <f>IF($L284="","",IF(INDEX(tblRegistros[Data],$L284)&gt;$D$4,"",IFERROR(IF(INDEX(tblRegistros[Status],$L284)="EM ABERTO","",INDEX(tblRegistros[Horas],$L284)),"")))</f>
        <v/>
      </c>
      <c r="G284" t="str">
        <f>IF($L284="","",IF(INDEX(tblRegistros[Data],$L284)&gt;$D$4,"",IFERROR(INDEX(tblRegistros[Base],$L284),"")))</f>
        <v/>
      </c>
      <c r="H284" s="3" t="str">
        <f>IF($L284="","",IF(INDEX(tblRegistros[Data],$L284)&gt;$D$4,"",IFERROR(INDEX(tblRegistros[Taxa aplicada],$L284),"")))</f>
        <v/>
      </c>
      <c r="I284" s="3" t="str">
        <f>IF($L284="","",IF(INDEX(tblRegistros[Data],$L284)&gt;$D$4,"",IFERROR(IF(INDEX(tblRegistros[Status],$L284)="EM ABERTO","",INDEX(tblRegistros[Valor],$L284)),"")))</f>
        <v/>
      </c>
      <c r="J284" t="str">
        <f>IF($L284="","",IF(INDEX(tblRegistros[Data],$L284)&gt;$D$4,"",IFERROR(INDEX(tblRegistros[Status],$L284),"")))</f>
        <v/>
      </c>
      <c r="K284" t="str">
        <f>IF($L284="","",IF(INDEX(tblRegistros[Data],$L284)&gt;$D$4,"",IFERROR(INDEX(tblRegistros[Observação],$L284),"")))</f>
        <v/>
      </c>
      <c r="L284" s="16" t="str">
        <f>IFERROR(MATCH($B$3*100000+COUNTIFS(tblRegistros[ID],$B$3,tblRegistros[Data],"&lt;"&amp;$B$4)+ROWS($L$10:L284),tblRegistros[Chave do cartão],0),"")</f>
        <v/>
      </c>
    </row>
    <row r="285" spans="1:12">
      <c r="A285" s="2" t="str">
        <f>IF($L285="","",IF(INDEX(tblRegistros[Data],$L285)&gt;$D$4,"",IFERROR(INDEX(tblRegistros[Data],$L285),"")))</f>
        <v/>
      </c>
      <c r="B285" t="str">
        <f>IF($L285="","",IF(INDEX(tblRegistros[Data],$L285)&gt;$D$4,"",IFERROR(INDEX(tblRegistros[Projeto],$L285),"")))</f>
        <v/>
      </c>
      <c r="C285" t="str">
        <f>IF($L285="","",IF(INDEX(tblRegistros[Data],$L285)&gt;$D$4,"",IFERROR(INDEX(tblRegistros[Atividade],$L285),"")))</f>
        <v/>
      </c>
      <c r="D285" s="4" t="str">
        <f>IF($L285="","",IF(INDEX(tblRegistros[Data],$L285)&gt;$D$4,"",IFERROR(INDEX(tblRegistros[Início],$L285),"")))</f>
        <v/>
      </c>
      <c r="E285" s="4" t="str">
        <f>IF($L285="","",IF(INDEX(tblRegistros[Data],$L285)&gt;$D$4,"",IFERROR(IF(INDEX(tblRegistros[Status],$L285)="EM ABERTO","",INDEX(tblRegistros[Fim],$L285)),"")))</f>
        <v/>
      </c>
      <c r="F285" s="14" t="str">
        <f>IF($L285="","",IF(INDEX(tblRegistros[Data],$L285)&gt;$D$4,"",IFERROR(IF(INDEX(tblRegistros[Status],$L285)="EM ABERTO","",INDEX(tblRegistros[Horas],$L285)),"")))</f>
        <v/>
      </c>
      <c r="G285" t="str">
        <f>IF($L285="","",IF(INDEX(tblRegistros[Data],$L285)&gt;$D$4,"",IFERROR(INDEX(tblRegistros[Base],$L285),"")))</f>
        <v/>
      </c>
      <c r="H285" s="3" t="str">
        <f>IF($L285="","",IF(INDEX(tblRegistros[Data],$L285)&gt;$D$4,"",IFERROR(INDEX(tblRegistros[Taxa aplicada],$L285),"")))</f>
        <v/>
      </c>
      <c r="I285" s="3" t="str">
        <f>IF($L285="","",IF(INDEX(tblRegistros[Data],$L285)&gt;$D$4,"",IFERROR(IF(INDEX(tblRegistros[Status],$L285)="EM ABERTO","",INDEX(tblRegistros[Valor],$L285)),"")))</f>
        <v/>
      </c>
      <c r="J285" t="str">
        <f>IF($L285="","",IF(INDEX(tblRegistros[Data],$L285)&gt;$D$4,"",IFERROR(INDEX(tblRegistros[Status],$L285),"")))</f>
        <v/>
      </c>
      <c r="K285" t="str">
        <f>IF($L285="","",IF(INDEX(tblRegistros[Data],$L285)&gt;$D$4,"",IFERROR(INDEX(tblRegistros[Observação],$L285),"")))</f>
        <v/>
      </c>
      <c r="L285" s="16" t="str">
        <f>IFERROR(MATCH($B$3*100000+COUNTIFS(tblRegistros[ID],$B$3,tblRegistros[Data],"&lt;"&amp;$B$4)+ROWS($L$10:L285),tblRegistros[Chave do cartão],0),"")</f>
        <v/>
      </c>
    </row>
    <row r="286" spans="1:12">
      <c r="A286" s="2" t="str">
        <f>IF($L286="","",IF(INDEX(tblRegistros[Data],$L286)&gt;$D$4,"",IFERROR(INDEX(tblRegistros[Data],$L286),"")))</f>
        <v/>
      </c>
      <c r="B286" t="str">
        <f>IF($L286="","",IF(INDEX(tblRegistros[Data],$L286)&gt;$D$4,"",IFERROR(INDEX(tblRegistros[Projeto],$L286),"")))</f>
        <v/>
      </c>
      <c r="C286" t="str">
        <f>IF($L286="","",IF(INDEX(tblRegistros[Data],$L286)&gt;$D$4,"",IFERROR(INDEX(tblRegistros[Atividade],$L286),"")))</f>
        <v/>
      </c>
      <c r="D286" s="4" t="str">
        <f>IF($L286="","",IF(INDEX(tblRegistros[Data],$L286)&gt;$D$4,"",IFERROR(INDEX(tblRegistros[Início],$L286),"")))</f>
        <v/>
      </c>
      <c r="E286" s="4" t="str">
        <f>IF($L286="","",IF(INDEX(tblRegistros[Data],$L286)&gt;$D$4,"",IFERROR(IF(INDEX(tblRegistros[Status],$L286)="EM ABERTO","",INDEX(tblRegistros[Fim],$L286)),"")))</f>
        <v/>
      </c>
      <c r="F286" s="14" t="str">
        <f>IF($L286="","",IF(INDEX(tblRegistros[Data],$L286)&gt;$D$4,"",IFERROR(IF(INDEX(tblRegistros[Status],$L286)="EM ABERTO","",INDEX(tblRegistros[Horas],$L286)),"")))</f>
        <v/>
      </c>
      <c r="G286" t="str">
        <f>IF($L286="","",IF(INDEX(tblRegistros[Data],$L286)&gt;$D$4,"",IFERROR(INDEX(tblRegistros[Base],$L286),"")))</f>
        <v/>
      </c>
      <c r="H286" s="3" t="str">
        <f>IF($L286="","",IF(INDEX(tblRegistros[Data],$L286)&gt;$D$4,"",IFERROR(INDEX(tblRegistros[Taxa aplicada],$L286),"")))</f>
        <v/>
      </c>
      <c r="I286" s="3" t="str">
        <f>IF($L286="","",IF(INDEX(tblRegistros[Data],$L286)&gt;$D$4,"",IFERROR(IF(INDEX(tblRegistros[Status],$L286)="EM ABERTO","",INDEX(tblRegistros[Valor],$L286)),"")))</f>
        <v/>
      </c>
      <c r="J286" t="str">
        <f>IF($L286="","",IF(INDEX(tblRegistros[Data],$L286)&gt;$D$4,"",IFERROR(INDEX(tblRegistros[Status],$L286),"")))</f>
        <v/>
      </c>
      <c r="K286" t="str">
        <f>IF($L286="","",IF(INDEX(tblRegistros[Data],$L286)&gt;$D$4,"",IFERROR(INDEX(tblRegistros[Observação],$L286),"")))</f>
        <v/>
      </c>
      <c r="L286" s="16" t="str">
        <f>IFERROR(MATCH($B$3*100000+COUNTIFS(tblRegistros[ID],$B$3,tblRegistros[Data],"&lt;"&amp;$B$4)+ROWS($L$10:L286),tblRegistros[Chave do cartão],0),"")</f>
        <v/>
      </c>
    </row>
    <row r="287" spans="1:12">
      <c r="A287" s="2" t="str">
        <f>IF($L287="","",IF(INDEX(tblRegistros[Data],$L287)&gt;$D$4,"",IFERROR(INDEX(tblRegistros[Data],$L287),"")))</f>
        <v/>
      </c>
      <c r="B287" t="str">
        <f>IF($L287="","",IF(INDEX(tblRegistros[Data],$L287)&gt;$D$4,"",IFERROR(INDEX(tblRegistros[Projeto],$L287),"")))</f>
        <v/>
      </c>
      <c r="C287" t="str">
        <f>IF($L287="","",IF(INDEX(tblRegistros[Data],$L287)&gt;$D$4,"",IFERROR(INDEX(tblRegistros[Atividade],$L287),"")))</f>
        <v/>
      </c>
      <c r="D287" s="4" t="str">
        <f>IF($L287="","",IF(INDEX(tblRegistros[Data],$L287)&gt;$D$4,"",IFERROR(INDEX(tblRegistros[Início],$L287),"")))</f>
        <v/>
      </c>
      <c r="E287" s="4" t="str">
        <f>IF($L287="","",IF(INDEX(tblRegistros[Data],$L287)&gt;$D$4,"",IFERROR(IF(INDEX(tblRegistros[Status],$L287)="EM ABERTO","",INDEX(tblRegistros[Fim],$L287)),"")))</f>
        <v/>
      </c>
      <c r="F287" s="14" t="str">
        <f>IF($L287="","",IF(INDEX(tblRegistros[Data],$L287)&gt;$D$4,"",IFERROR(IF(INDEX(tblRegistros[Status],$L287)="EM ABERTO","",INDEX(tblRegistros[Horas],$L287)),"")))</f>
        <v/>
      </c>
      <c r="G287" t="str">
        <f>IF($L287="","",IF(INDEX(tblRegistros[Data],$L287)&gt;$D$4,"",IFERROR(INDEX(tblRegistros[Base],$L287),"")))</f>
        <v/>
      </c>
      <c r="H287" s="3" t="str">
        <f>IF($L287="","",IF(INDEX(tblRegistros[Data],$L287)&gt;$D$4,"",IFERROR(INDEX(tblRegistros[Taxa aplicada],$L287),"")))</f>
        <v/>
      </c>
      <c r="I287" s="3" t="str">
        <f>IF($L287="","",IF(INDEX(tblRegistros[Data],$L287)&gt;$D$4,"",IFERROR(IF(INDEX(tblRegistros[Status],$L287)="EM ABERTO","",INDEX(tblRegistros[Valor],$L287)),"")))</f>
        <v/>
      </c>
      <c r="J287" t="str">
        <f>IF($L287="","",IF(INDEX(tblRegistros[Data],$L287)&gt;$D$4,"",IFERROR(INDEX(tblRegistros[Status],$L287),"")))</f>
        <v/>
      </c>
      <c r="K287" t="str">
        <f>IF($L287="","",IF(INDEX(tblRegistros[Data],$L287)&gt;$D$4,"",IFERROR(INDEX(tblRegistros[Observação],$L287),"")))</f>
        <v/>
      </c>
      <c r="L287" s="16" t="str">
        <f>IFERROR(MATCH($B$3*100000+COUNTIFS(tblRegistros[ID],$B$3,tblRegistros[Data],"&lt;"&amp;$B$4)+ROWS($L$10:L287),tblRegistros[Chave do cartão],0),"")</f>
        <v/>
      </c>
    </row>
    <row r="288" spans="1:12">
      <c r="A288" s="2" t="str">
        <f>IF($L288="","",IF(INDEX(tblRegistros[Data],$L288)&gt;$D$4,"",IFERROR(INDEX(tblRegistros[Data],$L288),"")))</f>
        <v/>
      </c>
      <c r="B288" t="str">
        <f>IF($L288="","",IF(INDEX(tblRegistros[Data],$L288)&gt;$D$4,"",IFERROR(INDEX(tblRegistros[Projeto],$L288),"")))</f>
        <v/>
      </c>
      <c r="C288" t="str">
        <f>IF($L288="","",IF(INDEX(tblRegistros[Data],$L288)&gt;$D$4,"",IFERROR(INDEX(tblRegistros[Atividade],$L288),"")))</f>
        <v/>
      </c>
      <c r="D288" s="4" t="str">
        <f>IF($L288="","",IF(INDEX(tblRegistros[Data],$L288)&gt;$D$4,"",IFERROR(INDEX(tblRegistros[Início],$L288),"")))</f>
        <v/>
      </c>
      <c r="E288" s="4" t="str">
        <f>IF($L288="","",IF(INDEX(tblRegistros[Data],$L288)&gt;$D$4,"",IFERROR(IF(INDEX(tblRegistros[Status],$L288)="EM ABERTO","",INDEX(tblRegistros[Fim],$L288)),"")))</f>
        <v/>
      </c>
      <c r="F288" s="14" t="str">
        <f>IF($L288="","",IF(INDEX(tblRegistros[Data],$L288)&gt;$D$4,"",IFERROR(IF(INDEX(tblRegistros[Status],$L288)="EM ABERTO","",INDEX(tblRegistros[Horas],$L288)),"")))</f>
        <v/>
      </c>
      <c r="G288" t="str">
        <f>IF($L288="","",IF(INDEX(tblRegistros[Data],$L288)&gt;$D$4,"",IFERROR(INDEX(tblRegistros[Base],$L288),"")))</f>
        <v/>
      </c>
      <c r="H288" s="3" t="str">
        <f>IF($L288="","",IF(INDEX(tblRegistros[Data],$L288)&gt;$D$4,"",IFERROR(INDEX(tblRegistros[Taxa aplicada],$L288),"")))</f>
        <v/>
      </c>
      <c r="I288" s="3" t="str">
        <f>IF($L288="","",IF(INDEX(tblRegistros[Data],$L288)&gt;$D$4,"",IFERROR(IF(INDEX(tblRegistros[Status],$L288)="EM ABERTO","",INDEX(tblRegistros[Valor],$L288)),"")))</f>
        <v/>
      </c>
      <c r="J288" t="str">
        <f>IF($L288="","",IF(INDEX(tblRegistros[Data],$L288)&gt;$D$4,"",IFERROR(INDEX(tblRegistros[Status],$L288),"")))</f>
        <v/>
      </c>
      <c r="K288" t="str">
        <f>IF($L288="","",IF(INDEX(tblRegistros[Data],$L288)&gt;$D$4,"",IFERROR(INDEX(tblRegistros[Observação],$L288),"")))</f>
        <v/>
      </c>
      <c r="L288" s="16" t="str">
        <f>IFERROR(MATCH($B$3*100000+COUNTIFS(tblRegistros[ID],$B$3,tblRegistros[Data],"&lt;"&amp;$B$4)+ROWS($L$10:L288),tblRegistros[Chave do cartão],0),"")</f>
        <v/>
      </c>
    </row>
    <row r="289" spans="1:12">
      <c r="A289" s="2" t="str">
        <f>IF($L289="","",IF(INDEX(tblRegistros[Data],$L289)&gt;$D$4,"",IFERROR(INDEX(tblRegistros[Data],$L289),"")))</f>
        <v/>
      </c>
      <c r="B289" t="str">
        <f>IF($L289="","",IF(INDEX(tblRegistros[Data],$L289)&gt;$D$4,"",IFERROR(INDEX(tblRegistros[Projeto],$L289),"")))</f>
        <v/>
      </c>
      <c r="C289" t="str">
        <f>IF($L289="","",IF(INDEX(tblRegistros[Data],$L289)&gt;$D$4,"",IFERROR(INDEX(tblRegistros[Atividade],$L289),"")))</f>
        <v/>
      </c>
      <c r="D289" s="4" t="str">
        <f>IF($L289="","",IF(INDEX(tblRegistros[Data],$L289)&gt;$D$4,"",IFERROR(INDEX(tblRegistros[Início],$L289),"")))</f>
        <v/>
      </c>
      <c r="E289" s="4" t="str">
        <f>IF($L289="","",IF(INDEX(tblRegistros[Data],$L289)&gt;$D$4,"",IFERROR(IF(INDEX(tblRegistros[Status],$L289)="EM ABERTO","",INDEX(tblRegistros[Fim],$L289)),"")))</f>
        <v/>
      </c>
      <c r="F289" s="14" t="str">
        <f>IF($L289="","",IF(INDEX(tblRegistros[Data],$L289)&gt;$D$4,"",IFERROR(IF(INDEX(tblRegistros[Status],$L289)="EM ABERTO","",INDEX(tblRegistros[Horas],$L289)),"")))</f>
        <v/>
      </c>
      <c r="G289" t="str">
        <f>IF($L289="","",IF(INDEX(tblRegistros[Data],$L289)&gt;$D$4,"",IFERROR(INDEX(tblRegistros[Base],$L289),"")))</f>
        <v/>
      </c>
      <c r="H289" s="3" t="str">
        <f>IF($L289="","",IF(INDEX(tblRegistros[Data],$L289)&gt;$D$4,"",IFERROR(INDEX(tblRegistros[Taxa aplicada],$L289),"")))</f>
        <v/>
      </c>
      <c r="I289" s="3" t="str">
        <f>IF($L289="","",IF(INDEX(tblRegistros[Data],$L289)&gt;$D$4,"",IFERROR(IF(INDEX(tblRegistros[Status],$L289)="EM ABERTO","",INDEX(tblRegistros[Valor],$L289)),"")))</f>
        <v/>
      </c>
      <c r="J289" t="str">
        <f>IF($L289="","",IF(INDEX(tblRegistros[Data],$L289)&gt;$D$4,"",IFERROR(INDEX(tblRegistros[Status],$L289),"")))</f>
        <v/>
      </c>
      <c r="K289" t="str">
        <f>IF($L289="","",IF(INDEX(tblRegistros[Data],$L289)&gt;$D$4,"",IFERROR(INDEX(tblRegistros[Observação],$L289),"")))</f>
        <v/>
      </c>
      <c r="L289" s="16" t="str">
        <f>IFERROR(MATCH($B$3*100000+COUNTIFS(tblRegistros[ID],$B$3,tblRegistros[Data],"&lt;"&amp;$B$4)+ROWS($L$10:L289),tblRegistros[Chave do cartão],0),"")</f>
        <v/>
      </c>
    </row>
    <row r="290" spans="1:12">
      <c r="A290" s="2" t="str">
        <f>IF($L290="","",IF(INDEX(tblRegistros[Data],$L290)&gt;$D$4,"",IFERROR(INDEX(tblRegistros[Data],$L290),"")))</f>
        <v/>
      </c>
      <c r="B290" t="str">
        <f>IF($L290="","",IF(INDEX(tblRegistros[Data],$L290)&gt;$D$4,"",IFERROR(INDEX(tblRegistros[Projeto],$L290),"")))</f>
        <v/>
      </c>
      <c r="C290" t="str">
        <f>IF($L290="","",IF(INDEX(tblRegistros[Data],$L290)&gt;$D$4,"",IFERROR(INDEX(tblRegistros[Atividade],$L290),"")))</f>
        <v/>
      </c>
      <c r="D290" s="4" t="str">
        <f>IF($L290="","",IF(INDEX(tblRegistros[Data],$L290)&gt;$D$4,"",IFERROR(INDEX(tblRegistros[Início],$L290),"")))</f>
        <v/>
      </c>
      <c r="E290" s="4" t="str">
        <f>IF($L290="","",IF(INDEX(tblRegistros[Data],$L290)&gt;$D$4,"",IFERROR(IF(INDEX(tblRegistros[Status],$L290)="EM ABERTO","",INDEX(tblRegistros[Fim],$L290)),"")))</f>
        <v/>
      </c>
      <c r="F290" s="14" t="str">
        <f>IF($L290="","",IF(INDEX(tblRegistros[Data],$L290)&gt;$D$4,"",IFERROR(IF(INDEX(tblRegistros[Status],$L290)="EM ABERTO","",INDEX(tblRegistros[Horas],$L290)),"")))</f>
        <v/>
      </c>
      <c r="G290" t="str">
        <f>IF($L290="","",IF(INDEX(tblRegistros[Data],$L290)&gt;$D$4,"",IFERROR(INDEX(tblRegistros[Base],$L290),"")))</f>
        <v/>
      </c>
      <c r="H290" s="3" t="str">
        <f>IF($L290="","",IF(INDEX(tblRegistros[Data],$L290)&gt;$D$4,"",IFERROR(INDEX(tblRegistros[Taxa aplicada],$L290),"")))</f>
        <v/>
      </c>
      <c r="I290" s="3" t="str">
        <f>IF($L290="","",IF(INDEX(tblRegistros[Data],$L290)&gt;$D$4,"",IFERROR(IF(INDEX(tblRegistros[Status],$L290)="EM ABERTO","",INDEX(tblRegistros[Valor],$L290)),"")))</f>
        <v/>
      </c>
      <c r="J290" t="str">
        <f>IF($L290="","",IF(INDEX(tblRegistros[Data],$L290)&gt;$D$4,"",IFERROR(INDEX(tblRegistros[Status],$L290),"")))</f>
        <v/>
      </c>
      <c r="K290" t="str">
        <f>IF($L290="","",IF(INDEX(tblRegistros[Data],$L290)&gt;$D$4,"",IFERROR(INDEX(tblRegistros[Observação],$L290),"")))</f>
        <v/>
      </c>
      <c r="L290" s="16" t="str">
        <f>IFERROR(MATCH($B$3*100000+COUNTIFS(tblRegistros[ID],$B$3,tblRegistros[Data],"&lt;"&amp;$B$4)+ROWS($L$10:L290),tblRegistros[Chave do cartão],0),"")</f>
        <v/>
      </c>
    </row>
    <row r="291" spans="1:12">
      <c r="A291" s="2" t="str">
        <f>IF($L291="","",IF(INDEX(tblRegistros[Data],$L291)&gt;$D$4,"",IFERROR(INDEX(tblRegistros[Data],$L291),"")))</f>
        <v/>
      </c>
      <c r="B291" t="str">
        <f>IF($L291="","",IF(INDEX(tblRegistros[Data],$L291)&gt;$D$4,"",IFERROR(INDEX(tblRegistros[Projeto],$L291),"")))</f>
        <v/>
      </c>
      <c r="C291" t="str">
        <f>IF($L291="","",IF(INDEX(tblRegistros[Data],$L291)&gt;$D$4,"",IFERROR(INDEX(tblRegistros[Atividade],$L291),"")))</f>
        <v/>
      </c>
      <c r="D291" s="4" t="str">
        <f>IF($L291="","",IF(INDEX(tblRegistros[Data],$L291)&gt;$D$4,"",IFERROR(INDEX(tblRegistros[Início],$L291),"")))</f>
        <v/>
      </c>
      <c r="E291" s="4" t="str">
        <f>IF($L291="","",IF(INDEX(tblRegistros[Data],$L291)&gt;$D$4,"",IFERROR(IF(INDEX(tblRegistros[Status],$L291)="EM ABERTO","",INDEX(tblRegistros[Fim],$L291)),"")))</f>
        <v/>
      </c>
      <c r="F291" s="14" t="str">
        <f>IF($L291="","",IF(INDEX(tblRegistros[Data],$L291)&gt;$D$4,"",IFERROR(IF(INDEX(tblRegistros[Status],$L291)="EM ABERTO","",INDEX(tblRegistros[Horas],$L291)),"")))</f>
        <v/>
      </c>
      <c r="G291" t="str">
        <f>IF($L291="","",IF(INDEX(tblRegistros[Data],$L291)&gt;$D$4,"",IFERROR(INDEX(tblRegistros[Base],$L291),"")))</f>
        <v/>
      </c>
      <c r="H291" s="3" t="str">
        <f>IF($L291="","",IF(INDEX(tblRegistros[Data],$L291)&gt;$D$4,"",IFERROR(INDEX(tblRegistros[Taxa aplicada],$L291),"")))</f>
        <v/>
      </c>
      <c r="I291" s="3" t="str">
        <f>IF($L291="","",IF(INDEX(tblRegistros[Data],$L291)&gt;$D$4,"",IFERROR(IF(INDEX(tblRegistros[Status],$L291)="EM ABERTO","",INDEX(tblRegistros[Valor],$L291)),"")))</f>
        <v/>
      </c>
      <c r="J291" t="str">
        <f>IF($L291="","",IF(INDEX(tblRegistros[Data],$L291)&gt;$D$4,"",IFERROR(INDEX(tblRegistros[Status],$L291),"")))</f>
        <v/>
      </c>
      <c r="K291" t="str">
        <f>IF($L291="","",IF(INDEX(tblRegistros[Data],$L291)&gt;$D$4,"",IFERROR(INDEX(tblRegistros[Observação],$L291),"")))</f>
        <v/>
      </c>
      <c r="L291" s="16" t="str">
        <f>IFERROR(MATCH($B$3*100000+COUNTIFS(tblRegistros[ID],$B$3,tblRegistros[Data],"&lt;"&amp;$B$4)+ROWS($L$10:L291),tblRegistros[Chave do cartão],0),"")</f>
        <v/>
      </c>
    </row>
    <row r="292" spans="1:12">
      <c r="A292" s="2" t="str">
        <f>IF($L292="","",IF(INDEX(tblRegistros[Data],$L292)&gt;$D$4,"",IFERROR(INDEX(tblRegistros[Data],$L292),"")))</f>
        <v/>
      </c>
      <c r="B292" t="str">
        <f>IF($L292="","",IF(INDEX(tblRegistros[Data],$L292)&gt;$D$4,"",IFERROR(INDEX(tblRegistros[Projeto],$L292),"")))</f>
        <v/>
      </c>
      <c r="C292" t="str">
        <f>IF($L292="","",IF(INDEX(tblRegistros[Data],$L292)&gt;$D$4,"",IFERROR(INDEX(tblRegistros[Atividade],$L292),"")))</f>
        <v/>
      </c>
      <c r="D292" s="4" t="str">
        <f>IF($L292="","",IF(INDEX(tblRegistros[Data],$L292)&gt;$D$4,"",IFERROR(INDEX(tblRegistros[Início],$L292),"")))</f>
        <v/>
      </c>
      <c r="E292" s="4" t="str">
        <f>IF($L292="","",IF(INDEX(tblRegistros[Data],$L292)&gt;$D$4,"",IFERROR(IF(INDEX(tblRegistros[Status],$L292)="EM ABERTO","",INDEX(tblRegistros[Fim],$L292)),"")))</f>
        <v/>
      </c>
      <c r="F292" s="14" t="str">
        <f>IF($L292="","",IF(INDEX(tblRegistros[Data],$L292)&gt;$D$4,"",IFERROR(IF(INDEX(tblRegistros[Status],$L292)="EM ABERTO","",INDEX(tblRegistros[Horas],$L292)),"")))</f>
        <v/>
      </c>
      <c r="G292" t="str">
        <f>IF($L292="","",IF(INDEX(tblRegistros[Data],$L292)&gt;$D$4,"",IFERROR(INDEX(tblRegistros[Base],$L292),"")))</f>
        <v/>
      </c>
      <c r="H292" s="3" t="str">
        <f>IF($L292="","",IF(INDEX(tblRegistros[Data],$L292)&gt;$D$4,"",IFERROR(INDEX(tblRegistros[Taxa aplicada],$L292),"")))</f>
        <v/>
      </c>
      <c r="I292" s="3" t="str">
        <f>IF($L292="","",IF(INDEX(tblRegistros[Data],$L292)&gt;$D$4,"",IFERROR(IF(INDEX(tblRegistros[Status],$L292)="EM ABERTO","",INDEX(tblRegistros[Valor],$L292)),"")))</f>
        <v/>
      </c>
      <c r="J292" t="str">
        <f>IF($L292="","",IF(INDEX(tblRegistros[Data],$L292)&gt;$D$4,"",IFERROR(INDEX(tblRegistros[Status],$L292),"")))</f>
        <v/>
      </c>
      <c r="K292" t="str">
        <f>IF($L292="","",IF(INDEX(tblRegistros[Data],$L292)&gt;$D$4,"",IFERROR(INDEX(tblRegistros[Observação],$L292),"")))</f>
        <v/>
      </c>
      <c r="L292" s="16" t="str">
        <f>IFERROR(MATCH($B$3*100000+COUNTIFS(tblRegistros[ID],$B$3,tblRegistros[Data],"&lt;"&amp;$B$4)+ROWS($L$10:L292),tblRegistros[Chave do cartão],0),"")</f>
        <v/>
      </c>
    </row>
    <row r="293" spans="1:12">
      <c r="A293" s="2" t="str">
        <f>IF($L293="","",IF(INDEX(tblRegistros[Data],$L293)&gt;$D$4,"",IFERROR(INDEX(tblRegistros[Data],$L293),"")))</f>
        <v/>
      </c>
      <c r="B293" t="str">
        <f>IF($L293="","",IF(INDEX(tblRegistros[Data],$L293)&gt;$D$4,"",IFERROR(INDEX(tblRegistros[Projeto],$L293),"")))</f>
        <v/>
      </c>
      <c r="C293" t="str">
        <f>IF($L293="","",IF(INDEX(tblRegistros[Data],$L293)&gt;$D$4,"",IFERROR(INDEX(tblRegistros[Atividade],$L293),"")))</f>
        <v/>
      </c>
      <c r="D293" s="4" t="str">
        <f>IF($L293="","",IF(INDEX(tblRegistros[Data],$L293)&gt;$D$4,"",IFERROR(INDEX(tblRegistros[Início],$L293),"")))</f>
        <v/>
      </c>
      <c r="E293" s="4" t="str">
        <f>IF($L293="","",IF(INDEX(tblRegistros[Data],$L293)&gt;$D$4,"",IFERROR(IF(INDEX(tblRegistros[Status],$L293)="EM ABERTO","",INDEX(tblRegistros[Fim],$L293)),"")))</f>
        <v/>
      </c>
      <c r="F293" s="14" t="str">
        <f>IF($L293="","",IF(INDEX(tblRegistros[Data],$L293)&gt;$D$4,"",IFERROR(IF(INDEX(tblRegistros[Status],$L293)="EM ABERTO","",INDEX(tblRegistros[Horas],$L293)),"")))</f>
        <v/>
      </c>
      <c r="G293" t="str">
        <f>IF($L293="","",IF(INDEX(tblRegistros[Data],$L293)&gt;$D$4,"",IFERROR(INDEX(tblRegistros[Base],$L293),"")))</f>
        <v/>
      </c>
      <c r="H293" s="3" t="str">
        <f>IF($L293="","",IF(INDEX(tblRegistros[Data],$L293)&gt;$D$4,"",IFERROR(INDEX(tblRegistros[Taxa aplicada],$L293),"")))</f>
        <v/>
      </c>
      <c r="I293" s="3" t="str">
        <f>IF($L293="","",IF(INDEX(tblRegistros[Data],$L293)&gt;$D$4,"",IFERROR(IF(INDEX(tblRegistros[Status],$L293)="EM ABERTO","",INDEX(tblRegistros[Valor],$L293)),"")))</f>
        <v/>
      </c>
      <c r="J293" t="str">
        <f>IF($L293="","",IF(INDEX(tblRegistros[Data],$L293)&gt;$D$4,"",IFERROR(INDEX(tblRegistros[Status],$L293),"")))</f>
        <v/>
      </c>
      <c r="K293" t="str">
        <f>IF($L293="","",IF(INDEX(tblRegistros[Data],$L293)&gt;$D$4,"",IFERROR(INDEX(tblRegistros[Observação],$L293),"")))</f>
        <v/>
      </c>
      <c r="L293" s="16" t="str">
        <f>IFERROR(MATCH($B$3*100000+COUNTIFS(tblRegistros[ID],$B$3,tblRegistros[Data],"&lt;"&amp;$B$4)+ROWS($L$10:L293),tblRegistros[Chave do cartão],0),"")</f>
        <v/>
      </c>
    </row>
    <row r="294" spans="1:12">
      <c r="A294" s="2" t="str">
        <f>IF($L294="","",IF(INDEX(tblRegistros[Data],$L294)&gt;$D$4,"",IFERROR(INDEX(tblRegistros[Data],$L294),"")))</f>
        <v/>
      </c>
      <c r="B294" t="str">
        <f>IF($L294="","",IF(INDEX(tblRegistros[Data],$L294)&gt;$D$4,"",IFERROR(INDEX(tblRegistros[Projeto],$L294),"")))</f>
        <v/>
      </c>
      <c r="C294" t="str">
        <f>IF($L294="","",IF(INDEX(tblRegistros[Data],$L294)&gt;$D$4,"",IFERROR(INDEX(tblRegistros[Atividade],$L294),"")))</f>
        <v/>
      </c>
      <c r="D294" s="4" t="str">
        <f>IF($L294="","",IF(INDEX(tblRegistros[Data],$L294)&gt;$D$4,"",IFERROR(INDEX(tblRegistros[Início],$L294),"")))</f>
        <v/>
      </c>
      <c r="E294" s="4" t="str">
        <f>IF($L294="","",IF(INDEX(tblRegistros[Data],$L294)&gt;$D$4,"",IFERROR(IF(INDEX(tblRegistros[Status],$L294)="EM ABERTO","",INDEX(tblRegistros[Fim],$L294)),"")))</f>
        <v/>
      </c>
      <c r="F294" s="14" t="str">
        <f>IF($L294="","",IF(INDEX(tblRegistros[Data],$L294)&gt;$D$4,"",IFERROR(IF(INDEX(tblRegistros[Status],$L294)="EM ABERTO","",INDEX(tblRegistros[Horas],$L294)),"")))</f>
        <v/>
      </c>
      <c r="G294" t="str">
        <f>IF($L294="","",IF(INDEX(tblRegistros[Data],$L294)&gt;$D$4,"",IFERROR(INDEX(tblRegistros[Base],$L294),"")))</f>
        <v/>
      </c>
      <c r="H294" s="3" t="str">
        <f>IF($L294="","",IF(INDEX(tblRegistros[Data],$L294)&gt;$D$4,"",IFERROR(INDEX(tblRegistros[Taxa aplicada],$L294),"")))</f>
        <v/>
      </c>
      <c r="I294" s="3" t="str">
        <f>IF($L294="","",IF(INDEX(tblRegistros[Data],$L294)&gt;$D$4,"",IFERROR(IF(INDEX(tblRegistros[Status],$L294)="EM ABERTO","",INDEX(tblRegistros[Valor],$L294)),"")))</f>
        <v/>
      </c>
      <c r="J294" t="str">
        <f>IF($L294="","",IF(INDEX(tblRegistros[Data],$L294)&gt;$D$4,"",IFERROR(INDEX(tblRegistros[Status],$L294),"")))</f>
        <v/>
      </c>
      <c r="K294" t="str">
        <f>IF($L294="","",IF(INDEX(tblRegistros[Data],$L294)&gt;$D$4,"",IFERROR(INDEX(tblRegistros[Observação],$L294),"")))</f>
        <v/>
      </c>
      <c r="L294" s="16" t="str">
        <f>IFERROR(MATCH($B$3*100000+COUNTIFS(tblRegistros[ID],$B$3,tblRegistros[Data],"&lt;"&amp;$B$4)+ROWS($L$10:L294),tblRegistros[Chave do cartão],0),"")</f>
        <v/>
      </c>
    </row>
    <row r="295" spans="1:12">
      <c r="A295" s="2" t="str">
        <f>IF($L295="","",IF(INDEX(tblRegistros[Data],$L295)&gt;$D$4,"",IFERROR(INDEX(tblRegistros[Data],$L295),"")))</f>
        <v/>
      </c>
      <c r="B295" t="str">
        <f>IF($L295="","",IF(INDEX(tblRegistros[Data],$L295)&gt;$D$4,"",IFERROR(INDEX(tblRegistros[Projeto],$L295),"")))</f>
        <v/>
      </c>
      <c r="C295" t="str">
        <f>IF($L295="","",IF(INDEX(tblRegistros[Data],$L295)&gt;$D$4,"",IFERROR(INDEX(tblRegistros[Atividade],$L295),"")))</f>
        <v/>
      </c>
      <c r="D295" s="4" t="str">
        <f>IF($L295="","",IF(INDEX(tblRegistros[Data],$L295)&gt;$D$4,"",IFERROR(INDEX(tblRegistros[Início],$L295),"")))</f>
        <v/>
      </c>
      <c r="E295" s="4" t="str">
        <f>IF($L295="","",IF(INDEX(tblRegistros[Data],$L295)&gt;$D$4,"",IFERROR(IF(INDEX(tblRegistros[Status],$L295)="EM ABERTO","",INDEX(tblRegistros[Fim],$L295)),"")))</f>
        <v/>
      </c>
      <c r="F295" s="14" t="str">
        <f>IF($L295="","",IF(INDEX(tblRegistros[Data],$L295)&gt;$D$4,"",IFERROR(IF(INDEX(tblRegistros[Status],$L295)="EM ABERTO","",INDEX(tblRegistros[Horas],$L295)),"")))</f>
        <v/>
      </c>
      <c r="G295" t="str">
        <f>IF($L295="","",IF(INDEX(tblRegistros[Data],$L295)&gt;$D$4,"",IFERROR(INDEX(tblRegistros[Base],$L295),"")))</f>
        <v/>
      </c>
      <c r="H295" s="3" t="str">
        <f>IF($L295="","",IF(INDEX(tblRegistros[Data],$L295)&gt;$D$4,"",IFERROR(INDEX(tblRegistros[Taxa aplicada],$L295),"")))</f>
        <v/>
      </c>
      <c r="I295" s="3" t="str">
        <f>IF($L295="","",IF(INDEX(tblRegistros[Data],$L295)&gt;$D$4,"",IFERROR(IF(INDEX(tblRegistros[Status],$L295)="EM ABERTO","",INDEX(tblRegistros[Valor],$L295)),"")))</f>
        <v/>
      </c>
      <c r="J295" t="str">
        <f>IF($L295="","",IF(INDEX(tblRegistros[Data],$L295)&gt;$D$4,"",IFERROR(INDEX(tblRegistros[Status],$L295),"")))</f>
        <v/>
      </c>
      <c r="K295" t="str">
        <f>IF($L295="","",IF(INDEX(tblRegistros[Data],$L295)&gt;$D$4,"",IFERROR(INDEX(tblRegistros[Observação],$L295),"")))</f>
        <v/>
      </c>
      <c r="L295" s="16" t="str">
        <f>IFERROR(MATCH($B$3*100000+COUNTIFS(tblRegistros[ID],$B$3,tblRegistros[Data],"&lt;"&amp;$B$4)+ROWS($L$10:L295),tblRegistros[Chave do cartão],0),"")</f>
        <v/>
      </c>
    </row>
    <row r="296" spans="1:12">
      <c r="A296" s="2" t="str">
        <f>IF($L296="","",IF(INDEX(tblRegistros[Data],$L296)&gt;$D$4,"",IFERROR(INDEX(tblRegistros[Data],$L296),"")))</f>
        <v/>
      </c>
      <c r="B296" t="str">
        <f>IF($L296="","",IF(INDEX(tblRegistros[Data],$L296)&gt;$D$4,"",IFERROR(INDEX(tblRegistros[Projeto],$L296),"")))</f>
        <v/>
      </c>
      <c r="C296" t="str">
        <f>IF($L296="","",IF(INDEX(tblRegistros[Data],$L296)&gt;$D$4,"",IFERROR(INDEX(tblRegistros[Atividade],$L296),"")))</f>
        <v/>
      </c>
      <c r="D296" s="4" t="str">
        <f>IF($L296="","",IF(INDEX(tblRegistros[Data],$L296)&gt;$D$4,"",IFERROR(INDEX(tblRegistros[Início],$L296),"")))</f>
        <v/>
      </c>
      <c r="E296" s="4" t="str">
        <f>IF($L296="","",IF(INDEX(tblRegistros[Data],$L296)&gt;$D$4,"",IFERROR(IF(INDEX(tblRegistros[Status],$L296)="EM ABERTO","",INDEX(tblRegistros[Fim],$L296)),"")))</f>
        <v/>
      </c>
      <c r="F296" s="14" t="str">
        <f>IF($L296="","",IF(INDEX(tblRegistros[Data],$L296)&gt;$D$4,"",IFERROR(IF(INDEX(tblRegistros[Status],$L296)="EM ABERTO","",INDEX(tblRegistros[Horas],$L296)),"")))</f>
        <v/>
      </c>
      <c r="G296" t="str">
        <f>IF($L296="","",IF(INDEX(tblRegistros[Data],$L296)&gt;$D$4,"",IFERROR(INDEX(tblRegistros[Base],$L296),"")))</f>
        <v/>
      </c>
      <c r="H296" s="3" t="str">
        <f>IF($L296="","",IF(INDEX(tblRegistros[Data],$L296)&gt;$D$4,"",IFERROR(INDEX(tblRegistros[Taxa aplicada],$L296),"")))</f>
        <v/>
      </c>
      <c r="I296" s="3" t="str">
        <f>IF($L296="","",IF(INDEX(tblRegistros[Data],$L296)&gt;$D$4,"",IFERROR(IF(INDEX(tblRegistros[Status],$L296)="EM ABERTO","",INDEX(tblRegistros[Valor],$L296)),"")))</f>
        <v/>
      </c>
      <c r="J296" t="str">
        <f>IF($L296="","",IF(INDEX(tblRegistros[Data],$L296)&gt;$D$4,"",IFERROR(INDEX(tblRegistros[Status],$L296),"")))</f>
        <v/>
      </c>
      <c r="K296" t="str">
        <f>IF($L296="","",IF(INDEX(tblRegistros[Data],$L296)&gt;$D$4,"",IFERROR(INDEX(tblRegistros[Observação],$L296),"")))</f>
        <v/>
      </c>
      <c r="L296" s="16" t="str">
        <f>IFERROR(MATCH($B$3*100000+COUNTIFS(tblRegistros[ID],$B$3,tblRegistros[Data],"&lt;"&amp;$B$4)+ROWS($L$10:L296),tblRegistros[Chave do cartão],0),"")</f>
        <v/>
      </c>
    </row>
    <row r="297" spans="1:12">
      <c r="A297" s="2" t="str">
        <f>IF($L297="","",IF(INDEX(tblRegistros[Data],$L297)&gt;$D$4,"",IFERROR(INDEX(tblRegistros[Data],$L297),"")))</f>
        <v/>
      </c>
      <c r="B297" t="str">
        <f>IF($L297="","",IF(INDEX(tblRegistros[Data],$L297)&gt;$D$4,"",IFERROR(INDEX(tblRegistros[Projeto],$L297),"")))</f>
        <v/>
      </c>
      <c r="C297" t="str">
        <f>IF($L297="","",IF(INDEX(tblRegistros[Data],$L297)&gt;$D$4,"",IFERROR(INDEX(tblRegistros[Atividade],$L297),"")))</f>
        <v/>
      </c>
      <c r="D297" s="4" t="str">
        <f>IF($L297="","",IF(INDEX(tblRegistros[Data],$L297)&gt;$D$4,"",IFERROR(INDEX(tblRegistros[Início],$L297),"")))</f>
        <v/>
      </c>
      <c r="E297" s="4" t="str">
        <f>IF($L297="","",IF(INDEX(tblRegistros[Data],$L297)&gt;$D$4,"",IFERROR(IF(INDEX(tblRegistros[Status],$L297)="EM ABERTO","",INDEX(tblRegistros[Fim],$L297)),"")))</f>
        <v/>
      </c>
      <c r="F297" s="14" t="str">
        <f>IF($L297="","",IF(INDEX(tblRegistros[Data],$L297)&gt;$D$4,"",IFERROR(IF(INDEX(tblRegistros[Status],$L297)="EM ABERTO","",INDEX(tblRegistros[Horas],$L297)),"")))</f>
        <v/>
      </c>
      <c r="G297" t="str">
        <f>IF($L297="","",IF(INDEX(tblRegistros[Data],$L297)&gt;$D$4,"",IFERROR(INDEX(tblRegistros[Base],$L297),"")))</f>
        <v/>
      </c>
      <c r="H297" s="3" t="str">
        <f>IF($L297="","",IF(INDEX(tblRegistros[Data],$L297)&gt;$D$4,"",IFERROR(INDEX(tblRegistros[Taxa aplicada],$L297),"")))</f>
        <v/>
      </c>
      <c r="I297" s="3" t="str">
        <f>IF($L297="","",IF(INDEX(tblRegistros[Data],$L297)&gt;$D$4,"",IFERROR(IF(INDEX(tblRegistros[Status],$L297)="EM ABERTO","",INDEX(tblRegistros[Valor],$L297)),"")))</f>
        <v/>
      </c>
      <c r="J297" t="str">
        <f>IF($L297="","",IF(INDEX(tblRegistros[Data],$L297)&gt;$D$4,"",IFERROR(INDEX(tblRegistros[Status],$L297),"")))</f>
        <v/>
      </c>
      <c r="K297" t="str">
        <f>IF($L297="","",IF(INDEX(tblRegistros[Data],$L297)&gt;$D$4,"",IFERROR(INDEX(tblRegistros[Observação],$L297),"")))</f>
        <v/>
      </c>
      <c r="L297" s="16" t="str">
        <f>IFERROR(MATCH($B$3*100000+COUNTIFS(tblRegistros[ID],$B$3,tblRegistros[Data],"&lt;"&amp;$B$4)+ROWS($L$10:L297),tblRegistros[Chave do cartão],0),"")</f>
        <v/>
      </c>
    </row>
    <row r="298" spans="1:12">
      <c r="A298" s="2" t="str">
        <f>IF($L298="","",IF(INDEX(tblRegistros[Data],$L298)&gt;$D$4,"",IFERROR(INDEX(tblRegistros[Data],$L298),"")))</f>
        <v/>
      </c>
      <c r="B298" t="str">
        <f>IF($L298="","",IF(INDEX(tblRegistros[Data],$L298)&gt;$D$4,"",IFERROR(INDEX(tblRegistros[Projeto],$L298),"")))</f>
        <v/>
      </c>
      <c r="C298" t="str">
        <f>IF($L298="","",IF(INDEX(tblRegistros[Data],$L298)&gt;$D$4,"",IFERROR(INDEX(tblRegistros[Atividade],$L298),"")))</f>
        <v/>
      </c>
      <c r="D298" s="4" t="str">
        <f>IF($L298="","",IF(INDEX(tblRegistros[Data],$L298)&gt;$D$4,"",IFERROR(INDEX(tblRegistros[Início],$L298),"")))</f>
        <v/>
      </c>
      <c r="E298" s="4" t="str">
        <f>IF($L298="","",IF(INDEX(tblRegistros[Data],$L298)&gt;$D$4,"",IFERROR(IF(INDEX(tblRegistros[Status],$L298)="EM ABERTO","",INDEX(tblRegistros[Fim],$L298)),"")))</f>
        <v/>
      </c>
      <c r="F298" s="14" t="str">
        <f>IF($L298="","",IF(INDEX(tblRegistros[Data],$L298)&gt;$D$4,"",IFERROR(IF(INDEX(tblRegistros[Status],$L298)="EM ABERTO","",INDEX(tblRegistros[Horas],$L298)),"")))</f>
        <v/>
      </c>
      <c r="G298" t="str">
        <f>IF($L298="","",IF(INDEX(tblRegistros[Data],$L298)&gt;$D$4,"",IFERROR(INDEX(tblRegistros[Base],$L298),"")))</f>
        <v/>
      </c>
      <c r="H298" s="3" t="str">
        <f>IF($L298="","",IF(INDEX(tblRegistros[Data],$L298)&gt;$D$4,"",IFERROR(INDEX(tblRegistros[Taxa aplicada],$L298),"")))</f>
        <v/>
      </c>
      <c r="I298" s="3" t="str">
        <f>IF($L298="","",IF(INDEX(tblRegistros[Data],$L298)&gt;$D$4,"",IFERROR(IF(INDEX(tblRegistros[Status],$L298)="EM ABERTO","",INDEX(tblRegistros[Valor],$L298)),"")))</f>
        <v/>
      </c>
      <c r="J298" t="str">
        <f>IF($L298="","",IF(INDEX(tblRegistros[Data],$L298)&gt;$D$4,"",IFERROR(INDEX(tblRegistros[Status],$L298),"")))</f>
        <v/>
      </c>
      <c r="K298" t="str">
        <f>IF($L298="","",IF(INDEX(tblRegistros[Data],$L298)&gt;$D$4,"",IFERROR(INDEX(tblRegistros[Observação],$L298),"")))</f>
        <v/>
      </c>
      <c r="L298" s="16" t="str">
        <f>IFERROR(MATCH($B$3*100000+COUNTIFS(tblRegistros[ID],$B$3,tblRegistros[Data],"&lt;"&amp;$B$4)+ROWS($L$10:L298),tblRegistros[Chave do cartão],0),"")</f>
        <v/>
      </c>
    </row>
    <row r="299" spans="1:12">
      <c r="A299" s="2" t="str">
        <f>IF($L299="","",IF(INDEX(tblRegistros[Data],$L299)&gt;$D$4,"",IFERROR(INDEX(tblRegistros[Data],$L299),"")))</f>
        <v/>
      </c>
      <c r="B299" t="str">
        <f>IF($L299="","",IF(INDEX(tblRegistros[Data],$L299)&gt;$D$4,"",IFERROR(INDEX(tblRegistros[Projeto],$L299),"")))</f>
        <v/>
      </c>
      <c r="C299" t="str">
        <f>IF($L299="","",IF(INDEX(tblRegistros[Data],$L299)&gt;$D$4,"",IFERROR(INDEX(tblRegistros[Atividade],$L299),"")))</f>
        <v/>
      </c>
      <c r="D299" s="4" t="str">
        <f>IF($L299="","",IF(INDEX(tblRegistros[Data],$L299)&gt;$D$4,"",IFERROR(INDEX(tblRegistros[Início],$L299),"")))</f>
        <v/>
      </c>
      <c r="E299" s="4" t="str">
        <f>IF($L299="","",IF(INDEX(tblRegistros[Data],$L299)&gt;$D$4,"",IFERROR(IF(INDEX(tblRegistros[Status],$L299)="EM ABERTO","",INDEX(tblRegistros[Fim],$L299)),"")))</f>
        <v/>
      </c>
      <c r="F299" s="14" t="str">
        <f>IF($L299="","",IF(INDEX(tblRegistros[Data],$L299)&gt;$D$4,"",IFERROR(IF(INDEX(tblRegistros[Status],$L299)="EM ABERTO","",INDEX(tblRegistros[Horas],$L299)),"")))</f>
        <v/>
      </c>
      <c r="G299" t="str">
        <f>IF($L299="","",IF(INDEX(tblRegistros[Data],$L299)&gt;$D$4,"",IFERROR(INDEX(tblRegistros[Base],$L299),"")))</f>
        <v/>
      </c>
      <c r="H299" s="3" t="str">
        <f>IF($L299="","",IF(INDEX(tblRegistros[Data],$L299)&gt;$D$4,"",IFERROR(INDEX(tblRegistros[Taxa aplicada],$L299),"")))</f>
        <v/>
      </c>
      <c r="I299" s="3" t="str">
        <f>IF($L299="","",IF(INDEX(tblRegistros[Data],$L299)&gt;$D$4,"",IFERROR(IF(INDEX(tblRegistros[Status],$L299)="EM ABERTO","",INDEX(tblRegistros[Valor],$L299)),"")))</f>
        <v/>
      </c>
      <c r="J299" t="str">
        <f>IF($L299="","",IF(INDEX(tblRegistros[Data],$L299)&gt;$D$4,"",IFERROR(INDEX(tblRegistros[Status],$L299),"")))</f>
        <v/>
      </c>
      <c r="K299" t="str">
        <f>IF($L299="","",IF(INDEX(tblRegistros[Data],$L299)&gt;$D$4,"",IFERROR(INDEX(tblRegistros[Observação],$L299),"")))</f>
        <v/>
      </c>
      <c r="L299" s="16" t="str">
        <f>IFERROR(MATCH($B$3*100000+COUNTIFS(tblRegistros[ID],$B$3,tblRegistros[Data],"&lt;"&amp;$B$4)+ROWS($L$10:L299),tblRegistros[Chave do cartão],0),"")</f>
        <v/>
      </c>
    </row>
    <row r="300" spans="1:12">
      <c r="A300" s="2" t="str">
        <f>IF($L300="","",IF(INDEX(tblRegistros[Data],$L300)&gt;$D$4,"",IFERROR(INDEX(tblRegistros[Data],$L300),"")))</f>
        <v/>
      </c>
      <c r="B300" t="str">
        <f>IF($L300="","",IF(INDEX(tblRegistros[Data],$L300)&gt;$D$4,"",IFERROR(INDEX(tblRegistros[Projeto],$L300),"")))</f>
        <v/>
      </c>
      <c r="C300" t="str">
        <f>IF($L300="","",IF(INDEX(tblRegistros[Data],$L300)&gt;$D$4,"",IFERROR(INDEX(tblRegistros[Atividade],$L300),"")))</f>
        <v/>
      </c>
      <c r="D300" s="4" t="str">
        <f>IF($L300="","",IF(INDEX(tblRegistros[Data],$L300)&gt;$D$4,"",IFERROR(INDEX(tblRegistros[Início],$L300),"")))</f>
        <v/>
      </c>
      <c r="E300" s="4" t="str">
        <f>IF($L300="","",IF(INDEX(tblRegistros[Data],$L300)&gt;$D$4,"",IFERROR(IF(INDEX(tblRegistros[Status],$L300)="EM ABERTO","",INDEX(tblRegistros[Fim],$L300)),"")))</f>
        <v/>
      </c>
      <c r="F300" s="14" t="str">
        <f>IF($L300="","",IF(INDEX(tblRegistros[Data],$L300)&gt;$D$4,"",IFERROR(IF(INDEX(tblRegistros[Status],$L300)="EM ABERTO","",INDEX(tblRegistros[Horas],$L300)),"")))</f>
        <v/>
      </c>
      <c r="G300" t="str">
        <f>IF($L300="","",IF(INDEX(tblRegistros[Data],$L300)&gt;$D$4,"",IFERROR(INDEX(tblRegistros[Base],$L300),"")))</f>
        <v/>
      </c>
      <c r="H300" s="3" t="str">
        <f>IF($L300="","",IF(INDEX(tblRegistros[Data],$L300)&gt;$D$4,"",IFERROR(INDEX(tblRegistros[Taxa aplicada],$L300),"")))</f>
        <v/>
      </c>
      <c r="I300" s="3" t="str">
        <f>IF($L300="","",IF(INDEX(tblRegistros[Data],$L300)&gt;$D$4,"",IFERROR(IF(INDEX(tblRegistros[Status],$L300)="EM ABERTO","",INDEX(tblRegistros[Valor],$L300)),"")))</f>
        <v/>
      </c>
      <c r="J300" t="str">
        <f>IF($L300="","",IF(INDEX(tblRegistros[Data],$L300)&gt;$D$4,"",IFERROR(INDEX(tblRegistros[Status],$L300),"")))</f>
        <v/>
      </c>
      <c r="K300" t="str">
        <f>IF($L300="","",IF(INDEX(tblRegistros[Data],$L300)&gt;$D$4,"",IFERROR(INDEX(tblRegistros[Observação],$L300),"")))</f>
        <v/>
      </c>
      <c r="L300" s="16" t="str">
        <f>IFERROR(MATCH($B$3*100000+COUNTIFS(tblRegistros[ID],$B$3,tblRegistros[Data],"&lt;"&amp;$B$4)+ROWS($L$10:L300),tblRegistros[Chave do cartão],0),"")</f>
        <v/>
      </c>
    </row>
    <row r="301" spans="1:12">
      <c r="A301" s="2" t="str">
        <f>IF($L301="","",IF(INDEX(tblRegistros[Data],$L301)&gt;$D$4,"",IFERROR(INDEX(tblRegistros[Data],$L301),"")))</f>
        <v/>
      </c>
      <c r="B301" t="str">
        <f>IF($L301="","",IF(INDEX(tblRegistros[Data],$L301)&gt;$D$4,"",IFERROR(INDEX(tblRegistros[Projeto],$L301),"")))</f>
        <v/>
      </c>
      <c r="C301" t="str">
        <f>IF($L301="","",IF(INDEX(tblRegistros[Data],$L301)&gt;$D$4,"",IFERROR(INDEX(tblRegistros[Atividade],$L301),"")))</f>
        <v/>
      </c>
      <c r="D301" s="4" t="str">
        <f>IF($L301="","",IF(INDEX(tblRegistros[Data],$L301)&gt;$D$4,"",IFERROR(INDEX(tblRegistros[Início],$L301),"")))</f>
        <v/>
      </c>
      <c r="E301" s="4" t="str">
        <f>IF($L301="","",IF(INDEX(tblRegistros[Data],$L301)&gt;$D$4,"",IFERROR(IF(INDEX(tblRegistros[Status],$L301)="EM ABERTO","",INDEX(tblRegistros[Fim],$L301)),"")))</f>
        <v/>
      </c>
      <c r="F301" s="14" t="str">
        <f>IF($L301="","",IF(INDEX(tblRegistros[Data],$L301)&gt;$D$4,"",IFERROR(IF(INDEX(tblRegistros[Status],$L301)="EM ABERTO","",INDEX(tblRegistros[Horas],$L301)),"")))</f>
        <v/>
      </c>
      <c r="G301" t="str">
        <f>IF($L301="","",IF(INDEX(tblRegistros[Data],$L301)&gt;$D$4,"",IFERROR(INDEX(tblRegistros[Base],$L301),"")))</f>
        <v/>
      </c>
      <c r="H301" s="3" t="str">
        <f>IF($L301="","",IF(INDEX(tblRegistros[Data],$L301)&gt;$D$4,"",IFERROR(INDEX(tblRegistros[Taxa aplicada],$L301),"")))</f>
        <v/>
      </c>
      <c r="I301" s="3" t="str">
        <f>IF($L301="","",IF(INDEX(tblRegistros[Data],$L301)&gt;$D$4,"",IFERROR(IF(INDEX(tblRegistros[Status],$L301)="EM ABERTO","",INDEX(tblRegistros[Valor],$L301)),"")))</f>
        <v/>
      </c>
      <c r="J301" t="str">
        <f>IF($L301="","",IF(INDEX(tblRegistros[Data],$L301)&gt;$D$4,"",IFERROR(INDEX(tblRegistros[Status],$L301),"")))</f>
        <v/>
      </c>
      <c r="K301" t="str">
        <f>IF($L301="","",IF(INDEX(tblRegistros[Data],$L301)&gt;$D$4,"",IFERROR(INDEX(tblRegistros[Observação],$L301),"")))</f>
        <v/>
      </c>
      <c r="L301" s="16" t="str">
        <f>IFERROR(MATCH($B$3*100000+COUNTIFS(tblRegistros[ID],$B$3,tblRegistros[Data],"&lt;"&amp;$B$4)+ROWS($L$10:L301),tblRegistros[Chave do cartão],0),"")</f>
        <v/>
      </c>
    </row>
    <row r="302" spans="1:12">
      <c r="A302" s="2" t="str">
        <f>IF($L302="","",IF(INDEX(tblRegistros[Data],$L302)&gt;$D$4,"",IFERROR(INDEX(tblRegistros[Data],$L302),"")))</f>
        <v/>
      </c>
      <c r="B302" t="str">
        <f>IF($L302="","",IF(INDEX(tblRegistros[Data],$L302)&gt;$D$4,"",IFERROR(INDEX(tblRegistros[Projeto],$L302),"")))</f>
        <v/>
      </c>
      <c r="C302" t="str">
        <f>IF($L302="","",IF(INDEX(tblRegistros[Data],$L302)&gt;$D$4,"",IFERROR(INDEX(tblRegistros[Atividade],$L302),"")))</f>
        <v/>
      </c>
      <c r="D302" s="4" t="str">
        <f>IF($L302="","",IF(INDEX(tblRegistros[Data],$L302)&gt;$D$4,"",IFERROR(INDEX(tblRegistros[Início],$L302),"")))</f>
        <v/>
      </c>
      <c r="E302" s="4" t="str">
        <f>IF($L302="","",IF(INDEX(tblRegistros[Data],$L302)&gt;$D$4,"",IFERROR(IF(INDEX(tblRegistros[Status],$L302)="EM ABERTO","",INDEX(tblRegistros[Fim],$L302)),"")))</f>
        <v/>
      </c>
      <c r="F302" s="14" t="str">
        <f>IF($L302="","",IF(INDEX(tblRegistros[Data],$L302)&gt;$D$4,"",IFERROR(IF(INDEX(tblRegistros[Status],$L302)="EM ABERTO","",INDEX(tblRegistros[Horas],$L302)),"")))</f>
        <v/>
      </c>
      <c r="G302" t="str">
        <f>IF($L302="","",IF(INDEX(tblRegistros[Data],$L302)&gt;$D$4,"",IFERROR(INDEX(tblRegistros[Base],$L302),"")))</f>
        <v/>
      </c>
      <c r="H302" s="3" t="str">
        <f>IF($L302="","",IF(INDEX(tblRegistros[Data],$L302)&gt;$D$4,"",IFERROR(INDEX(tblRegistros[Taxa aplicada],$L302),"")))</f>
        <v/>
      </c>
      <c r="I302" s="3" t="str">
        <f>IF($L302="","",IF(INDEX(tblRegistros[Data],$L302)&gt;$D$4,"",IFERROR(IF(INDEX(tblRegistros[Status],$L302)="EM ABERTO","",INDEX(tblRegistros[Valor],$L302)),"")))</f>
        <v/>
      </c>
      <c r="J302" t="str">
        <f>IF($L302="","",IF(INDEX(tblRegistros[Data],$L302)&gt;$D$4,"",IFERROR(INDEX(tblRegistros[Status],$L302),"")))</f>
        <v/>
      </c>
      <c r="K302" t="str">
        <f>IF($L302="","",IF(INDEX(tblRegistros[Data],$L302)&gt;$D$4,"",IFERROR(INDEX(tblRegistros[Observação],$L302),"")))</f>
        <v/>
      </c>
      <c r="L302" s="16" t="str">
        <f>IFERROR(MATCH($B$3*100000+COUNTIFS(tblRegistros[ID],$B$3,tblRegistros[Data],"&lt;"&amp;$B$4)+ROWS($L$10:L302),tblRegistros[Chave do cartão],0),"")</f>
        <v/>
      </c>
    </row>
    <row r="303" spans="1:12">
      <c r="A303" s="2" t="str">
        <f>IF($L303="","",IF(INDEX(tblRegistros[Data],$L303)&gt;$D$4,"",IFERROR(INDEX(tblRegistros[Data],$L303),"")))</f>
        <v/>
      </c>
      <c r="B303" t="str">
        <f>IF($L303="","",IF(INDEX(tblRegistros[Data],$L303)&gt;$D$4,"",IFERROR(INDEX(tblRegistros[Projeto],$L303),"")))</f>
        <v/>
      </c>
      <c r="C303" t="str">
        <f>IF($L303="","",IF(INDEX(tblRegistros[Data],$L303)&gt;$D$4,"",IFERROR(INDEX(tblRegistros[Atividade],$L303),"")))</f>
        <v/>
      </c>
      <c r="D303" s="4" t="str">
        <f>IF($L303="","",IF(INDEX(tblRegistros[Data],$L303)&gt;$D$4,"",IFERROR(INDEX(tblRegistros[Início],$L303),"")))</f>
        <v/>
      </c>
      <c r="E303" s="4" t="str">
        <f>IF($L303="","",IF(INDEX(tblRegistros[Data],$L303)&gt;$D$4,"",IFERROR(IF(INDEX(tblRegistros[Status],$L303)="EM ABERTO","",INDEX(tblRegistros[Fim],$L303)),"")))</f>
        <v/>
      </c>
      <c r="F303" s="14" t="str">
        <f>IF($L303="","",IF(INDEX(tblRegistros[Data],$L303)&gt;$D$4,"",IFERROR(IF(INDEX(tblRegistros[Status],$L303)="EM ABERTO","",INDEX(tblRegistros[Horas],$L303)),"")))</f>
        <v/>
      </c>
      <c r="G303" t="str">
        <f>IF($L303="","",IF(INDEX(tblRegistros[Data],$L303)&gt;$D$4,"",IFERROR(INDEX(tblRegistros[Base],$L303),"")))</f>
        <v/>
      </c>
      <c r="H303" s="3" t="str">
        <f>IF($L303="","",IF(INDEX(tblRegistros[Data],$L303)&gt;$D$4,"",IFERROR(INDEX(tblRegistros[Taxa aplicada],$L303),"")))</f>
        <v/>
      </c>
      <c r="I303" s="3" t="str">
        <f>IF($L303="","",IF(INDEX(tblRegistros[Data],$L303)&gt;$D$4,"",IFERROR(IF(INDEX(tblRegistros[Status],$L303)="EM ABERTO","",INDEX(tblRegistros[Valor],$L303)),"")))</f>
        <v/>
      </c>
      <c r="J303" t="str">
        <f>IF($L303="","",IF(INDEX(tblRegistros[Data],$L303)&gt;$D$4,"",IFERROR(INDEX(tblRegistros[Status],$L303),"")))</f>
        <v/>
      </c>
      <c r="K303" t="str">
        <f>IF($L303="","",IF(INDEX(tblRegistros[Data],$L303)&gt;$D$4,"",IFERROR(INDEX(tblRegistros[Observação],$L303),"")))</f>
        <v/>
      </c>
      <c r="L303" s="16" t="str">
        <f>IFERROR(MATCH($B$3*100000+COUNTIFS(tblRegistros[ID],$B$3,tblRegistros[Data],"&lt;"&amp;$B$4)+ROWS($L$10:L303),tblRegistros[Chave do cartão],0),"")</f>
        <v/>
      </c>
    </row>
    <row r="304" spans="1:12">
      <c r="A304" s="2" t="str">
        <f>IF($L304="","",IF(INDEX(tblRegistros[Data],$L304)&gt;$D$4,"",IFERROR(INDEX(tblRegistros[Data],$L304),"")))</f>
        <v/>
      </c>
      <c r="B304" t="str">
        <f>IF($L304="","",IF(INDEX(tblRegistros[Data],$L304)&gt;$D$4,"",IFERROR(INDEX(tblRegistros[Projeto],$L304),"")))</f>
        <v/>
      </c>
      <c r="C304" t="str">
        <f>IF($L304="","",IF(INDEX(tblRegistros[Data],$L304)&gt;$D$4,"",IFERROR(INDEX(tblRegistros[Atividade],$L304),"")))</f>
        <v/>
      </c>
      <c r="D304" s="4" t="str">
        <f>IF($L304="","",IF(INDEX(tblRegistros[Data],$L304)&gt;$D$4,"",IFERROR(INDEX(tblRegistros[Início],$L304),"")))</f>
        <v/>
      </c>
      <c r="E304" s="4" t="str">
        <f>IF($L304="","",IF(INDEX(tblRegistros[Data],$L304)&gt;$D$4,"",IFERROR(IF(INDEX(tblRegistros[Status],$L304)="EM ABERTO","",INDEX(tblRegistros[Fim],$L304)),"")))</f>
        <v/>
      </c>
      <c r="F304" s="14" t="str">
        <f>IF($L304="","",IF(INDEX(tblRegistros[Data],$L304)&gt;$D$4,"",IFERROR(IF(INDEX(tblRegistros[Status],$L304)="EM ABERTO","",INDEX(tblRegistros[Horas],$L304)),"")))</f>
        <v/>
      </c>
      <c r="G304" t="str">
        <f>IF($L304="","",IF(INDEX(tblRegistros[Data],$L304)&gt;$D$4,"",IFERROR(INDEX(tblRegistros[Base],$L304),"")))</f>
        <v/>
      </c>
      <c r="H304" s="3" t="str">
        <f>IF($L304="","",IF(INDEX(tblRegistros[Data],$L304)&gt;$D$4,"",IFERROR(INDEX(tblRegistros[Taxa aplicada],$L304),"")))</f>
        <v/>
      </c>
      <c r="I304" s="3" t="str">
        <f>IF($L304="","",IF(INDEX(tblRegistros[Data],$L304)&gt;$D$4,"",IFERROR(IF(INDEX(tblRegistros[Status],$L304)="EM ABERTO","",INDEX(tblRegistros[Valor],$L304)),"")))</f>
        <v/>
      </c>
      <c r="J304" t="str">
        <f>IF($L304="","",IF(INDEX(tblRegistros[Data],$L304)&gt;$D$4,"",IFERROR(INDEX(tblRegistros[Status],$L304),"")))</f>
        <v/>
      </c>
      <c r="K304" t="str">
        <f>IF($L304="","",IF(INDEX(tblRegistros[Data],$L304)&gt;$D$4,"",IFERROR(INDEX(tblRegistros[Observação],$L304),"")))</f>
        <v/>
      </c>
      <c r="L304" s="16" t="str">
        <f>IFERROR(MATCH($B$3*100000+COUNTIFS(tblRegistros[ID],$B$3,tblRegistros[Data],"&lt;"&amp;$B$4)+ROWS($L$10:L304),tblRegistros[Chave do cartão],0),"")</f>
        <v/>
      </c>
    </row>
    <row r="305" spans="1:12">
      <c r="A305" s="2" t="str">
        <f>IF($L305="","",IF(INDEX(tblRegistros[Data],$L305)&gt;$D$4,"",IFERROR(INDEX(tblRegistros[Data],$L305),"")))</f>
        <v/>
      </c>
      <c r="B305" t="str">
        <f>IF($L305="","",IF(INDEX(tblRegistros[Data],$L305)&gt;$D$4,"",IFERROR(INDEX(tblRegistros[Projeto],$L305),"")))</f>
        <v/>
      </c>
      <c r="C305" t="str">
        <f>IF($L305="","",IF(INDEX(tblRegistros[Data],$L305)&gt;$D$4,"",IFERROR(INDEX(tblRegistros[Atividade],$L305),"")))</f>
        <v/>
      </c>
      <c r="D305" s="4" t="str">
        <f>IF($L305="","",IF(INDEX(tblRegistros[Data],$L305)&gt;$D$4,"",IFERROR(INDEX(tblRegistros[Início],$L305),"")))</f>
        <v/>
      </c>
      <c r="E305" s="4" t="str">
        <f>IF($L305="","",IF(INDEX(tblRegistros[Data],$L305)&gt;$D$4,"",IFERROR(IF(INDEX(tblRegistros[Status],$L305)="EM ABERTO","",INDEX(tblRegistros[Fim],$L305)),"")))</f>
        <v/>
      </c>
      <c r="F305" s="14" t="str">
        <f>IF($L305="","",IF(INDEX(tblRegistros[Data],$L305)&gt;$D$4,"",IFERROR(IF(INDEX(tblRegistros[Status],$L305)="EM ABERTO","",INDEX(tblRegistros[Horas],$L305)),"")))</f>
        <v/>
      </c>
      <c r="G305" t="str">
        <f>IF($L305="","",IF(INDEX(tblRegistros[Data],$L305)&gt;$D$4,"",IFERROR(INDEX(tblRegistros[Base],$L305),"")))</f>
        <v/>
      </c>
      <c r="H305" s="3" t="str">
        <f>IF($L305="","",IF(INDEX(tblRegistros[Data],$L305)&gt;$D$4,"",IFERROR(INDEX(tblRegistros[Taxa aplicada],$L305),"")))</f>
        <v/>
      </c>
      <c r="I305" s="3" t="str">
        <f>IF($L305="","",IF(INDEX(tblRegistros[Data],$L305)&gt;$D$4,"",IFERROR(IF(INDEX(tblRegistros[Status],$L305)="EM ABERTO","",INDEX(tblRegistros[Valor],$L305)),"")))</f>
        <v/>
      </c>
      <c r="J305" t="str">
        <f>IF($L305="","",IF(INDEX(tblRegistros[Data],$L305)&gt;$D$4,"",IFERROR(INDEX(tblRegistros[Status],$L305),"")))</f>
        <v/>
      </c>
      <c r="K305" t="str">
        <f>IF($L305="","",IF(INDEX(tblRegistros[Data],$L305)&gt;$D$4,"",IFERROR(INDEX(tblRegistros[Observação],$L305),"")))</f>
        <v/>
      </c>
      <c r="L305" s="16" t="str">
        <f>IFERROR(MATCH($B$3*100000+COUNTIFS(tblRegistros[ID],$B$3,tblRegistros[Data],"&lt;"&amp;$B$4)+ROWS($L$10:L305),tblRegistros[Chave do cartão],0),"")</f>
        <v/>
      </c>
    </row>
    <row r="306" spans="1:12">
      <c r="A306" s="2" t="str">
        <f>IF($L306="","",IF(INDEX(tblRegistros[Data],$L306)&gt;$D$4,"",IFERROR(INDEX(tblRegistros[Data],$L306),"")))</f>
        <v/>
      </c>
      <c r="B306" t="str">
        <f>IF($L306="","",IF(INDEX(tblRegistros[Data],$L306)&gt;$D$4,"",IFERROR(INDEX(tblRegistros[Projeto],$L306),"")))</f>
        <v/>
      </c>
      <c r="C306" t="str">
        <f>IF($L306="","",IF(INDEX(tblRegistros[Data],$L306)&gt;$D$4,"",IFERROR(INDEX(tblRegistros[Atividade],$L306),"")))</f>
        <v/>
      </c>
      <c r="D306" s="4" t="str">
        <f>IF($L306="","",IF(INDEX(tblRegistros[Data],$L306)&gt;$D$4,"",IFERROR(INDEX(tblRegistros[Início],$L306),"")))</f>
        <v/>
      </c>
      <c r="E306" s="4" t="str">
        <f>IF($L306="","",IF(INDEX(tblRegistros[Data],$L306)&gt;$D$4,"",IFERROR(IF(INDEX(tblRegistros[Status],$L306)="EM ABERTO","",INDEX(tblRegistros[Fim],$L306)),"")))</f>
        <v/>
      </c>
      <c r="F306" s="14" t="str">
        <f>IF($L306="","",IF(INDEX(tblRegistros[Data],$L306)&gt;$D$4,"",IFERROR(IF(INDEX(tblRegistros[Status],$L306)="EM ABERTO","",INDEX(tblRegistros[Horas],$L306)),"")))</f>
        <v/>
      </c>
      <c r="G306" t="str">
        <f>IF($L306="","",IF(INDEX(tblRegistros[Data],$L306)&gt;$D$4,"",IFERROR(INDEX(tblRegistros[Base],$L306),"")))</f>
        <v/>
      </c>
      <c r="H306" s="3" t="str">
        <f>IF($L306="","",IF(INDEX(tblRegistros[Data],$L306)&gt;$D$4,"",IFERROR(INDEX(tblRegistros[Taxa aplicada],$L306),"")))</f>
        <v/>
      </c>
      <c r="I306" s="3" t="str">
        <f>IF($L306="","",IF(INDEX(tblRegistros[Data],$L306)&gt;$D$4,"",IFERROR(IF(INDEX(tblRegistros[Status],$L306)="EM ABERTO","",INDEX(tblRegistros[Valor],$L306)),"")))</f>
        <v/>
      </c>
      <c r="J306" t="str">
        <f>IF($L306="","",IF(INDEX(tblRegistros[Data],$L306)&gt;$D$4,"",IFERROR(INDEX(tblRegistros[Status],$L306),"")))</f>
        <v/>
      </c>
      <c r="K306" t="str">
        <f>IF($L306="","",IF(INDEX(tblRegistros[Data],$L306)&gt;$D$4,"",IFERROR(INDEX(tblRegistros[Observação],$L306),"")))</f>
        <v/>
      </c>
      <c r="L306" s="16" t="str">
        <f>IFERROR(MATCH($B$3*100000+COUNTIFS(tblRegistros[ID],$B$3,tblRegistros[Data],"&lt;"&amp;$B$4)+ROWS($L$10:L306),tblRegistros[Chave do cartão],0),"")</f>
        <v/>
      </c>
    </row>
    <row r="307" spans="1:12">
      <c r="A307" s="2" t="str">
        <f>IF($L307="","",IF(INDEX(tblRegistros[Data],$L307)&gt;$D$4,"",IFERROR(INDEX(tblRegistros[Data],$L307),"")))</f>
        <v/>
      </c>
      <c r="B307" t="str">
        <f>IF($L307="","",IF(INDEX(tblRegistros[Data],$L307)&gt;$D$4,"",IFERROR(INDEX(tblRegistros[Projeto],$L307),"")))</f>
        <v/>
      </c>
      <c r="C307" t="str">
        <f>IF($L307="","",IF(INDEX(tblRegistros[Data],$L307)&gt;$D$4,"",IFERROR(INDEX(tblRegistros[Atividade],$L307),"")))</f>
        <v/>
      </c>
      <c r="D307" s="4" t="str">
        <f>IF($L307="","",IF(INDEX(tblRegistros[Data],$L307)&gt;$D$4,"",IFERROR(INDEX(tblRegistros[Início],$L307),"")))</f>
        <v/>
      </c>
      <c r="E307" s="4" t="str">
        <f>IF($L307="","",IF(INDEX(tblRegistros[Data],$L307)&gt;$D$4,"",IFERROR(IF(INDEX(tblRegistros[Status],$L307)="EM ABERTO","",INDEX(tblRegistros[Fim],$L307)),"")))</f>
        <v/>
      </c>
      <c r="F307" s="14" t="str">
        <f>IF($L307="","",IF(INDEX(tblRegistros[Data],$L307)&gt;$D$4,"",IFERROR(IF(INDEX(tblRegistros[Status],$L307)="EM ABERTO","",INDEX(tblRegistros[Horas],$L307)),"")))</f>
        <v/>
      </c>
      <c r="G307" t="str">
        <f>IF($L307="","",IF(INDEX(tblRegistros[Data],$L307)&gt;$D$4,"",IFERROR(INDEX(tblRegistros[Base],$L307),"")))</f>
        <v/>
      </c>
      <c r="H307" s="3" t="str">
        <f>IF($L307="","",IF(INDEX(tblRegistros[Data],$L307)&gt;$D$4,"",IFERROR(INDEX(tblRegistros[Taxa aplicada],$L307),"")))</f>
        <v/>
      </c>
      <c r="I307" s="3" t="str">
        <f>IF($L307="","",IF(INDEX(tblRegistros[Data],$L307)&gt;$D$4,"",IFERROR(IF(INDEX(tblRegistros[Status],$L307)="EM ABERTO","",INDEX(tblRegistros[Valor],$L307)),"")))</f>
        <v/>
      </c>
      <c r="J307" t="str">
        <f>IF($L307="","",IF(INDEX(tblRegistros[Data],$L307)&gt;$D$4,"",IFERROR(INDEX(tblRegistros[Status],$L307),"")))</f>
        <v/>
      </c>
      <c r="K307" t="str">
        <f>IF($L307="","",IF(INDEX(tblRegistros[Data],$L307)&gt;$D$4,"",IFERROR(INDEX(tblRegistros[Observação],$L307),"")))</f>
        <v/>
      </c>
      <c r="L307" s="16" t="str">
        <f>IFERROR(MATCH($B$3*100000+COUNTIFS(tblRegistros[ID],$B$3,tblRegistros[Data],"&lt;"&amp;$B$4)+ROWS($L$10:L307),tblRegistros[Chave do cartão],0),"")</f>
        <v/>
      </c>
    </row>
    <row r="308" spans="1:12">
      <c r="A308" s="2" t="str">
        <f>IF($L308="","",IF(INDEX(tblRegistros[Data],$L308)&gt;$D$4,"",IFERROR(INDEX(tblRegistros[Data],$L308),"")))</f>
        <v/>
      </c>
      <c r="B308" t="str">
        <f>IF($L308="","",IF(INDEX(tblRegistros[Data],$L308)&gt;$D$4,"",IFERROR(INDEX(tblRegistros[Projeto],$L308),"")))</f>
        <v/>
      </c>
      <c r="C308" t="str">
        <f>IF($L308="","",IF(INDEX(tblRegistros[Data],$L308)&gt;$D$4,"",IFERROR(INDEX(tblRegistros[Atividade],$L308),"")))</f>
        <v/>
      </c>
      <c r="D308" s="4" t="str">
        <f>IF($L308="","",IF(INDEX(tblRegistros[Data],$L308)&gt;$D$4,"",IFERROR(INDEX(tblRegistros[Início],$L308),"")))</f>
        <v/>
      </c>
      <c r="E308" s="4" t="str">
        <f>IF($L308="","",IF(INDEX(tblRegistros[Data],$L308)&gt;$D$4,"",IFERROR(IF(INDEX(tblRegistros[Status],$L308)="EM ABERTO","",INDEX(tblRegistros[Fim],$L308)),"")))</f>
        <v/>
      </c>
      <c r="F308" s="14" t="str">
        <f>IF($L308="","",IF(INDEX(tblRegistros[Data],$L308)&gt;$D$4,"",IFERROR(IF(INDEX(tblRegistros[Status],$L308)="EM ABERTO","",INDEX(tblRegistros[Horas],$L308)),"")))</f>
        <v/>
      </c>
      <c r="G308" t="str">
        <f>IF($L308="","",IF(INDEX(tblRegistros[Data],$L308)&gt;$D$4,"",IFERROR(INDEX(tblRegistros[Base],$L308),"")))</f>
        <v/>
      </c>
      <c r="H308" s="3" t="str">
        <f>IF($L308="","",IF(INDEX(tblRegistros[Data],$L308)&gt;$D$4,"",IFERROR(INDEX(tblRegistros[Taxa aplicada],$L308),"")))</f>
        <v/>
      </c>
      <c r="I308" s="3" t="str">
        <f>IF($L308="","",IF(INDEX(tblRegistros[Data],$L308)&gt;$D$4,"",IFERROR(IF(INDEX(tblRegistros[Status],$L308)="EM ABERTO","",INDEX(tblRegistros[Valor],$L308)),"")))</f>
        <v/>
      </c>
      <c r="J308" t="str">
        <f>IF($L308="","",IF(INDEX(tblRegistros[Data],$L308)&gt;$D$4,"",IFERROR(INDEX(tblRegistros[Status],$L308),"")))</f>
        <v/>
      </c>
      <c r="K308" t="str">
        <f>IF($L308="","",IF(INDEX(tblRegistros[Data],$L308)&gt;$D$4,"",IFERROR(INDEX(tblRegistros[Observação],$L308),"")))</f>
        <v/>
      </c>
      <c r="L308" s="16" t="str">
        <f>IFERROR(MATCH($B$3*100000+COUNTIFS(tblRegistros[ID],$B$3,tblRegistros[Data],"&lt;"&amp;$B$4)+ROWS($L$10:L308),tblRegistros[Chave do cartão],0),"")</f>
        <v/>
      </c>
    </row>
    <row r="309" spans="1:12">
      <c r="A309" s="2" t="str">
        <f>IF($L309="","",IF(INDEX(tblRegistros[Data],$L309)&gt;$D$4,"",IFERROR(INDEX(tblRegistros[Data],$L309),"")))</f>
        <v/>
      </c>
      <c r="B309" t="str">
        <f>IF($L309="","",IF(INDEX(tblRegistros[Data],$L309)&gt;$D$4,"",IFERROR(INDEX(tblRegistros[Projeto],$L309),"")))</f>
        <v/>
      </c>
      <c r="C309" t="str">
        <f>IF($L309="","",IF(INDEX(tblRegistros[Data],$L309)&gt;$D$4,"",IFERROR(INDEX(tblRegistros[Atividade],$L309),"")))</f>
        <v/>
      </c>
      <c r="D309" s="4" t="str">
        <f>IF($L309="","",IF(INDEX(tblRegistros[Data],$L309)&gt;$D$4,"",IFERROR(INDEX(tblRegistros[Início],$L309),"")))</f>
        <v/>
      </c>
      <c r="E309" s="4" t="str">
        <f>IF($L309="","",IF(INDEX(tblRegistros[Data],$L309)&gt;$D$4,"",IFERROR(IF(INDEX(tblRegistros[Status],$L309)="EM ABERTO","",INDEX(tblRegistros[Fim],$L309)),"")))</f>
        <v/>
      </c>
      <c r="F309" s="14" t="str">
        <f>IF($L309="","",IF(INDEX(tblRegistros[Data],$L309)&gt;$D$4,"",IFERROR(IF(INDEX(tblRegistros[Status],$L309)="EM ABERTO","",INDEX(tblRegistros[Horas],$L309)),"")))</f>
        <v/>
      </c>
      <c r="G309" t="str">
        <f>IF($L309="","",IF(INDEX(tblRegistros[Data],$L309)&gt;$D$4,"",IFERROR(INDEX(tblRegistros[Base],$L309),"")))</f>
        <v/>
      </c>
      <c r="H309" s="3" t="str">
        <f>IF($L309="","",IF(INDEX(tblRegistros[Data],$L309)&gt;$D$4,"",IFERROR(INDEX(tblRegistros[Taxa aplicada],$L309),"")))</f>
        <v/>
      </c>
      <c r="I309" s="3" t="str">
        <f>IF($L309="","",IF(INDEX(tblRegistros[Data],$L309)&gt;$D$4,"",IFERROR(IF(INDEX(tblRegistros[Status],$L309)="EM ABERTO","",INDEX(tblRegistros[Valor],$L309)),"")))</f>
        <v/>
      </c>
      <c r="J309" t="str">
        <f>IF($L309="","",IF(INDEX(tblRegistros[Data],$L309)&gt;$D$4,"",IFERROR(INDEX(tblRegistros[Status],$L309),"")))</f>
        <v/>
      </c>
      <c r="K309" t="str">
        <f>IF($L309="","",IF(INDEX(tblRegistros[Data],$L309)&gt;$D$4,"",IFERROR(INDEX(tblRegistros[Observação],$L309),"")))</f>
        <v/>
      </c>
      <c r="L309" s="16" t="str">
        <f>IFERROR(MATCH($B$3*100000+COUNTIFS(tblRegistros[ID],$B$3,tblRegistros[Data],"&lt;"&amp;$B$4)+ROWS($L$10:L309),tblRegistros[Chave do cartão],0),"")</f>
        <v/>
      </c>
    </row>
    <row r="310" spans="1:12">
      <c r="A310" s="2" t="str">
        <f>IF($L310="","",IF(INDEX(tblRegistros[Data],$L310)&gt;$D$4,"",IFERROR(INDEX(tblRegistros[Data],$L310),"")))</f>
        <v/>
      </c>
      <c r="B310" t="str">
        <f>IF($L310="","",IF(INDEX(tblRegistros[Data],$L310)&gt;$D$4,"",IFERROR(INDEX(tblRegistros[Projeto],$L310),"")))</f>
        <v/>
      </c>
      <c r="C310" t="str">
        <f>IF($L310="","",IF(INDEX(tblRegistros[Data],$L310)&gt;$D$4,"",IFERROR(INDEX(tblRegistros[Atividade],$L310),"")))</f>
        <v/>
      </c>
      <c r="D310" s="4" t="str">
        <f>IF($L310="","",IF(INDEX(tblRegistros[Data],$L310)&gt;$D$4,"",IFERROR(INDEX(tblRegistros[Início],$L310),"")))</f>
        <v/>
      </c>
      <c r="E310" s="4" t="str">
        <f>IF($L310="","",IF(INDEX(tblRegistros[Data],$L310)&gt;$D$4,"",IFERROR(IF(INDEX(tblRegistros[Status],$L310)="EM ABERTO","",INDEX(tblRegistros[Fim],$L310)),"")))</f>
        <v/>
      </c>
      <c r="F310" s="14" t="str">
        <f>IF($L310="","",IF(INDEX(tblRegistros[Data],$L310)&gt;$D$4,"",IFERROR(IF(INDEX(tblRegistros[Status],$L310)="EM ABERTO","",INDEX(tblRegistros[Horas],$L310)),"")))</f>
        <v/>
      </c>
      <c r="G310" t="str">
        <f>IF($L310="","",IF(INDEX(tblRegistros[Data],$L310)&gt;$D$4,"",IFERROR(INDEX(tblRegistros[Base],$L310),"")))</f>
        <v/>
      </c>
      <c r="H310" s="3" t="str">
        <f>IF($L310="","",IF(INDEX(tblRegistros[Data],$L310)&gt;$D$4,"",IFERROR(INDEX(tblRegistros[Taxa aplicada],$L310),"")))</f>
        <v/>
      </c>
      <c r="I310" s="3" t="str">
        <f>IF($L310="","",IF(INDEX(tblRegistros[Data],$L310)&gt;$D$4,"",IFERROR(IF(INDEX(tblRegistros[Status],$L310)="EM ABERTO","",INDEX(tblRegistros[Valor],$L310)),"")))</f>
        <v/>
      </c>
      <c r="J310" t="str">
        <f>IF($L310="","",IF(INDEX(tblRegistros[Data],$L310)&gt;$D$4,"",IFERROR(INDEX(tblRegistros[Status],$L310),"")))</f>
        <v/>
      </c>
      <c r="K310" t="str">
        <f>IF($L310="","",IF(INDEX(tblRegistros[Data],$L310)&gt;$D$4,"",IFERROR(INDEX(tblRegistros[Observação],$L310),"")))</f>
        <v/>
      </c>
      <c r="L310" s="16" t="str">
        <f>IFERROR(MATCH($B$3*100000+COUNTIFS(tblRegistros[ID],$B$3,tblRegistros[Data],"&lt;"&amp;$B$4)+ROWS($L$10:L310),tblRegistros[Chave do cartão],0),"")</f>
        <v/>
      </c>
    </row>
    <row r="311" spans="1:12">
      <c r="A311" s="2" t="str">
        <f>IF($L311="","",IF(INDEX(tblRegistros[Data],$L311)&gt;$D$4,"",IFERROR(INDEX(tblRegistros[Data],$L311),"")))</f>
        <v/>
      </c>
      <c r="B311" t="str">
        <f>IF($L311="","",IF(INDEX(tblRegistros[Data],$L311)&gt;$D$4,"",IFERROR(INDEX(tblRegistros[Projeto],$L311),"")))</f>
        <v/>
      </c>
      <c r="C311" t="str">
        <f>IF($L311="","",IF(INDEX(tblRegistros[Data],$L311)&gt;$D$4,"",IFERROR(INDEX(tblRegistros[Atividade],$L311),"")))</f>
        <v/>
      </c>
      <c r="D311" s="4" t="str">
        <f>IF($L311="","",IF(INDEX(tblRegistros[Data],$L311)&gt;$D$4,"",IFERROR(INDEX(tblRegistros[Início],$L311),"")))</f>
        <v/>
      </c>
      <c r="E311" s="4" t="str">
        <f>IF($L311="","",IF(INDEX(tblRegistros[Data],$L311)&gt;$D$4,"",IFERROR(IF(INDEX(tblRegistros[Status],$L311)="EM ABERTO","",INDEX(tblRegistros[Fim],$L311)),"")))</f>
        <v/>
      </c>
      <c r="F311" s="14" t="str">
        <f>IF($L311="","",IF(INDEX(tblRegistros[Data],$L311)&gt;$D$4,"",IFERROR(IF(INDEX(tblRegistros[Status],$L311)="EM ABERTO","",INDEX(tblRegistros[Horas],$L311)),"")))</f>
        <v/>
      </c>
      <c r="G311" t="str">
        <f>IF($L311="","",IF(INDEX(tblRegistros[Data],$L311)&gt;$D$4,"",IFERROR(INDEX(tblRegistros[Base],$L311),"")))</f>
        <v/>
      </c>
      <c r="H311" s="3" t="str">
        <f>IF($L311="","",IF(INDEX(tblRegistros[Data],$L311)&gt;$D$4,"",IFERROR(INDEX(tblRegistros[Taxa aplicada],$L311),"")))</f>
        <v/>
      </c>
      <c r="I311" s="3" t="str">
        <f>IF($L311="","",IF(INDEX(tblRegistros[Data],$L311)&gt;$D$4,"",IFERROR(IF(INDEX(tblRegistros[Status],$L311)="EM ABERTO","",INDEX(tblRegistros[Valor],$L311)),"")))</f>
        <v/>
      </c>
      <c r="J311" t="str">
        <f>IF($L311="","",IF(INDEX(tblRegistros[Data],$L311)&gt;$D$4,"",IFERROR(INDEX(tblRegistros[Status],$L311),"")))</f>
        <v/>
      </c>
      <c r="K311" t="str">
        <f>IF($L311="","",IF(INDEX(tblRegistros[Data],$L311)&gt;$D$4,"",IFERROR(INDEX(tblRegistros[Observação],$L311),"")))</f>
        <v/>
      </c>
      <c r="L311" s="16" t="str">
        <f>IFERROR(MATCH($B$3*100000+COUNTIFS(tblRegistros[ID],$B$3,tblRegistros[Data],"&lt;"&amp;$B$4)+ROWS($L$10:L311),tblRegistros[Chave do cartão],0),"")</f>
        <v/>
      </c>
    </row>
    <row r="312" spans="1:12">
      <c r="A312" s="2" t="str">
        <f>IF($L312="","",IF(INDEX(tblRegistros[Data],$L312)&gt;$D$4,"",IFERROR(INDEX(tblRegistros[Data],$L312),"")))</f>
        <v/>
      </c>
      <c r="B312" t="str">
        <f>IF($L312="","",IF(INDEX(tblRegistros[Data],$L312)&gt;$D$4,"",IFERROR(INDEX(tblRegistros[Projeto],$L312),"")))</f>
        <v/>
      </c>
      <c r="C312" t="str">
        <f>IF($L312="","",IF(INDEX(tblRegistros[Data],$L312)&gt;$D$4,"",IFERROR(INDEX(tblRegistros[Atividade],$L312),"")))</f>
        <v/>
      </c>
      <c r="D312" s="4" t="str">
        <f>IF($L312="","",IF(INDEX(tblRegistros[Data],$L312)&gt;$D$4,"",IFERROR(INDEX(tblRegistros[Início],$L312),"")))</f>
        <v/>
      </c>
      <c r="E312" s="4" t="str">
        <f>IF($L312="","",IF(INDEX(tblRegistros[Data],$L312)&gt;$D$4,"",IFERROR(IF(INDEX(tblRegistros[Status],$L312)="EM ABERTO","",INDEX(tblRegistros[Fim],$L312)),"")))</f>
        <v/>
      </c>
      <c r="F312" s="14" t="str">
        <f>IF($L312="","",IF(INDEX(tblRegistros[Data],$L312)&gt;$D$4,"",IFERROR(IF(INDEX(tblRegistros[Status],$L312)="EM ABERTO","",INDEX(tblRegistros[Horas],$L312)),"")))</f>
        <v/>
      </c>
      <c r="G312" t="str">
        <f>IF($L312="","",IF(INDEX(tblRegistros[Data],$L312)&gt;$D$4,"",IFERROR(INDEX(tblRegistros[Base],$L312),"")))</f>
        <v/>
      </c>
      <c r="H312" s="3" t="str">
        <f>IF($L312="","",IF(INDEX(tblRegistros[Data],$L312)&gt;$D$4,"",IFERROR(INDEX(tblRegistros[Taxa aplicada],$L312),"")))</f>
        <v/>
      </c>
      <c r="I312" s="3" t="str">
        <f>IF($L312="","",IF(INDEX(tblRegistros[Data],$L312)&gt;$D$4,"",IFERROR(IF(INDEX(tblRegistros[Status],$L312)="EM ABERTO","",INDEX(tblRegistros[Valor],$L312)),"")))</f>
        <v/>
      </c>
      <c r="J312" t="str">
        <f>IF($L312="","",IF(INDEX(tblRegistros[Data],$L312)&gt;$D$4,"",IFERROR(INDEX(tblRegistros[Status],$L312),"")))</f>
        <v/>
      </c>
      <c r="K312" t="str">
        <f>IF($L312="","",IF(INDEX(tblRegistros[Data],$L312)&gt;$D$4,"",IFERROR(INDEX(tblRegistros[Observação],$L312),"")))</f>
        <v/>
      </c>
      <c r="L312" s="16" t="str">
        <f>IFERROR(MATCH($B$3*100000+COUNTIFS(tblRegistros[ID],$B$3,tblRegistros[Data],"&lt;"&amp;$B$4)+ROWS($L$10:L312),tblRegistros[Chave do cartão],0),"")</f>
        <v/>
      </c>
    </row>
    <row r="313" spans="1:12">
      <c r="A313" s="2" t="str">
        <f>IF($L313="","",IF(INDEX(tblRegistros[Data],$L313)&gt;$D$4,"",IFERROR(INDEX(tblRegistros[Data],$L313),"")))</f>
        <v/>
      </c>
      <c r="B313" t="str">
        <f>IF($L313="","",IF(INDEX(tblRegistros[Data],$L313)&gt;$D$4,"",IFERROR(INDEX(tblRegistros[Projeto],$L313),"")))</f>
        <v/>
      </c>
      <c r="C313" t="str">
        <f>IF($L313="","",IF(INDEX(tblRegistros[Data],$L313)&gt;$D$4,"",IFERROR(INDEX(tblRegistros[Atividade],$L313),"")))</f>
        <v/>
      </c>
      <c r="D313" s="4" t="str">
        <f>IF($L313="","",IF(INDEX(tblRegistros[Data],$L313)&gt;$D$4,"",IFERROR(INDEX(tblRegistros[Início],$L313),"")))</f>
        <v/>
      </c>
      <c r="E313" s="4" t="str">
        <f>IF($L313="","",IF(INDEX(tblRegistros[Data],$L313)&gt;$D$4,"",IFERROR(IF(INDEX(tblRegistros[Status],$L313)="EM ABERTO","",INDEX(tblRegistros[Fim],$L313)),"")))</f>
        <v/>
      </c>
      <c r="F313" s="14" t="str">
        <f>IF($L313="","",IF(INDEX(tblRegistros[Data],$L313)&gt;$D$4,"",IFERROR(IF(INDEX(tblRegistros[Status],$L313)="EM ABERTO","",INDEX(tblRegistros[Horas],$L313)),"")))</f>
        <v/>
      </c>
      <c r="G313" t="str">
        <f>IF($L313="","",IF(INDEX(tblRegistros[Data],$L313)&gt;$D$4,"",IFERROR(INDEX(tblRegistros[Base],$L313),"")))</f>
        <v/>
      </c>
      <c r="H313" s="3" t="str">
        <f>IF($L313="","",IF(INDEX(tblRegistros[Data],$L313)&gt;$D$4,"",IFERROR(INDEX(tblRegistros[Taxa aplicada],$L313),"")))</f>
        <v/>
      </c>
      <c r="I313" s="3" t="str">
        <f>IF($L313="","",IF(INDEX(tblRegistros[Data],$L313)&gt;$D$4,"",IFERROR(IF(INDEX(tblRegistros[Status],$L313)="EM ABERTO","",INDEX(tblRegistros[Valor],$L313)),"")))</f>
        <v/>
      </c>
      <c r="J313" t="str">
        <f>IF($L313="","",IF(INDEX(tblRegistros[Data],$L313)&gt;$D$4,"",IFERROR(INDEX(tblRegistros[Status],$L313),"")))</f>
        <v/>
      </c>
      <c r="K313" t="str">
        <f>IF($L313="","",IF(INDEX(tblRegistros[Data],$L313)&gt;$D$4,"",IFERROR(INDEX(tblRegistros[Observação],$L313),"")))</f>
        <v/>
      </c>
      <c r="L313" s="16" t="str">
        <f>IFERROR(MATCH($B$3*100000+COUNTIFS(tblRegistros[ID],$B$3,tblRegistros[Data],"&lt;"&amp;$B$4)+ROWS($L$10:L313),tblRegistros[Chave do cartão],0),"")</f>
        <v/>
      </c>
    </row>
    <row r="314" spans="1:12">
      <c r="A314" s="2" t="str">
        <f>IF($L314="","",IF(INDEX(tblRegistros[Data],$L314)&gt;$D$4,"",IFERROR(INDEX(tblRegistros[Data],$L314),"")))</f>
        <v/>
      </c>
      <c r="B314" t="str">
        <f>IF($L314="","",IF(INDEX(tblRegistros[Data],$L314)&gt;$D$4,"",IFERROR(INDEX(tblRegistros[Projeto],$L314),"")))</f>
        <v/>
      </c>
      <c r="C314" t="str">
        <f>IF($L314="","",IF(INDEX(tblRegistros[Data],$L314)&gt;$D$4,"",IFERROR(INDEX(tblRegistros[Atividade],$L314),"")))</f>
        <v/>
      </c>
      <c r="D314" s="4" t="str">
        <f>IF($L314="","",IF(INDEX(tblRegistros[Data],$L314)&gt;$D$4,"",IFERROR(INDEX(tblRegistros[Início],$L314),"")))</f>
        <v/>
      </c>
      <c r="E314" s="4" t="str">
        <f>IF($L314="","",IF(INDEX(tblRegistros[Data],$L314)&gt;$D$4,"",IFERROR(IF(INDEX(tblRegistros[Status],$L314)="EM ABERTO","",INDEX(tblRegistros[Fim],$L314)),"")))</f>
        <v/>
      </c>
      <c r="F314" s="14" t="str">
        <f>IF($L314="","",IF(INDEX(tblRegistros[Data],$L314)&gt;$D$4,"",IFERROR(IF(INDEX(tblRegistros[Status],$L314)="EM ABERTO","",INDEX(tblRegistros[Horas],$L314)),"")))</f>
        <v/>
      </c>
      <c r="G314" t="str">
        <f>IF($L314="","",IF(INDEX(tblRegistros[Data],$L314)&gt;$D$4,"",IFERROR(INDEX(tblRegistros[Base],$L314),"")))</f>
        <v/>
      </c>
      <c r="H314" s="3" t="str">
        <f>IF($L314="","",IF(INDEX(tblRegistros[Data],$L314)&gt;$D$4,"",IFERROR(INDEX(tblRegistros[Taxa aplicada],$L314),"")))</f>
        <v/>
      </c>
      <c r="I314" s="3" t="str">
        <f>IF($L314="","",IF(INDEX(tblRegistros[Data],$L314)&gt;$D$4,"",IFERROR(IF(INDEX(tblRegistros[Status],$L314)="EM ABERTO","",INDEX(tblRegistros[Valor],$L314)),"")))</f>
        <v/>
      </c>
      <c r="J314" t="str">
        <f>IF($L314="","",IF(INDEX(tblRegistros[Data],$L314)&gt;$D$4,"",IFERROR(INDEX(tblRegistros[Status],$L314),"")))</f>
        <v/>
      </c>
      <c r="K314" t="str">
        <f>IF($L314="","",IF(INDEX(tblRegistros[Data],$L314)&gt;$D$4,"",IFERROR(INDEX(tblRegistros[Observação],$L314),"")))</f>
        <v/>
      </c>
      <c r="L314" s="16" t="str">
        <f>IFERROR(MATCH($B$3*100000+COUNTIFS(tblRegistros[ID],$B$3,tblRegistros[Data],"&lt;"&amp;$B$4)+ROWS($L$10:L314),tblRegistros[Chave do cartão],0),"")</f>
        <v/>
      </c>
    </row>
    <row r="315" spans="1:12">
      <c r="A315" s="2" t="str">
        <f>IF($L315="","",IF(INDEX(tblRegistros[Data],$L315)&gt;$D$4,"",IFERROR(INDEX(tblRegistros[Data],$L315),"")))</f>
        <v/>
      </c>
      <c r="B315" t="str">
        <f>IF($L315="","",IF(INDEX(tblRegistros[Data],$L315)&gt;$D$4,"",IFERROR(INDEX(tblRegistros[Projeto],$L315),"")))</f>
        <v/>
      </c>
      <c r="C315" t="str">
        <f>IF($L315="","",IF(INDEX(tblRegistros[Data],$L315)&gt;$D$4,"",IFERROR(INDEX(tblRegistros[Atividade],$L315),"")))</f>
        <v/>
      </c>
      <c r="D315" s="4" t="str">
        <f>IF($L315="","",IF(INDEX(tblRegistros[Data],$L315)&gt;$D$4,"",IFERROR(INDEX(tblRegistros[Início],$L315),"")))</f>
        <v/>
      </c>
      <c r="E315" s="4" t="str">
        <f>IF($L315="","",IF(INDEX(tblRegistros[Data],$L315)&gt;$D$4,"",IFERROR(IF(INDEX(tblRegistros[Status],$L315)="EM ABERTO","",INDEX(tblRegistros[Fim],$L315)),"")))</f>
        <v/>
      </c>
      <c r="F315" s="14" t="str">
        <f>IF($L315="","",IF(INDEX(tblRegistros[Data],$L315)&gt;$D$4,"",IFERROR(IF(INDEX(tblRegistros[Status],$L315)="EM ABERTO","",INDEX(tblRegistros[Horas],$L315)),"")))</f>
        <v/>
      </c>
      <c r="G315" t="str">
        <f>IF($L315="","",IF(INDEX(tblRegistros[Data],$L315)&gt;$D$4,"",IFERROR(INDEX(tblRegistros[Base],$L315),"")))</f>
        <v/>
      </c>
      <c r="H315" s="3" t="str">
        <f>IF($L315="","",IF(INDEX(tblRegistros[Data],$L315)&gt;$D$4,"",IFERROR(INDEX(tblRegistros[Taxa aplicada],$L315),"")))</f>
        <v/>
      </c>
      <c r="I315" s="3" t="str">
        <f>IF($L315="","",IF(INDEX(tblRegistros[Data],$L315)&gt;$D$4,"",IFERROR(IF(INDEX(tblRegistros[Status],$L315)="EM ABERTO","",INDEX(tblRegistros[Valor],$L315)),"")))</f>
        <v/>
      </c>
      <c r="J315" t="str">
        <f>IF($L315="","",IF(INDEX(tblRegistros[Data],$L315)&gt;$D$4,"",IFERROR(INDEX(tblRegistros[Status],$L315),"")))</f>
        <v/>
      </c>
      <c r="K315" t="str">
        <f>IF($L315="","",IF(INDEX(tblRegistros[Data],$L315)&gt;$D$4,"",IFERROR(INDEX(tblRegistros[Observação],$L315),"")))</f>
        <v/>
      </c>
      <c r="L315" s="16" t="str">
        <f>IFERROR(MATCH($B$3*100000+COUNTIFS(tblRegistros[ID],$B$3,tblRegistros[Data],"&lt;"&amp;$B$4)+ROWS($L$10:L315),tblRegistros[Chave do cartão],0),"")</f>
        <v/>
      </c>
    </row>
    <row r="316" spans="1:12">
      <c r="A316" s="2" t="str">
        <f>IF($L316="","",IF(INDEX(tblRegistros[Data],$L316)&gt;$D$4,"",IFERROR(INDEX(tblRegistros[Data],$L316),"")))</f>
        <v/>
      </c>
      <c r="B316" t="str">
        <f>IF($L316="","",IF(INDEX(tblRegistros[Data],$L316)&gt;$D$4,"",IFERROR(INDEX(tblRegistros[Projeto],$L316),"")))</f>
        <v/>
      </c>
      <c r="C316" t="str">
        <f>IF($L316="","",IF(INDEX(tblRegistros[Data],$L316)&gt;$D$4,"",IFERROR(INDEX(tblRegistros[Atividade],$L316),"")))</f>
        <v/>
      </c>
      <c r="D316" s="4" t="str">
        <f>IF($L316="","",IF(INDEX(tblRegistros[Data],$L316)&gt;$D$4,"",IFERROR(INDEX(tblRegistros[Início],$L316),"")))</f>
        <v/>
      </c>
      <c r="E316" s="4" t="str">
        <f>IF($L316="","",IF(INDEX(tblRegistros[Data],$L316)&gt;$D$4,"",IFERROR(IF(INDEX(tblRegistros[Status],$L316)="EM ABERTO","",INDEX(tblRegistros[Fim],$L316)),"")))</f>
        <v/>
      </c>
      <c r="F316" s="14" t="str">
        <f>IF($L316="","",IF(INDEX(tblRegistros[Data],$L316)&gt;$D$4,"",IFERROR(IF(INDEX(tblRegistros[Status],$L316)="EM ABERTO","",INDEX(tblRegistros[Horas],$L316)),"")))</f>
        <v/>
      </c>
      <c r="G316" t="str">
        <f>IF($L316="","",IF(INDEX(tblRegistros[Data],$L316)&gt;$D$4,"",IFERROR(INDEX(tblRegistros[Base],$L316),"")))</f>
        <v/>
      </c>
      <c r="H316" s="3" t="str">
        <f>IF($L316="","",IF(INDEX(tblRegistros[Data],$L316)&gt;$D$4,"",IFERROR(INDEX(tblRegistros[Taxa aplicada],$L316),"")))</f>
        <v/>
      </c>
      <c r="I316" s="3" t="str">
        <f>IF($L316="","",IF(INDEX(tblRegistros[Data],$L316)&gt;$D$4,"",IFERROR(IF(INDEX(tblRegistros[Status],$L316)="EM ABERTO","",INDEX(tblRegistros[Valor],$L316)),"")))</f>
        <v/>
      </c>
      <c r="J316" t="str">
        <f>IF($L316="","",IF(INDEX(tblRegistros[Data],$L316)&gt;$D$4,"",IFERROR(INDEX(tblRegistros[Status],$L316),"")))</f>
        <v/>
      </c>
      <c r="K316" t="str">
        <f>IF($L316="","",IF(INDEX(tblRegistros[Data],$L316)&gt;$D$4,"",IFERROR(INDEX(tblRegistros[Observação],$L316),"")))</f>
        <v/>
      </c>
      <c r="L316" s="16" t="str">
        <f>IFERROR(MATCH($B$3*100000+COUNTIFS(tblRegistros[ID],$B$3,tblRegistros[Data],"&lt;"&amp;$B$4)+ROWS($L$10:L316),tblRegistros[Chave do cartão],0),"")</f>
        <v/>
      </c>
    </row>
    <row r="317" spans="1:12">
      <c r="A317" s="2" t="str">
        <f>IF($L317="","",IF(INDEX(tblRegistros[Data],$L317)&gt;$D$4,"",IFERROR(INDEX(tblRegistros[Data],$L317),"")))</f>
        <v/>
      </c>
      <c r="B317" t="str">
        <f>IF($L317="","",IF(INDEX(tblRegistros[Data],$L317)&gt;$D$4,"",IFERROR(INDEX(tblRegistros[Projeto],$L317),"")))</f>
        <v/>
      </c>
      <c r="C317" t="str">
        <f>IF($L317="","",IF(INDEX(tblRegistros[Data],$L317)&gt;$D$4,"",IFERROR(INDEX(tblRegistros[Atividade],$L317),"")))</f>
        <v/>
      </c>
      <c r="D317" s="4" t="str">
        <f>IF($L317="","",IF(INDEX(tblRegistros[Data],$L317)&gt;$D$4,"",IFERROR(INDEX(tblRegistros[Início],$L317),"")))</f>
        <v/>
      </c>
      <c r="E317" s="4" t="str">
        <f>IF($L317="","",IF(INDEX(tblRegistros[Data],$L317)&gt;$D$4,"",IFERROR(IF(INDEX(tblRegistros[Status],$L317)="EM ABERTO","",INDEX(tblRegistros[Fim],$L317)),"")))</f>
        <v/>
      </c>
      <c r="F317" s="14" t="str">
        <f>IF($L317="","",IF(INDEX(tblRegistros[Data],$L317)&gt;$D$4,"",IFERROR(IF(INDEX(tblRegistros[Status],$L317)="EM ABERTO","",INDEX(tblRegistros[Horas],$L317)),"")))</f>
        <v/>
      </c>
      <c r="G317" t="str">
        <f>IF($L317="","",IF(INDEX(tblRegistros[Data],$L317)&gt;$D$4,"",IFERROR(INDEX(tblRegistros[Base],$L317),"")))</f>
        <v/>
      </c>
      <c r="H317" s="3" t="str">
        <f>IF($L317="","",IF(INDEX(tblRegistros[Data],$L317)&gt;$D$4,"",IFERROR(INDEX(tblRegistros[Taxa aplicada],$L317),"")))</f>
        <v/>
      </c>
      <c r="I317" s="3" t="str">
        <f>IF($L317="","",IF(INDEX(tblRegistros[Data],$L317)&gt;$D$4,"",IFERROR(IF(INDEX(tblRegistros[Status],$L317)="EM ABERTO","",INDEX(tblRegistros[Valor],$L317)),"")))</f>
        <v/>
      </c>
      <c r="J317" t="str">
        <f>IF($L317="","",IF(INDEX(tblRegistros[Data],$L317)&gt;$D$4,"",IFERROR(INDEX(tblRegistros[Status],$L317),"")))</f>
        <v/>
      </c>
      <c r="K317" t="str">
        <f>IF($L317="","",IF(INDEX(tblRegistros[Data],$L317)&gt;$D$4,"",IFERROR(INDEX(tblRegistros[Observação],$L317),"")))</f>
        <v/>
      </c>
      <c r="L317" s="16" t="str">
        <f>IFERROR(MATCH($B$3*100000+COUNTIFS(tblRegistros[ID],$B$3,tblRegistros[Data],"&lt;"&amp;$B$4)+ROWS($L$10:L317),tblRegistros[Chave do cartão],0),"")</f>
        <v/>
      </c>
    </row>
    <row r="318" spans="1:12">
      <c r="A318" s="2" t="str">
        <f>IF($L318="","",IF(INDEX(tblRegistros[Data],$L318)&gt;$D$4,"",IFERROR(INDEX(tblRegistros[Data],$L318),"")))</f>
        <v/>
      </c>
      <c r="B318" t="str">
        <f>IF($L318="","",IF(INDEX(tblRegistros[Data],$L318)&gt;$D$4,"",IFERROR(INDEX(tblRegistros[Projeto],$L318),"")))</f>
        <v/>
      </c>
      <c r="C318" t="str">
        <f>IF($L318="","",IF(INDEX(tblRegistros[Data],$L318)&gt;$D$4,"",IFERROR(INDEX(tblRegistros[Atividade],$L318),"")))</f>
        <v/>
      </c>
      <c r="D318" s="4" t="str">
        <f>IF($L318="","",IF(INDEX(tblRegistros[Data],$L318)&gt;$D$4,"",IFERROR(INDEX(tblRegistros[Início],$L318),"")))</f>
        <v/>
      </c>
      <c r="E318" s="4" t="str">
        <f>IF($L318="","",IF(INDEX(tblRegistros[Data],$L318)&gt;$D$4,"",IFERROR(IF(INDEX(tblRegistros[Status],$L318)="EM ABERTO","",INDEX(tblRegistros[Fim],$L318)),"")))</f>
        <v/>
      </c>
      <c r="F318" s="14" t="str">
        <f>IF($L318="","",IF(INDEX(tblRegistros[Data],$L318)&gt;$D$4,"",IFERROR(IF(INDEX(tblRegistros[Status],$L318)="EM ABERTO","",INDEX(tblRegistros[Horas],$L318)),"")))</f>
        <v/>
      </c>
      <c r="G318" t="str">
        <f>IF($L318="","",IF(INDEX(tblRegistros[Data],$L318)&gt;$D$4,"",IFERROR(INDEX(tblRegistros[Base],$L318),"")))</f>
        <v/>
      </c>
      <c r="H318" s="3" t="str">
        <f>IF($L318="","",IF(INDEX(tblRegistros[Data],$L318)&gt;$D$4,"",IFERROR(INDEX(tblRegistros[Taxa aplicada],$L318),"")))</f>
        <v/>
      </c>
      <c r="I318" s="3" t="str">
        <f>IF($L318="","",IF(INDEX(tblRegistros[Data],$L318)&gt;$D$4,"",IFERROR(IF(INDEX(tblRegistros[Status],$L318)="EM ABERTO","",INDEX(tblRegistros[Valor],$L318)),"")))</f>
        <v/>
      </c>
      <c r="J318" t="str">
        <f>IF($L318="","",IF(INDEX(tblRegistros[Data],$L318)&gt;$D$4,"",IFERROR(INDEX(tblRegistros[Status],$L318),"")))</f>
        <v/>
      </c>
      <c r="K318" t="str">
        <f>IF($L318="","",IF(INDEX(tblRegistros[Data],$L318)&gt;$D$4,"",IFERROR(INDEX(tblRegistros[Observação],$L318),"")))</f>
        <v/>
      </c>
      <c r="L318" s="16" t="str">
        <f>IFERROR(MATCH($B$3*100000+COUNTIFS(tblRegistros[ID],$B$3,tblRegistros[Data],"&lt;"&amp;$B$4)+ROWS($L$10:L318),tblRegistros[Chave do cartão],0),"")</f>
        <v/>
      </c>
    </row>
    <row r="319" spans="1:12">
      <c r="A319" s="2" t="str">
        <f>IF($L319="","",IF(INDEX(tblRegistros[Data],$L319)&gt;$D$4,"",IFERROR(INDEX(tblRegistros[Data],$L319),"")))</f>
        <v/>
      </c>
      <c r="B319" t="str">
        <f>IF($L319="","",IF(INDEX(tblRegistros[Data],$L319)&gt;$D$4,"",IFERROR(INDEX(tblRegistros[Projeto],$L319),"")))</f>
        <v/>
      </c>
      <c r="C319" t="str">
        <f>IF($L319="","",IF(INDEX(tblRegistros[Data],$L319)&gt;$D$4,"",IFERROR(INDEX(tblRegistros[Atividade],$L319),"")))</f>
        <v/>
      </c>
      <c r="D319" s="4" t="str">
        <f>IF($L319="","",IF(INDEX(tblRegistros[Data],$L319)&gt;$D$4,"",IFERROR(INDEX(tblRegistros[Início],$L319),"")))</f>
        <v/>
      </c>
      <c r="E319" s="4" t="str">
        <f>IF($L319="","",IF(INDEX(tblRegistros[Data],$L319)&gt;$D$4,"",IFERROR(IF(INDEX(tblRegistros[Status],$L319)="EM ABERTO","",INDEX(tblRegistros[Fim],$L319)),"")))</f>
        <v/>
      </c>
      <c r="F319" s="14" t="str">
        <f>IF($L319="","",IF(INDEX(tblRegistros[Data],$L319)&gt;$D$4,"",IFERROR(IF(INDEX(tblRegistros[Status],$L319)="EM ABERTO","",INDEX(tblRegistros[Horas],$L319)),"")))</f>
        <v/>
      </c>
      <c r="G319" t="str">
        <f>IF($L319="","",IF(INDEX(tblRegistros[Data],$L319)&gt;$D$4,"",IFERROR(INDEX(tblRegistros[Base],$L319),"")))</f>
        <v/>
      </c>
      <c r="H319" s="3" t="str">
        <f>IF($L319="","",IF(INDEX(tblRegistros[Data],$L319)&gt;$D$4,"",IFERROR(INDEX(tblRegistros[Taxa aplicada],$L319),"")))</f>
        <v/>
      </c>
      <c r="I319" s="3" t="str">
        <f>IF($L319="","",IF(INDEX(tblRegistros[Data],$L319)&gt;$D$4,"",IFERROR(IF(INDEX(tblRegistros[Status],$L319)="EM ABERTO","",INDEX(tblRegistros[Valor],$L319)),"")))</f>
        <v/>
      </c>
      <c r="J319" t="str">
        <f>IF($L319="","",IF(INDEX(tblRegistros[Data],$L319)&gt;$D$4,"",IFERROR(INDEX(tblRegistros[Status],$L319),"")))</f>
        <v/>
      </c>
      <c r="K319" t="str">
        <f>IF($L319="","",IF(INDEX(tblRegistros[Data],$L319)&gt;$D$4,"",IFERROR(INDEX(tblRegistros[Observação],$L319),"")))</f>
        <v/>
      </c>
      <c r="L319" s="16" t="str">
        <f>IFERROR(MATCH($B$3*100000+COUNTIFS(tblRegistros[ID],$B$3,tblRegistros[Data],"&lt;"&amp;$B$4)+ROWS($L$10:L319),tblRegistros[Chave do cartão],0),"")</f>
        <v/>
      </c>
    </row>
    <row r="320" spans="1:12">
      <c r="A320" s="2" t="str">
        <f>IF($L320="","",IF(INDEX(tblRegistros[Data],$L320)&gt;$D$4,"",IFERROR(INDEX(tblRegistros[Data],$L320),"")))</f>
        <v/>
      </c>
      <c r="B320" t="str">
        <f>IF($L320="","",IF(INDEX(tblRegistros[Data],$L320)&gt;$D$4,"",IFERROR(INDEX(tblRegistros[Projeto],$L320),"")))</f>
        <v/>
      </c>
      <c r="C320" t="str">
        <f>IF($L320="","",IF(INDEX(tblRegistros[Data],$L320)&gt;$D$4,"",IFERROR(INDEX(tblRegistros[Atividade],$L320),"")))</f>
        <v/>
      </c>
      <c r="D320" s="4" t="str">
        <f>IF($L320="","",IF(INDEX(tblRegistros[Data],$L320)&gt;$D$4,"",IFERROR(INDEX(tblRegistros[Início],$L320),"")))</f>
        <v/>
      </c>
      <c r="E320" s="4" t="str">
        <f>IF($L320="","",IF(INDEX(tblRegistros[Data],$L320)&gt;$D$4,"",IFERROR(IF(INDEX(tblRegistros[Status],$L320)="EM ABERTO","",INDEX(tblRegistros[Fim],$L320)),"")))</f>
        <v/>
      </c>
      <c r="F320" s="14" t="str">
        <f>IF($L320="","",IF(INDEX(tblRegistros[Data],$L320)&gt;$D$4,"",IFERROR(IF(INDEX(tblRegistros[Status],$L320)="EM ABERTO","",INDEX(tblRegistros[Horas],$L320)),"")))</f>
        <v/>
      </c>
      <c r="G320" t="str">
        <f>IF($L320="","",IF(INDEX(tblRegistros[Data],$L320)&gt;$D$4,"",IFERROR(INDEX(tblRegistros[Base],$L320),"")))</f>
        <v/>
      </c>
      <c r="H320" s="3" t="str">
        <f>IF($L320="","",IF(INDEX(tblRegistros[Data],$L320)&gt;$D$4,"",IFERROR(INDEX(tblRegistros[Taxa aplicada],$L320),"")))</f>
        <v/>
      </c>
      <c r="I320" s="3" t="str">
        <f>IF($L320="","",IF(INDEX(tblRegistros[Data],$L320)&gt;$D$4,"",IFERROR(IF(INDEX(tblRegistros[Status],$L320)="EM ABERTO","",INDEX(tblRegistros[Valor],$L320)),"")))</f>
        <v/>
      </c>
      <c r="J320" t="str">
        <f>IF($L320="","",IF(INDEX(tblRegistros[Data],$L320)&gt;$D$4,"",IFERROR(INDEX(tblRegistros[Status],$L320),"")))</f>
        <v/>
      </c>
      <c r="K320" t="str">
        <f>IF($L320="","",IF(INDEX(tblRegistros[Data],$L320)&gt;$D$4,"",IFERROR(INDEX(tblRegistros[Observação],$L320),"")))</f>
        <v/>
      </c>
      <c r="L320" s="16" t="str">
        <f>IFERROR(MATCH($B$3*100000+COUNTIFS(tblRegistros[ID],$B$3,tblRegistros[Data],"&lt;"&amp;$B$4)+ROWS($L$10:L320),tblRegistros[Chave do cartão],0),"")</f>
        <v/>
      </c>
    </row>
    <row r="321" spans="1:12">
      <c r="A321" s="2" t="str">
        <f>IF($L321="","",IF(INDEX(tblRegistros[Data],$L321)&gt;$D$4,"",IFERROR(INDEX(tblRegistros[Data],$L321),"")))</f>
        <v/>
      </c>
      <c r="B321" t="str">
        <f>IF($L321="","",IF(INDEX(tblRegistros[Data],$L321)&gt;$D$4,"",IFERROR(INDEX(tblRegistros[Projeto],$L321),"")))</f>
        <v/>
      </c>
      <c r="C321" t="str">
        <f>IF($L321="","",IF(INDEX(tblRegistros[Data],$L321)&gt;$D$4,"",IFERROR(INDEX(tblRegistros[Atividade],$L321),"")))</f>
        <v/>
      </c>
      <c r="D321" s="4" t="str">
        <f>IF($L321="","",IF(INDEX(tblRegistros[Data],$L321)&gt;$D$4,"",IFERROR(INDEX(tblRegistros[Início],$L321),"")))</f>
        <v/>
      </c>
      <c r="E321" s="4" t="str">
        <f>IF($L321="","",IF(INDEX(tblRegistros[Data],$L321)&gt;$D$4,"",IFERROR(IF(INDEX(tblRegistros[Status],$L321)="EM ABERTO","",INDEX(tblRegistros[Fim],$L321)),"")))</f>
        <v/>
      </c>
      <c r="F321" s="14" t="str">
        <f>IF($L321="","",IF(INDEX(tblRegistros[Data],$L321)&gt;$D$4,"",IFERROR(IF(INDEX(tblRegistros[Status],$L321)="EM ABERTO","",INDEX(tblRegistros[Horas],$L321)),"")))</f>
        <v/>
      </c>
      <c r="G321" t="str">
        <f>IF($L321="","",IF(INDEX(tblRegistros[Data],$L321)&gt;$D$4,"",IFERROR(INDEX(tblRegistros[Base],$L321),"")))</f>
        <v/>
      </c>
      <c r="H321" s="3" t="str">
        <f>IF($L321="","",IF(INDEX(tblRegistros[Data],$L321)&gt;$D$4,"",IFERROR(INDEX(tblRegistros[Taxa aplicada],$L321),"")))</f>
        <v/>
      </c>
      <c r="I321" s="3" t="str">
        <f>IF($L321="","",IF(INDEX(tblRegistros[Data],$L321)&gt;$D$4,"",IFERROR(IF(INDEX(tblRegistros[Status],$L321)="EM ABERTO","",INDEX(tblRegistros[Valor],$L321)),"")))</f>
        <v/>
      </c>
      <c r="J321" t="str">
        <f>IF($L321="","",IF(INDEX(tblRegistros[Data],$L321)&gt;$D$4,"",IFERROR(INDEX(tblRegistros[Status],$L321),"")))</f>
        <v/>
      </c>
      <c r="K321" t="str">
        <f>IF($L321="","",IF(INDEX(tblRegistros[Data],$L321)&gt;$D$4,"",IFERROR(INDEX(tblRegistros[Observação],$L321),"")))</f>
        <v/>
      </c>
      <c r="L321" s="16" t="str">
        <f>IFERROR(MATCH($B$3*100000+COUNTIFS(tblRegistros[ID],$B$3,tblRegistros[Data],"&lt;"&amp;$B$4)+ROWS($L$10:L321),tblRegistros[Chave do cartão],0),"")</f>
        <v/>
      </c>
    </row>
    <row r="322" spans="1:12">
      <c r="A322" s="2" t="str">
        <f>IF($L322="","",IF(INDEX(tblRegistros[Data],$L322)&gt;$D$4,"",IFERROR(INDEX(tblRegistros[Data],$L322),"")))</f>
        <v/>
      </c>
      <c r="B322" t="str">
        <f>IF($L322="","",IF(INDEX(tblRegistros[Data],$L322)&gt;$D$4,"",IFERROR(INDEX(tblRegistros[Projeto],$L322),"")))</f>
        <v/>
      </c>
      <c r="C322" t="str">
        <f>IF($L322="","",IF(INDEX(tblRegistros[Data],$L322)&gt;$D$4,"",IFERROR(INDEX(tblRegistros[Atividade],$L322),"")))</f>
        <v/>
      </c>
      <c r="D322" s="4" t="str">
        <f>IF($L322="","",IF(INDEX(tblRegistros[Data],$L322)&gt;$D$4,"",IFERROR(INDEX(tblRegistros[Início],$L322),"")))</f>
        <v/>
      </c>
      <c r="E322" s="4" t="str">
        <f>IF($L322="","",IF(INDEX(tblRegistros[Data],$L322)&gt;$D$4,"",IFERROR(IF(INDEX(tblRegistros[Status],$L322)="EM ABERTO","",INDEX(tblRegistros[Fim],$L322)),"")))</f>
        <v/>
      </c>
      <c r="F322" s="14" t="str">
        <f>IF($L322="","",IF(INDEX(tblRegistros[Data],$L322)&gt;$D$4,"",IFERROR(IF(INDEX(tblRegistros[Status],$L322)="EM ABERTO","",INDEX(tblRegistros[Horas],$L322)),"")))</f>
        <v/>
      </c>
      <c r="G322" t="str">
        <f>IF($L322="","",IF(INDEX(tblRegistros[Data],$L322)&gt;$D$4,"",IFERROR(INDEX(tblRegistros[Base],$L322),"")))</f>
        <v/>
      </c>
      <c r="H322" s="3" t="str">
        <f>IF($L322="","",IF(INDEX(tblRegistros[Data],$L322)&gt;$D$4,"",IFERROR(INDEX(tblRegistros[Taxa aplicada],$L322),"")))</f>
        <v/>
      </c>
      <c r="I322" s="3" t="str">
        <f>IF($L322="","",IF(INDEX(tblRegistros[Data],$L322)&gt;$D$4,"",IFERROR(IF(INDEX(tblRegistros[Status],$L322)="EM ABERTO","",INDEX(tblRegistros[Valor],$L322)),"")))</f>
        <v/>
      </c>
      <c r="J322" t="str">
        <f>IF($L322="","",IF(INDEX(tblRegistros[Data],$L322)&gt;$D$4,"",IFERROR(INDEX(tblRegistros[Status],$L322),"")))</f>
        <v/>
      </c>
      <c r="K322" t="str">
        <f>IF($L322="","",IF(INDEX(tblRegistros[Data],$L322)&gt;$D$4,"",IFERROR(INDEX(tblRegistros[Observação],$L322),"")))</f>
        <v/>
      </c>
      <c r="L322" s="16" t="str">
        <f>IFERROR(MATCH($B$3*100000+COUNTIFS(tblRegistros[ID],$B$3,tblRegistros[Data],"&lt;"&amp;$B$4)+ROWS($L$10:L322),tblRegistros[Chave do cartão],0),"")</f>
        <v/>
      </c>
    </row>
    <row r="323" spans="1:12">
      <c r="A323" s="2" t="str">
        <f>IF($L323="","",IF(INDEX(tblRegistros[Data],$L323)&gt;$D$4,"",IFERROR(INDEX(tblRegistros[Data],$L323),"")))</f>
        <v/>
      </c>
      <c r="B323" t="str">
        <f>IF($L323="","",IF(INDEX(tblRegistros[Data],$L323)&gt;$D$4,"",IFERROR(INDEX(tblRegistros[Projeto],$L323),"")))</f>
        <v/>
      </c>
      <c r="C323" t="str">
        <f>IF($L323="","",IF(INDEX(tblRegistros[Data],$L323)&gt;$D$4,"",IFERROR(INDEX(tblRegistros[Atividade],$L323),"")))</f>
        <v/>
      </c>
      <c r="D323" s="4" t="str">
        <f>IF($L323="","",IF(INDEX(tblRegistros[Data],$L323)&gt;$D$4,"",IFERROR(INDEX(tblRegistros[Início],$L323),"")))</f>
        <v/>
      </c>
      <c r="E323" s="4" t="str">
        <f>IF($L323="","",IF(INDEX(tblRegistros[Data],$L323)&gt;$D$4,"",IFERROR(IF(INDEX(tblRegistros[Status],$L323)="EM ABERTO","",INDEX(tblRegistros[Fim],$L323)),"")))</f>
        <v/>
      </c>
      <c r="F323" s="14" t="str">
        <f>IF($L323="","",IF(INDEX(tblRegistros[Data],$L323)&gt;$D$4,"",IFERROR(IF(INDEX(tblRegistros[Status],$L323)="EM ABERTO","",INDEX(tblRegistros[Horas],$L323)),"")))</f>
        <v/>
      </c>
      <c r="G323" t="str">
        <f>IF($L323="","",IF(INDEX(tblRegistros[Data],$L323)&gt;$D$4,"",IFERROR(INDEX(tblRegistros[Base],$L323),"")))</f>
        <v/>
      </c>
      <c r="H323" s="3" t="str">
        <f>IF($L323="","",IF(INDEX(tblRegistros[Data],$L323)&gt;$D$4,"",IFERROR(INDEX(tblRegistros[Taxa aplicada],$L323),"")))</f>
        <v/>
      </c>
      <c r="I323" s="3" t="str">
        <f>IF($L323="","",IF(INDEX(tblRegistros[Data],$L323)&gt;$D$4,"",IFERROR(IF(INDEX(tblRegistros[Status],$L323)="EM ABERTO","",INDEX(tblRegistros[Valor],$L323)),"")))</f>
        <v/>
      </c>
      <c r="J323" t="str">
        <f>IF($L323="","",IF(INDEX(tblRegistros[Data],$L323)&gt;$D$4,"",IFERROR(INDEX(tblRegistros[Status],$L323),"")))</f>
        <v/>
      </c>
      <c r="K323" t="str">
        <f>IF($L323="","",IF(INDEX(tblRegistros[Data],$L323)&gt;$D$4,"",IFERROR(INDEX(tblRegistros[Observação],$L323),"")))</f>
        <v/>
      </c>
      <c r="L323" s="16" t="str">
        <f>IFERROR(MATCH($B$3*100000+COUNTIFS(tblRegistros[ID],$B$3,tblRegistros[Data],"&lt;"&amp;$B$4)+ROWS($L$10:L323),tblRegistros[Chave do cartão],0),"")</f>
        <v/>
      </c>
    </row>
    <row r="324" spans="1:12">
      <c r="A324" s="2" t="str">
        <f>IF($L324="","",IF(INDEX(tblRegistros[Data],$L324)&gt;$D$4,"",IFERROR(INDEX(tblRegistros[Data],$L324),"")))</f>
        <v/>
      </c>
      <c r="B324" t="str">
        <f>IF($L324="","",IF(INDEX(tblRegistros[Data],$L324)&gt;$D$4,"",IFERROR(INDEX(tblRegistros[Projeto],$L324),"")))</f>
        <v/>
      </c>
      <c r="C324" t="str">
        <f>IF($L324="","",IF(INDEX(tblRegistros[Data],$L324)&gt;$D$4,"",IFERROR(INDEX(tblRegistros[Atividade],$L324),"")))</f>
        <v/>
      </c>
      <c r="D324" s="4" t="str">
        <f>IF($L324="","",IF(INDEX(tblRegistros[Data],$L324)&gt;$D$4,"",IFERROR(INDEX(tblRegistros[Início],$L324),"")))</f>
        <v/>
      </c>
      <c r="E324" s="4" t="str">
        <f>IF($L324="","",IF(INDEX(tblRegistros[Data],$L324)&gt;$D$4,"",IFERROR(IF(INDEX(tblRegistros[Status],$L324)="EM ABERTO","",INDEX(tblRegistros[Fim],$L324)),"")))</f>
        <v/>
      </c>
      <c r="F324" s="14" t="str">
        <f>IF($L324="","",IF(INDEX(tblRegistros[Data],$L324)&gt;$D$4,"",IFERROR(IF(INDEX(tblRegistros[Status],$L324)="EM ABERTO","",INDEX(tblRegistros[Horas],$L324)),"")))</f>
        <v/>
      </c>
      <c r="G324" t="str">
        <f>IF($L324="","",IF(INDEX(tblRegistros[Data],$L324)&gt;$D$4,"",IFERROR(INDEX(tblRegistros[Base],$L324),"")))</f>
        <v/>
      </c>
      <c r="H324" s="3" t="str">
        <f>IF($L324="","",IF(INDEX(tblRegistros[Data],$L324)&gt;$D$4,"",IFERROR(INDEX(tblRegistros[Taxa aplicada],$L324),"")))</f>
        <v/>
      </c>
      <c r="I324" s="3" t="str">
        <f>IF($L324="","",IF(INDEX(tblRegistros[Data],$L324)&gt;$D$4,"",IFERROR(IF(INDEX(tblRegistros[Status],$L324)="EM ABERTO","",INDEX(tblRegistros[Valor],$L324)),"")))</f>
        <v/>
      </c>
      <c r="J324" t="str">
        <f>IF($L324="","",IF(INDEX(tblRegistros[Data],$L324)&gt;$D$4,"",IFERROR(INDEX(tblRegistros[Status],$L324),"")))</f>
        <v/>
      </c>
      <c r="K324" t="str">
        <f>IF($L324="","",IF(INDEX(tblRegistros[Data],$L324)&gt;$D$4,"",IFERROR(INDEX(tblRegistros[Observação],$L324),"")))</f>
        <v/>
      </c>
      <c r="L324" s="16" t="str">
        <f>IFERROR(MATCH($B$3*100000+COUNTIFS(tblRegistros[ID],$B$3,tblRegistros[Data],"&lt;"&amp;$B$4)+ROWS($L$10:L324),tblRegistros[Chave do cartão],0),"")</f>
        <v/>
      </c>
    </row>
    <row r="325" spans="1:12">
      <c r="A325" s="2" t="str">
        <f>IF($L325="","",IF(INDEX(tblRegistros[Data],$L325)&gt;$D$4,"",IFERROR(INDEX(tblRegistros[Data],$L325),"")))</f>
        <v/>
      </c>
      <c r="B325" t="str">
        <f>IF($L325="","",IF(INDEX(tblRegistros[Data],$L325)&gt;$D$4,"",IFERROR(INDEX(tblRegistros[Projeto],$L325),"")))</f>
        <v/>
      </c>
      <c r="C325" t="str">
        <f>IF($L325="","",IF(INDEX(tblRegistros[Data],$L325)&gt;$D$4,"",IFERROR(INDEX(tblRegistros[Atividade],$L325),"")))</f>
        <v/>
      </c>
      <c r="D325" s="4" t="str">
        <f>IF($L325="","",IF(INDEX(tblRegistros[Data],$L325)&gt;$D$4,"",IFERROR(INDEX(tblRegistros[Início],$L325),"")))</f>
        <v/>
      </c>
      <c r="E325" s="4" t="str">
        <f>IF($L325="","",IF(INDEX(tblRegistros[Data],$L325)&gt;$D$4,"",IFERROR(IF(INDEX(tblRegistros[Status],$L325)="EM ABERTO","",INDEX(tblRegistros[Fim],$L325)),"")))</f>
        <v/>
      </c>
      <c r="F325" s="14" t="str">
        <f>IF($L325="","",IF(INDEX(tblRegistros[Data],$L325)&gt;$D$4,"",IFERROR(IF(INDEX(tblRegistros[Status],$L325)="EM ABERTO","",INDEX(tblRegistros[Horas],$L325)),"")))</f>
        <v/>
      </c>
      <c r="G325" t="str">
        <f>IF($L325="","",IF(INDEX(tblRegistros[Data],$L325)&gt;$D$4,"",IFERROR(INDEX(tblRegistros[Base],$L325),"")))</f>
        <v/>
      </c>
      <c r="H325" s="3" t="str">
        <f>IF($L325="","",IF(INDEX(tblRegistros[Data],$L325)&gt;$D$4,"",IFERROR(INDEX(tblRegistros[Taxa aplicada],$L325),"")))</f>
        <v/>
      </c>
      <c r="I325" s="3" t="str">
        <f>IF($L325="","",IF(INDEX(tblRegistros[Data],$L325)&gt;$D$4,"",IFERROR(IF(INDEX(tblRegistros[Status],$L325)="EM ABERTO","",INDEX(tblRegistros[Valor],$L325)),"")))</f>
        <v/>
      </c>
      <c r="J325" t="str">
        <f>IF($L325="","",IF(INDEX(tblRegistros[Data],$L325)&gt;$D$4,"",IFERROR(INDEX(tblRegistros[Status],$L325),"")))</f>
        <v/>
      </c>
      <c r="K325" t="str">
        <f>IF($L325="","",IF(INDEX(tblRegistros[Data],$L325)&gt;$D$4,"",IFERROR(INDEX(tblRegistros[Observação],$L325),"")))</f>
        <v/>
      </c>
      <c r="L325" s="16" t="str">
        <f>IFERROR(MATCH($B$3*100000+COUNTIFS(tblRegistros[ID],$B$3,tblRegistros[Data],"&lt;"&amp;$B$4)+ROWS($L$10:L325),tblRegistros[Chave do cartão],0),"")</f>
        <v/>
      </c>
    </row>
    <row r="326" spans="1:12">
      <c r="A326" s="2" t="str">
        <f>IF($L326="","",IF(INDEX(tblRegistros[Data],$L326)&gt;$D$4,"",IFERROR(INDEX(tblRegistros[Data],$L326),"")))</f>
        <v/>
      </c>
      <c r="B326" t="str">
        <f>IF($L326="","",IF(INDEX(tblRegistros[Data],$L326)&gt;$D$4,"",IFERROR(INDEX(tblRegistros[Projeto],$L326),"")))</f>
        <v/>
      </c>
      <c r="C326" t="str">
        <f>IF($L326="","",IF(INDEX(tblRegistros[Data],$L326)&gt;$D$4,"",IFERROR(INDEX(tblRegistros[Atividade],$L326),"")))</f>
        <v/>
      </c>
      <c r="D326" s="4" t="str">
        <f>IF($L326="","",IF(INDEX(tblRegistros[Data],$L326)&gt;$D$4,"",IFERROR(INDEX(tblRegistros[Início],$L326),"")))</f>
        <v/>
      </c>
      <c r="E326" s="4" t="str">
        <f>IF($L326="","",IF(INDEX(tblRegistros[Data],$L326)&gt;$D$4,"",IFERROR(IF(INDEX(tblRegistros[Status],$L326)="EM ABERTO","",INDEX(tblRegistros[Fim],$L326)),"")))</f>
        <v/>
      </c>
      <c r="F326" s="14" t="str">
        <f>IF($L326="","",IF(INDEX(tblRegistros[Data],$L326)&gt;$D$4,"",IFERROR(IF(INDEX(tblRegistros[Status],$L326)="EM ABERTO","",INDEX(tblRegistros[Horas],$L326)),"")))</f>
        <v/>
      </c>
      <c r="G326" t="str">
        <f>IF($L326="","",IF(INDEX(tblRegistros[Data],$L326)&gt;$D$4,"",IFERROR(INDEX(tblRegistros[Base],$L326),"")))</f>
        <v/>
      </c>
      <c r="H326" s="3" t="str">
        <f>IF($L326="","",IF(INDEX(tblRegistros[Data],$L326)&gt;$D$4,"",IFERROR(INDEX(tblRegistros[Taxa aplicada],$L326),"")))</f>
        <v/>
      </c>
      <c r="I326" s="3" t="str">
        <f>IF($L326="","",IF(INDEX(tblRegistros[Data],$L326)&gt;$D$4,"",IFERROR(IF(INDEX(tblRegistros[Status],$L326)="EM ABERTO","",INDEX(tblRegistros[Valor],$L326)),"")))</f>
        <v/>
      </c>
      <c r="J326" t="str">
        <f>IF($L326="","",IF(INDEX(tblRegistros[Data],$L326)&gt;$D$4,"",IFERROR(INDEX(tblRegistros[Status],$L326),"")))</f>
        <v/>
      </c>
      <c r="K326" t="str">
        <f>IF($L326="","",IF(INDEX(tblRegistros[Data],$L326)&gt;$D$4,"",IFERROR(INDEX(tblRegistros[Observação],$L326),"")))</f>
        <v/>
      </c>
      <c r="L326" s="16" t="str">
        <f>IFERROR(MATCH($B$3*100000+COUNTIFS(tblRegistros[ID],$B$3,tblRegistros[Data],"&lt;"&amp;$B$4)+ROWS($L$10:L326),tblRegistros[Chave do cartão],0),"")</f>
        <v/>
      </c>
    </row>
    <row r="327" spans="1:12">
      <c r="A327" s="2" t="str">
        <f>IF($L327="","",IF(INDEX(tblRegistros[Data],$L327)&gt;$D$4,"",IFERROR(INDEX(tblRegistros[Data],$L327),"")))</f>
        <v/>
      </c>
      <c r="B327" t="str">
        <f>IF($L327="","",IF(INDEX(tblRegistros[Data],$L327)&gt;$D$4,"",IFERROR(INDEX(tblRegistros[Projeto],$L327),"")))</f>
        <v/>
      </c>
      <c r="C327" t="str">
        <f>IF($L327="","",IF(INDEX(tblRegistros[Data],$L327)&gt;$D$4,"",IFERROR(INDEX(tblRegistros[Atividade],$L327),"")))</f>
        <v/>
      </c>
      <c r="D327" s="4" t="str">
        <f>IF($L327="","",IF(INDEX(tblRegistros[Data],$L327)&gt;$D$4,"",IFERROR(INDEX(tblRegistros[Início],$L327),"")))</f>
        <v/>
      </c>
      <c r="E327" s="4" t="str">
        <f>IF($L327="","",IF(INDEX(tblRegistros[Data],$L327)&gt;$D$4,"",IFERROR(IF(INDEX(tblRegistros[Status],$L327)="EM ABERTO","",INDEX(tblRegistros[Fim],$L327)),"")))</f>
        <v/>
      </c>
      <c r="F327" s="14" t="str">
        <f>IF($L327="","",IF(INDEX(tblRegistros[Data],$L327)&gt;$D$4,"",IFERROR(IF(INDEX(tblRegistros[Status],$L327)="EM ABERTO","",INDEX(tblRegistros[Horas],$L327)),"")))</f>
        <v/>
      </c>
      <c r="G327" t="str">
        <f>IF($L327="","",IF(INDEX(tblRegistros[Data],$L327)&gt;$D$4,"",IFERROR(INDEX(tblRegistros[Base],$L327),"")))</f>
        <v/>
      </c>
      <c r="H327" s="3" t="str">
        <f>IF($L327="","",IF(INDEX(tblRegistros[Data],$L327)&gt;$D$4,"",IFERROR(INDEX(tblRegistros[Taxa aplicada],$L327),"")))</f>
        <v/>
      </c>
      <c r="I327" s="3" t="str">
        <f>IF($L327="","",IF(INDEX(tblRegistros[Data],$L327)&gt;$D$4,"",IFERROR(IF(INDEX(tblRegistros[Status],$L327)="EM ABERTO","",INDEX(tblRegistros[Valor],$L327)),"")))</f>
        <v/>
      </c>
      <c r="J327" t="str">
        <f>IF($L327="","",IF(INDEX(tblRegistros[Data],$L327)&gt;$D$4,"",IFERROR(INDEX(tblRegistros[Status],$L327),"")))</f>
        <v/>
      </c>
      <c r="K327" t="str">
        <f>IF($L327="","",IF(INDEX(tblRegistros[Data],$L327)&gt;$D$4,"",IFERROR(INDEX(tblRegistros[Observação],$L327),"")))</f>
        <v/>
      </c>
      <c r="L327" s="16" t="str">
        <f>IFERROR(MATCH($B$3*100000+COUNTIFS(tblRegistros[ID],$B$3,tblRegistros[Data],"&lt;"&amp;$B$4)+ROWS($L$10:L327),tblRegistros[Chave do cartão],0),"")</f>
        <v/>
      </c>
    </row>
    <row r="328" spans="1:12">
      <c r="A328" s="2" t="str">
        <f>IF($L328="","",IF(INDEX(tblRegistros[Data],$L328)&gt;$D$4,"",IFERROR(INDEX(tblRegistros[Data],$L328),"")))</f>
        <v/>
      </c>
      <c r="B328" t="str">
        <f>IF($L328="","",IF(INDEX(tblRegistros[Data],$L328)&gt;$D$4,"",IFERROR(INDEX(tblRegistros[Projeto],$L328),"")))</f>
        <v/>
      </c>
      <c r="C328" t="str">
        <f>IF($L328="","",IF(INDEX(tblRegistros[Data],$L328)&gt;$D$4,"",IFERROR(INDEX(tblRegistros[Atividade],$L328),"")))</f>
        <v/>
      </c>
      <c r="D328" s="4" t="str">
        <f>IF($L328="","",IF(INDEX(tblRegistros[Data],$L328)&gt;$D$4,"",IFERROR(INDEX(tblRegistros[Início],$L328),"")))</f>
        <v/>
      </c>
      <c r="E328" s="4" t="str">
        <f>IF($L328="","",IF(INDEX(tblRegistros[Data],$L328)&gt;$D$4,"",IFERROR(IF(INDEX(tblRegistros[Status],$L328)="EM ABERTO","",INDEX(tblRegistros[Fim],$L328)),"")))</f>
        <v/>
      </c>
      <c r="F328" s="14" t="str">
        <f>IF($L328="","",IF(INDEX(tblRegistros[Data],$L328)&gt;$D$4,"",IFERROR(IF(INDEX(tblRegistros[Status],$L328)="EM ABERTO","",INDEX(tblRegistros[Horas],$L328)),"")))</f>
        <v/>
      </c>
      <c r="G328" t="str">
        <f>IF($L328="","",IF(INDEX(tblRegistros[Data],$L328)&gt;$D$4,"",IFERROR(INDEX(tblRegistros[Base],$L328),"")))</f>
        <v/>
      </c>
      <c r="H328" s="3" t="str">
        <f>IF($L328="","",IF(INDEX(tblRegistros[Data],$L328)&gt;$D$4,"",IFERROR(INDEX(tblRegistros[Taxa aplicada],$L328),"")))</f>
        <v/>
      </c>
      <c r="I328" s="3" t="str">
        <f>IF($L328="","",IF(INDEX(tblRegistros[Data],$L328)&gt;$D$4,"",IFERROR(IF(INDEX(tblRegistros[Status],$L328)="EM ABERTO","",INDEX(tblRegistros[Valor],$L328)),"")))</f>
        <v/>
      </c>
      <c r="J328" t="str">
        <f>IF($L328="","",IF(INDEX(tblRegistros[Data],$L328)&gt;$D$4,"",IFERROR(INDEX(tblRegistros[Status],$L328),"")))</f>
        <v/>
      </c>
      <c r="K328" t="str">
        <f>IF($L328="","",IF(INDEX(tblRegistros[Data],$L328)&gt;$D$4,"",IFERROR(INDEX(tblRegistros[Observação],$L328),"")))</f>
        <v/>
      </c>
      <c r="L328" s="16" t="str">
        <f>IFERROR(MATCH($B$3*100000+COUNTIFS(tblRegistros[ID],$B$3,tblRegistros[Data],"&lt;"&amp;$B$4)+ROWS($L$10:L328),tblRegistros[Chave do cartão],0),"")</f>
        <v/>
      </c>
    </row>
    <row r="329" spans="1:12">
      <c r="A329" s="2" t="str">
        <f>IF($L329="","",IF(INDEX(tblRegistros[Data],$L329)&gt;$D$4,"",IFERROR(INDEX(tblRegistros[Data],$L329),"")))</f>
        <v/>
      </c>
      <c r="B329" t="str">
        <f>IF($L329="","",IF(INDEX(tblRegistros[Data],$L329)&gt;$D$4,"",IFERROR(INDEX(tblRegistros[Projeto],$L329),"")))</f>
        <v/>
      </c>
      <c r="C329" t="str">
        <f>IF($L329="","",IF(INDEX(tblRegistros[Data],$L329)&gt;$D$4,"",IFERROR(INDEX(tblRegistros[Atividade],$L329),"")))</f>
        <v/>
      </c>
      <c r="D329" s="4" t="str">
        <f>IF($L329="","",IF(INDEX(tblRegistros[Data],$L329)&gt;$D$4,"",IFERROR(INDEX(tblRegistros[Início],$L329),"")))</f>
        <v/>
      </c>
      <c r="E329" s="4" t="str">
        <f>IF($L329="","",IF(INDEX(tblRegistros[Data],$L329)&gt;$D$4,"",IFERROR(IF(INDEX(tblRegistros[Status],$L329)="EM ABERTO","",INDEX(tblRegistros[Fim],$L329)),"")))</f>
        <v/>
      </c>
      <c r="F329" s="14" t="str">
        <f>IF($L329="","",IF(INDEX(tblRegistros[Data],$L329)&gt;$D$4,"",IFERROR(IF(INDEX(tblRegistros[Status],$L329)="EM ABERTO","",INDEX(tblRegistros[Horas],$L329)),"")))</f>
        <v/>
      </c>
      <c r="G329" t="str">
        <f>IF($L329="","",IF(INDEX(tblRegistros[Data],$L329)&gt;$D$4,"",IFERROR(INDEX(tblRegistros[Base],$L329),"")))</f>
        <v/>
      </c>
      <c r="H329" s="3" t="str">
        <f>IF($L329="","",IF(INDEX(tblRegistros[Data],$L329)&gt;$D$4,"",IFERROR(INDEX(tblRegistros[Taxa aplicada],$L329),"")))</f>
        <v/>
      </c>
      <c r="I329" s="3" t="str">
        <f>IF($L329="","",IF(INDEX(tblRegistros[Data],$L329)&gt;$D$4,"",IFERROR(IF(INDEX(tblRegistros[Status],$L329)="EM ABERTO","",INDEX(tblRegistros[Valor],$L329)),"")))</f>
        <v/>
      </c>
      <c r="J329" t="str">
        <f>IF($L329="","",IF(INDEX(tblRegistros[Data],$L329)&gt;$D$4,"",IFERROR(INDEX(tblRegistros[Status],$L329),"")))</f>
        <v/>
      </c>
      <c r="K329" t="str">
        <f>IF($L329="","",IF(INDEX(tblRegistros[Data],$L329)&gt;$D$4,"",IFERROR(INDEX(tblRegistros[Observação],$L329),"")))</f>
        <v/>
      </c>
      <c r="L329" s="16" t="str">
        <f>IFERROR(MATCH($B$3*100000+COUNTIFS(tblRegistros[ID],$B$3,tblRegistros[Data],"&lt;"&amp;$B$4)+ROWS($L$10:L329),tblRegistros[Chave do cartão],0),"")</f>
        <v/>
      </c>
    </row>
    <row r="330" spans="1:12">
      <c r="A330" s="2" t="str">
        <f>IF($L330="","",IF(INDEX(tblRegistros[Data],$L330)&gt;$D$4,"",IFERROR(INDEX(tblRegistros[Data],$L330),"")))</f>
        <v/>
      </c>
      <c r="B330" t="str">
        <f>IF($L330="","",IF(INDEX(tblRegistros[Data],$L330)&gt;$D$4,"",IFERROR(INDEX(tblRegistros[Projeto],$L330),"")))</f>
        <v/>
      </c>
      <c r="C330" t="str">
        <f>IF($L330="","",IF(INDEX(tblRegistros[Data],$L330)&gt;$D$4,"",IFERROR(INDEX(tblRegistros[Atividade],$L330),"")))</f>
        <v/>
      </c>
      <c r="D330" s="4" t="str">
        <f>IF($L330="","",IF(INDEX(tblRegistros[Data],$L330)&gt;$D$4,"",IFERROR(INDEX(tblRegistros[Início],$L330),"")))</f>
        <v/>
      </c>
      <c r="E330" s="4" t="str">
        <f>IF($L330="","",IF(INDEX(tblRegistros[Data],$L330)&gt;$D$4,"",IFERROR(IF(INDEX(tblRegistros[Status],$L330)="EM ABERTO","",INDEX(tblRegistros[Fim],$L330)),"")))</f>
        <v/>
      </c>
      <c r="F330" s="14" t="str">
        <f>IF($L330="","",IF(INDEX(tblRegistros[Data],$L330)&gt;$D$4,"",IFERROR(IF(INDEX(tblRegistros[Status],$L330)="EM ABERTO","",INDEX(tblRegistros[Horas],$L330)),"")))</f>
        <v/>
      </c>
      <c r="G330" t="str">
        <f>IF($L330="","",IF(INDEX(tblRegistros[Data],$L330)&gt;$D$4,"",IFERROR(INDEX(tblRegistros[Base],$L330),"")))</f>
        <v/>
      </c>
      <c r="H330" s="3" t="str">
        <f>IF($L330="","",IF(INDEX(tblRegistros[Data],$L330)&gt;$D$4,"",IFERROR(INDEX(tblRegistros[Taxa aplicada],$L330),"")))</f>
        <v/>
      </c>
      <c r="I330" s="3" t="str">
        <f>IF($L330="","",IF(INDEX(tblRegistros[Data],$L330)&gt;$D$4,"",IFERROR(IF(INDEX(tblRegistros[Status],$L330)="EM ABERTO","",INDEX(tblRegistros[Valor],$L330)),"")))</f>
        <v/>
      </c>
      <c r="J330" t="str">
        <f>IF($L330="","",IF(INDEX(tblRegistros[Data],$L330)&gt;$D$4,"",IFERROR(INDEX(tblRegistros[Status],$L330),"")))</f>
        <v/>
      </c>
      <c r="K330" t="str">
        <f>IF($L330="","",IF(INDEX(tblRegistros[Data],$L330)&gt;$D$4,"",IFERROR(INDEX(tblRegistros[Observação],$L330),"")))</f>
        <v/>
      </c>
      <c r="L330" s="16" t="str">
        <f>IFERROR(MATCH($B$3*100000+COUNTIFS(tblRegistros[ID],$B$3,tblRegistros[Data],"&lt;"&amp;$B$4)+ROWS($L$10:L330),tblRegistros[Chave do cartão],0),"")</f>
        <v/>
      </c>
    </row>
    <row r="331" spans="1:12">
      <c r="A331" s="2" t="str">
        <f>IF($L331="","",IF(INDEX(tblRegistros[Data],$L331)&gt;$D$4,"",IFERROR(INDEX(tblRegistros[Data],$L331),"")))</f>
        <v/>
      </c>
      <c r="B331" t="str">
        <f>IF($L331="","",IF(INDEX(tblRegistros[Data],$L331)&gt;$D$4,"",IFERROR(INDEX(tblRegistros[Projeto],$L331),"")))</f>
        <v/>
      </c>
      <c r="C331" t="str">
        <f>IF($L331="","",IF(INDEX(tblRegistros[Data],$L331)&gt;$D$4,"",IFERROR(INDEX(tblRegistros[Atividade],$L331),"")))</f>
        <v/>
      </c>
      <c r="D331" s="4" t="str">
        <f>IF($L331="","",IF(INDEX(tblRegistros[Data],$L331)&gt;$D$4,"",IFERROR(INDEX(tblRegistros[Início],$L331),"")))</f>
        <v/>
      </c>
      <c r="E331" s="4" t="str">
        <f>IF($L331="","",IF(INDEX(tblRegistros[Data],$L331)&gt;$D$4,"",IFERROR(IF(INDEX(tblRegistros[Status],$L331)="EM ABERTO","",INDEX(tblRegistros[Fim],$L331)),"")))</f>
        <v/>
      </c>
      <c r="F331" s="14" t="str">
        <f>IF($L331="","",IF(INDEX(tblRegistros[Data],$L331)&gt;$D$4,"",IFERROR(IF(INDEX(tblRegistros[Status],$L331)="EM ABERTO","",INDEX(tblRegistros[Horas],$L331)),"")))</f>
        <v/>
      </c>
      <c r="G331" t="str">
        <f>IF($L331="","",IF(INDEX(tblRegistros[Data],$L331)&gt;$D$4,"",IFERROR(INDEX(tblRegistros[Base],$L331),"")))</f>
        <v/>
      </c>
      <c r="H331" s="3" t="str">
        <f>IF($L331="","",IF(INDEX(tblRegistros[Data],$L331)&gt;$D$4,"",IFERROR(INDEX(tblRegistros[Taxa aplicada],$L331),"")))</f>
        <v/>
      </c>
      <c r="I331" s="3" t="str">
        <f>IF($L331="","",IF(INDEX(tblRegistros[Data],$L331)&gt;$D$4,"",IFERROR(IF(INDEX(tblRegistros[Status],$L331)="EM ABERTO","",INDEX(tblRegistros[Valor],$L331)),"")))</f>
        <v/>
      </c>
      <c r="J331" t="str">
        <f>IF($L331="","",IF(INDEX(tblRegistros[Data],$L331)&gt;$D$4,"",IFERROR(INDEX(tblRegistros[Status],$L331),"")))</f>
        <v/>
      </c>
      <c r="K331" t="str">
        <f>IF($L331="","",IF(INDEX(tblRegistros[Data],$L331)&gt;$D$4,"",IFERROR(INDEX(tblRegistros[Observação],$L331),"")))</f>
        <v/>
      </c>
      <c r="L331" s="16" t="str">
        <f>IFERROR(MATCH($B$3*100000+COUNTIFS(tblRegistros[ID],$B$3,tblRegistros[Data],"&lt;"&amp;$B$4)+ROWS($L$10:L331),tblRegistros[Chave do cartão],0),"")</f>
        <v/>
      </c>
    </row>
    <row r="332" spans="1:12">
      <c r="A332" s="2" t="str">
        <f>IF($L332="","",IF(INDEX(tblRegistros[Data],$L332)&gt;$D$4,"",IFERROR(INDEX(tblRegistros[Data],$L332),"")))</f>
        <v/>
      </c>
      <c r="B332" t="str">
        <f>IF($L332="","",IF(INDEX(tblRegistros[Data],$L332)&gt;$D$4,"",IFERROR(INDEX(tblRegistros[Projeto],$L332),"")))</f>
        <v/>
      </c>
      <c r="C332" t="str">
        <f>IF($L332="","",IF(INDEX(tblRegistros[Data],$L332)&gt;$D$4,"",IFERROR(INDEX(tblRegistros[Atividade],$L332),"")))</f>
        <v/>
      </c>
      <c r="D332" s="4" t="str">
        <f>IF($L332="","",IF(INDEX(tblRegistros[Data],$L332)&gt;$D$4,"",IFERROR(INDEX(tblRegistros[Início],$L332),"")))</f>
        <v/>
      </c>
      <c r="E332" s="4" t="str">
        <f>IF($L332="","",IF(INDEX(tblRegistros[Data],$L332)&gt;$D$4,"",IFERROR(IF(INDEX(tblRegistros[Status],$L332)="EM ABERTO","",INDEX(tblRegistros[Fim],$L332)),"")))</f>
        <v/>
      </c>
      <c r="F332" s="14" t="str">
        <f>IF($L332="","",IF(INDEX(tblRegistros[Data],$L332)&gt;$D$4,"",IFERROR(IF(INDEX(tblRegistros[Status],$L332)="EM ABERTO","",INDEX(tblRegistros[Horas],$L332)),"")))</f>
        <v/>
      </c>
      <c r="G332" t="str">
        <f>IF($L332="","",IF(INDEX(tblRegistros[Data],$L332)&gt;$D$4,"",IFERROR(INDEX(tblRegistros[Base],$L332),"")))</f>
        <v/>
      </c>
      <c r="H332" s="3" t="str">
        <f>IF($L332="","",IF(INDEX(tblRegistros[Data],$L332)&gt;$D$4,"",IFERROR(INDEX(tblRegistros[Taxa aplicada],$L332),"")))</f>
        <v/>
      </c>
      <c r="I332" s="3" t="str">
        <f>IF($L332="","",IF(INDEX(tblRegistros[Data],$L332)&gt;$D$4,"",IFERROR(IF(INDEX(tblRegistros[Status],$L332)="EM ABERTO","",INDEX(tblRegistros[Valor],$L332)),"")))</f>
        <v/>
      </c>
      <c r="J332" t="str">
        <f>IF($L332="","",IF(INDEX(tblRegistros[Data],$L332)&gt;$D$4,"",IFERROR(INDEX(tblRegistros[Status],$L332),"")))</f>
        <v/>
      </c>
      <c r="K332" t="str">
        <f>IF($L332="","",IF(INDEX(tblRegistros[Data],$L332)&gt;$D$4,"",IFERROR(INDEX(tblRegistros[Observação],$L332),"")))</f>
        <v/>
      </c>
      <c r="L332" s="16" t="str">
        <f>IFERROR(MATCH($B$3*100000+COUNTIFS(tblRegistros[ID],$B$3,tblRegistros[Data],"&lt;"&amp;$B$4)+ROWS($L$10:L332),tblRegistros[Chave do cartão],0),"")</f>
        <v/>
      </c>
    </row>
    <row r="333" spans="1:12">
      <c r="A333" s="2" t="str">
        <f>IF($L333="","",IF(INDEX(tblRegistros[Data],$L333)&gt;$D$4,"",IFERROR(INDEX(tblRegistros[Data],$L333),"")))</f>
        <v/>
      </c>
      <c r="B333" t="str">
        <f>IF($L333="","",IF(INDEX(tblRegistros[Data],$L333)&gt;$D$4,"",IFERROR(INDEX(tblRegistros[Projeto],$L333),"")))</f>
        <v/>
      </c>
      <c r="C333" t="str">
        <f>IF($L333="","",IF(INDEX(tblRegistros[Data],$L333)&gt;$D$4,"",IFERROR(INDEX(tblRegistros[Atividade],$L333),"")))</f>
        <v/>
      </c>
      <c r="D333" s="4" t="str">
        <f>IF($L333="","",IF(INDEX(tblRegistros[Data],$L333)&gt;$D$4,"",IFERROR(INDEX(tblRegistros[Início],$L333),"")))</f>
        <v/>
      </c>
      <c r="E333" s="4" t="str">
        <f>IF($L333="","",IF(INDEX(tblRegistros[Data],$L333)&gt;$D$4,"",IFERROR(IF(INDEX(tblRegistros[Status],$L333)="EM ABERTO","",INDEX(tblRegistros[Fim],$L333)),"")))</f>
        <v/>
      </c>
      <c r="F333" s="14" t="str">
        <f>IF($L333="","",IF(INDEX(tblRegistros[Data],$L333)&gt;$D$4,"",IFERROR(IF(INDEX(tblRegistros[Status],$L333)="EM ABERTO","",INDEX(tblRegistros[Horas],$L333)),"")))</f>
        <v/>
      </c>
      <c r="G333" t="str">
        <f>IF($L333="","",IF(INDEX(tblRegistros[Data],$L333)&gt;$D$4,"",IFERROR(INDEX(tblRegistros[Base],$L333),"")))</f>
        <v/>
      </c>
      <c r="H333" s="3" t="str">
        <f>IF($L333="","",IF(INDEX(tblRegistros[Data],$L333)&gt;$D$4,"",IFERROR(INDEX(tblRegistros[Taxa aplicada],$L333),"")))</f>
        <v/>
      </c>
      <c r="I333" s="3" t="str">
        <f>IF($L333="","",IF(INDEX(tblRegistros[Data],$L333)&gt;$D$4,"",IFERROR(IF(INDEX(tblRegistros[Status],$L333)="EM ABERTO","",INDEX(tblRegistros[Valor],$L333)),"")))</f>
        <v/>
      </c>
      <c r="J333" t="str">
        <f>IF($L333="","",IF(INDEX(tblRegistros[Data],$L333)&gt;$D$4,"",IFERROR(INDEX(tblRegistros[Status],$L333),"")))</f>
        <v/>
      </c>
      <c r="K333" t="str">
        <f>IF($L333="","",IF(INDEX(tblRegistros[Data],$L333)&gt;$D$4,"",IFERROR(INDEX(tblRegistros[Observação],$L333),"")))</f>
        <v/>
      </c>
      <c r="L333" s="16" t="str">
        <f>IFERROR(MATCH($B$3*100000+COUNTIFS(tblRegistros[ID],$B$3,tblRegistros[Data],"&lt;"&amp;$B$4)+ROWS($L$10:L333),tblRegistros[Chave do cartão],0),"")</f>
        <v/>
      </c>
    </row>
    <row r="334" spans="1:12">
      <c r="A334" s="2" t="str">
        <f>IF($L334="","",IF(INDEX(tblRegistros[Data],$L334)&gt;$D$4,"",IFERROR(INDEX(tblRegistros[Data],$L334),"")))</f>
        <v/>
      </c>
      <c r="B334" t="str">
        <f>IF($L334="","",IF(INDEX(tblRegistros[Data],$L334)&gt;$D$4,"",IFERROR(INDEX(tblRegistros[Projeto],$L334),"")))</f>
        <v/>
      </c>
      <c r="C334" t="str">
        <f>IF($L334="","",IF(INDEX(tblRegistros[Data],$L334)&gt;$D$4,"",IFERROR(INDEX(tblRegistros[Atividade],$L334),"")))</f>
        <v/>
      </c>
      <c r="D334" s="4" t="str">
        <f>IF($L334="","",IF(INDEX(tblRegistros[Data],$L334)&gt;$D$4,"",IFERROR(INDEX(tblRegistros[Início],$L334),"")))</f>
        <v/>
      </c>
      <c r="E334" s="4" t="str">
        <f>IF($L334="","",IF(INDEX(tblRegistros[Data],$L334)&gt;$D$4,"",IFERROR(IF(INDEX(tblRegistros[Status],$L334)="EM ABERTO","",INDEX(tblRegistros[Fim],$L334)),"")))</f>
        <v/>
      </c>
      <c r="F334" s="14" t="str">
        <f>IF($L334="","",IF(INDEX(tblRegistros[Data],$L334)&gt;$D$4,"",IFERROR(IF(INDEX(tblRegistros[Status],$L334)="EM ABERTO","",INDEX(tblRegistros[Horas],$L334)),"")))</f>
        <v/>
      </c>
      <c r="G334" t="str">
        <f>IF($L334="","",IF(INDEX(tblRegistros[Data],$L334)&gt;$D$4,"",IFERROR(INDEX(tblRegistros[Base],$L334),"")))</f>
        <v/>
      </c>
      <c r="H334" s="3" t="str">
        <f>IF($L334="","",IF(INDEX(tblRegistros[Data],$L334)&gt;$D$4,"",IFERROR(INDEX(tblRegistros[Taxa aplicada],$L334),"")))</f>
        <v/>
      </c>
      <c r="I334" s="3" t="str">
        <f>IF($L334="","",IF(INDEX(tblRegistros[Data],$L334)&gt;$D$4,"",IFERROR(IF(INDEX(tblRegistros[Status],$L334)="EM ABERTO","",INDEX(tblRegistros[Valor],$L334)),"")))</f>
        <v/>
      </c>
      <c r="J334" t="str">
        <f>IF($L334="","",IF(INDEX(tblRegistros[Data],$L334)&gt;$D$4,"",IFERROR(INDEX(tblRegistros[Status],$L334),"")))</f>
        <v/>
      </c>
      <c r="K334" t="str">
        <f>IF($L334="","",IF(INDEX(tblRegistros[Data],$L334)&gt;$D$4,"",IFERROR(INDEX(tblRegistros[Observação],$L334),"")))</f>
        <v/>
      </c>
      <c r="L334" s="16" t="str">
        <f>IFERROR(MATCH($B$3*100000+COUNTIFS(tblRegistros[ID],$B$3,tblRegistros[Data],"&lt;"&amp;$B$4)+ROWS($L$10:L334),tblRegistros[Chave do cartão],0),"")</f>
        <v/>
      </c>
    </row>
    <row r="335" spans="1:12">
      <c r="A335" s="2" t="str">
        <f>IF($L335="","",IF(INDEX(tblRegistros[Data],$L335)&gt;$D$4,"",IFERROR(INDEX(tblRegistros[Data],$L335),"")))</f>
        <v/>
      </c>
      <c r="B335" t="str">
        <f>IF($L335="","",IF(INDEX(tblRegistros[Data],$L335)&gt;$D$4,"",IFERROR(INDEX(tblRegistros[Projeto],$L335),"")))</f>
        <v/>
      </c>
      <c r="C335" t="str">
        <f>IF($L335="","",IF(INDEX(tblRegistros[Data],$L335)&gt;$D$4,"",IFERROR(INDEX(tblRegistros[Atividade],$L335),"")))</f>
        <v/>
      </c>
      <c r="D335" s="4" t="str">
        <f>IF($L335="","",IF(INDEX(tblRegistros[Data],$L335)&gt;$D$4,"",IFERROR(INDEX(tblRegistros[Início],$L335),"")))</f>
        <v/>
      </c>
      <c r="E335" s="4" t="str">
        <f>IF($L335="","",IF(INDEX(tblRegistros[Data],$L335)&gt;$D$4,"",IFERROR(IF(INDEX(tblRegistros[Status],$L335)="EM ABERTO","",INDEX(tblRegistros[Fim],$L335)),"")))</f>
        <v/>
      </c>
      <c r="F335" s="14" t="str">
        <f>IF($L335="","",IF(INDEX(tblRegistros[Data],$L335)&gt;$D$4,"",IFERROR(IF(INDEX(tblRegistros[Status],$L335)="EM ABERTO","",INDEX(tblRegistros[Horas],$L335)),"")))</f>
        <v/>
      </c>
      <c r="G335" t="str">
        <f>IF($L335="","",IF(INDEX(tblRegistros[Data],$L335)&gt;$D$4,"",IFERROR(INDEX(tblRegistros[Base],$L335),"")))</f>
        <v/>
      </c>
      <c r="H335" s="3" t="str">
        <f>IF($L335="","",IF(INDEX(tblRegistros[Data],$L335)&gt;$D$4,"",IFERROR(INDEX(tblRegistros[Taxa aplicada],$L335),"")))</f>
        <v/>
      </c>
      <c r="I335" s="3" t="str">
        <f>IF($L335="","",IF(INDEX(tblRegistros[Data],$L335)&gt;$D$4,"",IFERROR(IF(INDEX(tblRegistros[Status],$L335)="EM ABERTO","",INDEX(tblRegistros[Valor],$L335)),"")))</f>
        <v/>
      </c>
      <c r="J335" t="str">
        <f>IF($L335="","",IF(INDEX(tblRegistros[Data],$L335)&gt;$D$4,"",IFERROR(INDEX(tblRegistros[Status],$L335),"")))</f>
        <v/>
      </c>
      <c r="K335" t="str">
        <f>IF($L335="","",IF(INDEX(tblRegistros[Data],$L335)&gt;$D$4,"",IFERROR(INDEX(tblRegistros[Observação],$L335),"")))</f>
        <v/>
      </c>
      <c r="L335" s="16" t="str">
        <f>IFERROR(MATCH($B$3*100000+COUNTIFS(tblRegistros[ID],$B$3,tblRegistros[Data],"&lt;"&amp;$B$4)+ROWS($L$10:L335),tblRegistros[Chave do cartão],0),"")</f>
        <v/>
      </c>
    </row>
    <row r="336" spans="1:12">
      <c r="A336" s="2" t="str">
        <f>IF($L336="","",IF(INDEX(tblRegistros[Data],$L336)&gt;$D$4,"",IFERROR(INDEX(tblRegistros[Data],$L336),"")))</f>
        <v/>
      </c>
      <c r="B336" t="str">
        <f>IF($L336="","",IF(INDEX(tblRegistros[Data],$L336)&gt;$D$4,"",IFERROR(INDEX(tblRegistros[Projeto],$L336),"")))</f>
        <v/>
      </c>
      <c r="C336" t="str">
        <f>IF($L336="","",IF(INDEX(tblRegistros[Data],$L336)&gt;$D$4,"",IFERROR(INDEX(tblRegistros[Atividade],$L336),"")))</f>
        <v/>
      </c>
      <c r="D336" s="4" t="str">
        <f>IF($L336="","",IF(INDEX(tblRegistros[Data],$L336)&gt;$D$4,"",IFERROR(INDEX(tblRegistros[Início],$L336),"")))</f>
        <v/>
      </c>
      <c r="E336" s="4" t="str">
        <f>IF($L336="","",IF(INDEX(tblRegistros[Data],$L336)&gt;$D$4,"",IFERROR(IF(INDEX(tblRegistros[Status],$L336)="EM ABERTO","",INDEX(tblRegistros[Fim],$L336)),"")))</f>
        <v/>
      </c>
      <c r="F336" s="14" t="str">
        <f>IF($L336="","",IF(INDEX(tblRegistros[Data],$L336)&gt;$D$4,"",IFERROR(IF(INDEX(tblRegistros[Status],$L336)="EM ABERTO","",INDEX(tblRegistros[Horas],$L336)),"")))</f>
        <v/>
      </c>
      <c r="G336" t="str">
        <f>IF($L336="","",IF(INDEX(tblRegistros[Data],$L336)&gt;$D$4,"",IFERROR(INDEX(tblRegistros[Base],$L336),"")))</f>
        <v/>
      </c>
      <c r="H336" s="3" t="str">
        <f>IF($L336="","",IF(INDEX(tblRegistros[Data],$L336)&gt;$D$4,"",IFERROR(INDEX(tblRegistros[Taxa aplicada],$L336),"")))</f>
        <v/>
      </c>
      <c r="I336" s="3" t="str">
        <f>IF($L336="","",IF(INDEX(tblRegistros[Data],$L336)&gt;$D$4,"",IFERROR(IF(INDEX(tblRegistros[Status],$L336)="EM ABERTO","",INDEX(tblRegistros[Valor],$L336)),"")))</f>
        <v/>
      </c>
      <c r="J336" t="str">
        <f>IF($L336="","",IF(INDEX(tblRegistros[Data],$L336)&gt;$D$4,"",IFERROR(INDEX(tblRegistros[Status],$L336),"")))</f>
        <v/>
      </c>
      <c r="K336" t="str">
        <f>IF($L336="","",IF(INDEX(tblRegistros[Data],$L336)&gt;$D$4,"",IFERROR(INDEX(tblRegistros[Observação],$L336),"")))</f>
        <v/>
      </c>
      <c r="L336" s="16" t="str">
        <f>IFERROR(MATCH($B$3*100000+COUNTIFS(tblRegistros[ID],$B$3,tblRegistros[Data],"&lt;"&amp;$B$4)+ROWS($L$10:L336),tblRegistros[Chave do cartão],0),"")</f>
        <v/>
      </c>
    </row>
    <row r="337" spans="1:12">
      <c r="A337" s="2" t="str">
        <f>IF($L337="","",IF(INDEX(tblRegistros[Data],$L337)&gt;$D$4,"",IFERROR(INDEX(tblRegistros[Data],$L337),"")))</f>
        <v/>
      </c>
      <c r="B337" t="str">
        <f>IF($L337="","",IF(INDEX(tblRegistros[Data],$L337)&gt;$D$4,"",IFERROR(INDEX(tblRegistros[Projeto],$L337),"")))</f>
        <v/>
      </c>
      <c r="C337" t="str">
        <f>IF($L337="","",IF(INDEX(tblRegistros[Data],$L337)&gt;$D$4,"",IFERROR(INDEX(tblRegistros[Atividade],$L337),"")))</f>
        <v/>
      </c>
      <c r="D337" s="4" t="str">
        <f>IF($L337="","",IF(INDEX(tblRegistros[Data],$L337)&gt;$D$4,"",IFERROR(INDEX(tblRegistros[Início],$L337),"")))</f>
        <v/>
      </c>
      <c r="E337" s="4" t="str">
        <f>IF($L337="","",IF(INDEX(tblRegistros[Data],$L337)&gt;$D$4,"",IFERROR(IF(INDEX(tblRegistros[Status],$L337)="EM ABERTO","",INDEX(tblRegistros[Fim],$L337)),"")))</f>
        <v/>
      </c>
      <c r="F337" s="14" t="str">
        <f>IF($L337="","",IF(INDEX(tblRegistros[Data],$L337)&gt;$D$4,"",IFERROR(IF(INDEX(tblRegistros[Status],$L337)="EM ABERTO","",INDEX(tblRegistros[Horas],$L337)),"")))</f>
        <v/>
      </c>
      <c r="G337" t="str">
        <f>IF($L337="","",IF(INDEX(tblRegistros[Data],$L337)&gt;$D$4,"",IFERROR(INDEX(tblRegistros[Base],$L337),"")))</f>
        <v/>
      </c>
      <c r="H337" s="3" t="str">
        <f>IF($L337="","",IF(INDEX(tblRegistros[Data],$L337)&gt;$D$4,"",IFERROR(INDEX(tblRegistros[Taxa aplicada],$L337),"")))</f>
        <v/>
      </c>
      <c r="I337" s="3" t="str">
        <f>IF($L337="","",IF(INDEX(tblRegistros[Data],$L337)&gt;$D$4,"",IFERROR(IF(INDEX(tblRegistros[Status],$L337)="EM ABERTO","",INDEX(tblRegistros[Valor],$L337)),"")))</f>
        <v/>
      </c>
      <c r="J337" t="str">
        <f>IF($L337="","",IF(INDEX(tblRegistros[Data],$L337)&gt;$D$4,"",IFERROR(INDEX(tblRegistros[Status],$L337),"")))</f>
        <v/>
      </c>
      <c r="K337" t="str">
        <f>IF($L337="","",IF(INDEX(tblRegistros[Data],$L337)&gt;$D$4,"",IFERROR(INDEX(tblRegistros[Observação],$L337),"")))</f>
        <v/>
      </c>
      <c r="L337" s="16" t="str">
        <f>IFERROR(MATCH($B$3*100000+COUNTIFS(tblRegistros[ID],$B$3,tblRegistros[Data],"&lt;"&amp;$B$4)+ROWS($L$10:L337),tblRegistros[Chave do cartão],0),"")</f>
        <v/>
      </c>
    </row>
    <row r="338" spans="1:12">
      <c r="A338" s="2" t="str">
        <f>IF($L338="","",IF(INDEX(tblRegistros[Data],$L338)&gt;$D$4,"",IFERROR(INDEX(tblRegistros[Data],$L338),"")))</f>
        <v/>
      </c>
      <c r="B338" t="str">
        <f>IF($L338="","",IF(INDEX(tblRegistros[Data],$L338)&gt;$D$4,"",IFERROR(INDEX(tblRegistros[Projeto],$L338),"")))</f>
        <v/>
      </c>
      <c r="C338" t="str">
        <f>IF($L338="","",IF(INDEX(tblRegistros[Data],$L338)&gt;$D$4,"",IFERROR(INDEX(tblRegistros[Atividade],$L338),"")))</f>
        <v/>
      </c>
      <c r="D338" s="4" t="str">
        <f>IF($L338="","",IF(INDEX(tblRegistros[Data],$L338)&gt;$D$4,"",IFERROR(INDEX(tblRegistros[Início],$L338),"")))</f>
        <v/>
      </c>
      <c r="E338" s="4" t="str">
        <f>IF($L338="","",IF(INDEX(tblRegistros[Data],$L338)&gt;$D$4,"",IFERROR(IF(INDEX(tblRegistros[Status],$L338)="EM ABERTO","",INDEX(tblRegistros[Fim],$L338)),"")))</f>
        <v/>
      </c>
      <c r="F338" s="14" t="str">
        <f>IF($L338="","",IF(INDEX(tblRegistros[Data],$L338)&gt;$D$4,"",IFERROR(IF(INDEX(tblRegistros[Status],$L338)="EM ABERTO","",INDEX(tblRegistros[Horas],$L338)),"")))</f>
        <v/>
      </c>
      <c r="G338" t="str">
        <f>IF($L338="","",IF(INDEX(tblRegistros[Data],$L338)&gt;$D$4,"",IFERROR(INDEX(tblRegistros[Base],$L338),"")))</f>
        <v/>
      </c>
      <c r="H338" s="3" t="str">
        <f>IF($L338="","",IF(INDEX(tblRegistros[Data],$L338)&gt;$D$4,"",IFERROR(INDEX(tblRegistros[Taxa aplicada],$L338),"")))</f>
        <v/>
      </c>
      <c r="I338" s="3" t="str">
        <f>IF($L338="","",IF(INDEX(tblRegistros[Data],$L338)&gt;$D$4,"",IFERROR(IF(INDEX(tblRegistros[Status],$L338)="EM ABERTO","",INDEX(tblRegistros[Valor],$L338)),"")))</f>
        <v/>
      </c>
      <c r="J338" t="str">
        <f>IF($L338="","",IF(INDEX(tblRegistros[Data],$L338)&gt;$D$4,"",IFERROR(INDEX(tblRegistros[Status],$L338),"")))</f>
        <v/>
      </c>
      <c r="K338" t="str">
        <f>IF($L338="","",IF(INDEX(tblRegistros[Data],$L338)&gt;$D$4,"",IFERROR(INDEX(tblRegistros[Observação],$L338),"")))</f>
        <v/>
      </c>
      <c r="L338" s="16" t="str">
        <f>IFERROR(MATCH($B$3*100000+COUNTIFS(tblRegistros[ID],$B$3,tblRegistros[Data],"&lt;"&amp;$B$4)+ROWS($L$10:L338),tblRegistros[Chave do cartão],0),"")</f>
        <v/>
      </c>
    </row>
    <row r="339" spans="1:12">
      <c r="A339" s="2" t="str">
        <f>IF($L339="","",IF(INDEX(tblRegistros[Data],$L339)&gt;$D$4,"",IFERROR(INDEX(tblRegistros[Data],$L339),"")))</f>
        <v/>
      </c>
      <c r="B339" t="str">
        <f>IF($L339="","",IF(INDEX(tblRegistros[Data],$L339)&gt;$D$4,"",IFERROR(INDEX(tblRegistros[Projeto],$L339),"")))</f>
        <v/>
      </c>
      <c r="C339" t="str">
        <f>IF($L339="","",IF(INDEX(tblRegistros[Data],$L339)&gt;$D$4,"",IFERROR(INDEX(tblRegistros[Atividade],$L339),"")))</f>
        <v/>
      </c>
      <c r="D339" s="4" t="str">
        <f>IF($L339="","",IF(INDEX(tblRegistros[Data],$L339)&gt;$D$4,"",IFERROR(INDEX(tblRegistros[Início],$L339),"")))</f>
        <v/>
      </c>
      <c r="E339" s="4" t="str">
        <f>IF($L339="","",IF(INDEX(tblRegistros[Data],$L339)&gt;$D$4,"",IFERROR(IF(INDEX(tblRegistros[Status],$L339)="EM ABERTO","",INDEX(tblRegistros[Fim],$L339)),"")))</f>
        <v/>
      </c>
      <c r="F339" s="14" t="str">
        <f>IF($L339="","",IF(INDEX(tblRegistros[Data],$L339)&gt;$D$4,"",IFERROR(IF(INDEX(tblRegistros[Status],$L339)="EM ABERTO","",INDEX(tblRegistros[Horas],$L339)),"")))</f>
        <v/>
      </c>
      <c r="G339" t="str">
        <f>IF($L339="","",IF(INDEX(tblRegistros[Data],$L339)&gt;$D$4,"",IFERROR(INDEX(tblRegistros[Base],$L339),"")))</f>
        <v/>
      </c>
      <c r="H339" s="3" t="str">
        <f>IF($L339="","",IF(INDEX(tblRegistros[Data],$L339)&gt;$D$4,"",IFERROR(INDEX(tblRegistros[Taxa aplicada],$L339),"")))</f>
        <v/>
      </c>
      <c r="I339" s="3" t="str">
        <f>IF($L339="","",IF(INDEX(tblRegistros[Data],$L339)&gt;$D$4,"",IFERROR(IF(INDEX(tblRegistros[Status],$L339)="EM ABERTO","",INDEX(tblRegistros[Valor],$L339)),"")))</f>
        <v/>
      </c>
      <c r="J339" t="str">
        <f>IF($L339="","",IF(INDEX(tblRegistros[Data],$L339)&gt;$D$4,"",IFERROR(INDEX(tblRegistros[Status],$L339),"")))</f>
        <v/>
      </c>
      <c r="K339" t="str">
        <f>IF($L339="","",IF(INDEX(tblRegistros[Data],$L339)&gt;$D$4,"",IFERROR(INDEX(tblRegistros[Observação],$L339),"")))</f>
        <v/>
      </c>
      <c r="L339" s="16" t="str">
        <f>IFERROR(MATCH($B$3*100000+COUNTIFS(tblRegistros[ID],$B$3,tblRegistros[Data],"&lt;"&amp;$B$4)+ROWS($L$10:L339),tblRegistros[Chave do cartão],0),"")</f>
        <v/>
      </c>
    </row>
    <row r="340" spans="1:12">
      <c r="A340" s="2" t="str">
        <f>IF($L340="","",IF(INDEX(tblRegistros[Data],$L340)&gt;$D$4,"",IFERROR(INDEX(tblRegistros[Data],$L340),"")))</f>
        <v/>
      </c>
      <c r="B340" t="str">
        <f>IF($L340="","",IF(INDEX(tblRegistros[Data],$L340)&gt;$D$4,"",IFERROR(INDEX(tblRegistros[Projeto],$L340),"")))</f>
        <v/>
      </c>
      <c r="C340" t="str">
        <f>IF($L340="","",IF(INDEX(tblRegistros[Data],$L340)&gt;$D$4,"",IFERROR(INDEX(tblRegistros[Atividade],$L340),"")))</f>
        <v/>
      </c>
      <c r="D340" s="4" t="str">
        <f>IF($L340="","",IF(INDEX(tblRegistros[Data],$L340)&gt;$D$4,"",IFERROR(INDEX(tblRegistros[Início],$L340),"")))</f>
        <v/>
      </c>
      <c r="E340" s="4" t="str">
        <f>IF($L340="","",IF(INDEX(tblRegistros[Data],$L340)&gt;$D$4,"",IFERROR(IF(INDEX(tblRegistros[Status],$L340)="EM ABERTO","",INDEX(tblRegistros[Fim],$L340)),"")))</f>
        <v/>
      </c>
      <c r="F340" s="14" t="str">
        <f>IF($L340="","",IF(INDEX(tblRegistros[Data],$L340)&gt;$D$4,"",IFERROR(IF(INDEX(tblRegistros[Status],$L340)="EM ABERTO","",INDEX(tblRegistros[Horas],$L340)),"")))</f>
        <v/>
      </c>
      <c r="G340" t="str">
        <f>IF($L340="","",IF(INDEX(tblRegistros[Data],$L340)&gt;$D$4,"",IFERROR(INDEX(tblRegistros[Base],$L340),"")))</f>
        <v/>
      </c>
      <c r="H340" s="3" t="str">
        <f>IF($L340="","",IF(INDEX(tblRegistros[Data],$L340)&gt;$D$4,"",IFERROR(INDEX(tblRegistros[Taxa aplicada],$L340),"")))</f>
        <v/>
      </c>
      <c r="I340" s="3" t="str">
        <f>IF($L340="","",IF(INDEX(tblRegistros[Data],$L340)&gt;$D$4,"",IFERROR(IF(INDEX(tblRegistros[Status],$L340)="EM ABERTO","",INDEX(tblRegistros[Valor],$L340)),"")))</f>
        <v/>
      </c>
      <c r="J340" t="str">
        <f>IF($L340="","",IF(INDEX(tblRegistros[Data],$L340)&gt;$D$4,"",IFERROR(INDEX(tblRegistros[Status],$L340),"")))</f>
        <v/>
      </c>
      <c r="K340" t="str">
        <f>IF($L340="","",IF(INDEX(tblRegistros[Data],$L340)&gt;$D$4,"",IFERROR(INDEX(tblRegistros[Observação],$L340),"")))</f>
        <v/>
      </c>
      <c r="L340" s="16" t="str">
        <f>IFERROR(MATCH($B$3*100000+COUNTIFS(tblRegistros[ID],$B$3,tblRegistros[Data],"&lt;"&amp;$B$4)+ROWS($L$10:L340),tblRegistros[Chave do cartão],0),"")</f>
        <v/>
      </c>
    </row>
    <row r="341" spans="1:12">
      <c r="A341" s="2" t="str">
        <f>IF($L341="","",IF(INDEX(tblRegistros[Data],$L341)&gt;$D$4,"",IFERROR(INDEX(tblRegistros[Data],$L341),"")))</f>
        <v/>
      </c>
      <c r="B341" t="str">
        <f>IF($L341="","",IF(INDEX(tblRegistros[Data],$L341)&gt;$D$4,"",IFERROR(INDEX(tblRegistros[Projeto],$L341),"")))</f>
        <v/>
      </c>
      <c r="C341" t="str">
        <f>IF($L341="","",IF(INDEX(tblRegistros[Data],$L341)&gt;$D$4,"",IFERROR(INDEX(tblRegistros[Atividade],$L341),"")))</f>
        <v/>
      </c>
      <c r="D341" s="4" t="str">
        <f>IF($L341="","",IF(INDEX(tblRegistros[Data],$L341)&gt;$D$4,"",IFERROR(INDEX(tblRegistros[Início],$L341),"")))</f>
        <v/>
      </c>
      <c r="E341" s="4" t="str">
        <f>IF($L341="","",IF(INDEX(tblRegistros[Data],$L341)&gt;$D$4,"",IFERROR(IF(INDEX(tblRegistros[Status],$L341)="EM ABERTO","",INDEX(tblRegistros[Fim],$L341)),"")))</f>
        <v/>
      </c>
      <c r="F341" s="14" t="str">
        <f>IF($L341="","",IF(INDEX(tblRegistros[Data],$L341)&gt;$D$4,"",IFERROR(IF(INDEX(tblRegistros[Status],$L341)="EM ABERTO","",INDEX(tblRegistros[Horas],$L341)),"")))</f>
        <v/>
      </c>
      <c r="G341" t="str">
        <f>IF($L341="","",IF(INDEX(tblRegistros[Data],$L341)&gt;$D$4,"",IFERROR(INDEX(tblRegistros[Base],$L341),"")))</f>
        <v/>
      </c>
      <c r="H341" s="3" t="str">
        <f>IF($L341="","",IF(INDEX(tblRegistros[Data],$L341)&gt;$D$4,"",IFERROR(INDEX(tblRegistros[Taxa aplicada],$L341),"")))</f>
        <v/>
      </c>
      <c r="I341" s="3" t="str">
        <f>IF($L341="","",IF(INDEX(tblRegistros[Data],$L341)&gt;$D$4,"",IFERROR(IF(INDEX(tblRegistros[Status],$L341)="EM ABERTO","",INDEX(tblRegistros[Valor],$L341)),"")))</f>
        <v/>
      </c>
      <c r="J341" t="str">
        <f>IF($L341="","",IF(INDEX(tblRegistros[Data],$L341)&gt;$D$4,"",IFERROR(INDEX(tblRegistros[Status],$L341),"")))</f>
        <v/>
      </c>
      <c r="K341" t="str">
        <f>IF($L341="","",IF(INDEX(tblRegistros[Data],$L341)&gt;$D$4,"",IFERROR(INDEX(tblRegistros[Observação],$L341),"")))</f>
        <v/>
      </c>
      <c r="L341" s="16" t="str">
        <f>IFERROR(MATCH($B$3*100000+COUNTIFS(tblRegistros[ID],$B$3,tblRegistros[Data],"&lt;"&amp;$B$4)+ROWS($L$10:L341),tblRegistros[Chave do cartão],0),"")</f>
        <v/>
      </c>
    </row>
    <row r="342" spans="1:12">
      <c r="A342" s="2" t="str">
        <f>IF($L342="","",IF(INDEX(tblRegistros[Data],$L342)&gt;$D$4,"",IFERROR(INDEX(tblRegistros[Data],$L342),"")))</f>
        <v/>
      </c>
      <c r="B342" t="str">
        <f>IF($L342="","",IF(INDEX(tblRegistros[Data],$L342)&gt;$D$4,"",IFERROR(INDEX(tblRegistros[Projeto],$L342),"")))</f>
        <v/>
      </c>
      <c r="C342" t="str">
        <f>IF($L342="","",IF(INDEX(tblRegistros[Data],$L342)&gt;$D$4,"",IFERROR(INDEX(tblRegistros[Atividade],$L342),"")))</f>
        <v/>
      </c>
      <c r="D342" s="4" t="str">
        <f>IF($L342="","",IF(INDEX(tblRegistros[Data],$L342)&gt;$D$4,"",IFERROR(INDEX(tblRegistros[Início],$L342),"")))</f>
        <v/>
      </c>
      <c r="E342" s="4" t="str">
        <f>IF($L342="","",IF(INDEX(tblRegistros[Data],$L342)&gt;$D$4,"",IFERROR(IF(INDEX(tblRegistros[Status],$L342)="EM ABERTO","",INDEX(tblRegistros[Fim],$L342)),"")))</f>
        <v/>
      </c>
      <c r="F342" s="14" t="str">
        <f>IF($L342="","",IF(INDEX(tblRegistros[Data],$L342)&gt;$D$4,"",IFERROR(IF(INDEX(tblRegistros[Status],$L342)="EM ABERTO","",INDEX(tblRegistros[Horas],$L342)),"")))</f>
        <v/>
      </c>
      <c r="G342" t="str">
        <f>IF($L342="","",IF(INDEX(tblRegistros[Data],$L342)&gt;$D$4,"",IFERROR(INDEX(tblRegistros[Base],$L342),"")))</f>
        <v/>
      </c>
      <c r="H342" s="3" t="str">
        <f>IF($L342="","",IF(INDEX(tblRegistros[Data],$L342)&gt;$D$4,"",IFERROR(INDEX(tblRegistros[Taxa aplicada],$L342),"")))</f>
        <v/>
      </c>
      <c r="I342" s="3" t="str">
        <f>IF($L342="","",IF(INDEX(tblRegistros[Data],$L342)&gt;$D$4,"",IFERROR(IF(INDEX(tblRegistros[Status],$L342)="EM ABERTO","",INDEX(tblRegistros[Valor],$L342)),"")))</f>
        <v/>
      </c>
      <c r="J342" t="str">
        <f>IF($L342="","",IF(INDEX(tblRegistros[Data],$L342)&gt;$D$4,"",IFERROR(INDEX(tblRegistros[Status],$L342),"")))</f>
        <v/>
      </c>
      <c r="K342" t="str">
        <f>IF($L342="","",IF(INDEX(tblRegistros[Data],$L342)&gt;$D$4,"",IFERROR(INDEX(tblRegistros[Observação],$L342),"")))</f>
        <v/>
      </c>
      <c r="L342" s="16" t="str">
        <f>IFERROR(MATCH($B$3*100000+COUNTIFS(tblRegistros[ID],$B$3,tblRegistros[Data],"&lt;"&amp;$B$4)+ROWS($L$10:L342),tblRegistros[Chave do cartão],0),"")</f>
        <v/>
      </c>
    </row>
    <row r="343" spans="1:12">
      <c r="A343" s="2" t="str">
        <f>IF($L343="","",IF(INDEX(tblRegistros[Data],$L343)&gt;$D$4,"",IFERROR(INDEX(tblRegistros[Data],$L343),"")))</f>
        <v/>
      </c>
      <c r="B343" t="str">
        <f>IF($L343="","",IF(INDEX(tblRegistros[Data],$L343)&gt;$D$4,"",IFERROR(INDEX(tblRegistros[Projeto],$L343),"")))</f>
        <v/>
      </c>
      <c r="C343" t="str">
        <f>IF($L343="","",IF(INDEX(tblRegistros[Data],$L343)&gt;$D$4,"",IFERROR(INDEX(tblRegistros[Atividade],$L343),"")))</f>
        <v/>
      </c>
      <c r="D343" s="4" t="str">
        <f>IF($L343="","",IF(INDEX(tblRegistros[Data],$L343)&gt;$D$4,"",IFERROR(INDEX(tblRegistros[Início],$L343),"")))</f>
        <v/>
      </c>
      <c r="E343" s="4" t="str">
        <f>IF($L343="","",IF(INDEX(tblRegistros[Data],$L343)&gt;$D$4,"",IFERROR(IF(INDEX(tblRegistros[Status],$L343)="EM ABERTO","",INDEX(tblRegistros[Fim],$L343)),"")))</f>
        <v/>
      </c>
      <c r="F343" s="14" t="str">
        <f>IF($L343="","",IF(INDEX(tblRegistros[Data],$L343)&gt;$D$4,"",IFERROR(IF(INDEX(tblRegistros[Status],$L343)="EM ABERTO","",INDEX(tblRegistros[Horas],$L343)),"")))</f>
        <v/>
      </c>
      <c r="G343" t="str">
        <f>IF($L343="","",IF(INDEX(tblRegistros[Data],$L343)&gt;$D$4,"",IFERROR(INDEX(tblRegistros[Base],$L343),"")))</f>
        <v/>
      </c>
      <c r="H343" s="3" t="str">
        <f>IF($L343="","",IF(INDEX(tblRegistros[Data],$L343)&gt;$D$4,"",IFERROR(INDEX(tblRegistros[Taxa aplicada],$L343),"")))</f>
        <v/>
      </c>
      <c r="I343" s="3" t="str">
        <f>IF($L343="","",IF(INDEX(tblRegistros[Data],$L343)&gt;$D$4,"",IFERROR(IF(INDEX(tblRegistros[Status],$L343)="EM ABERTO","",INDEX(tblRegistros[Valor],$L343)),"")))</f>
        <v/>
      </c>
      <c r="J343" t="str">
        <f>IF($L343="","",IF(INDEX(tblRegistros[Data],$L343)&gt;$D$4,"",IFERROR(INDEX(tblRegistros[Status],$L343),"")))</f>
        <v/>
      </c>
      <c r="K343" t="str">
        <f>IF($L343="","",IF(INDEX(tblRegistros[Data],$L343)&gt;$D$4,"",IFERROR(INDEX(tblRegistros[Observação],$L343),"")))</f>
        <v/>
      </c>
      <c r="L343" s="16" t="str">
        <f>IFERROR(MATCH($B$3*100000+COUNTIFS(tblRegistros[ID],$B$3,tblRegistros[Data],"&lt;"&amp;$B$4)+ROWS($L$10:L343),tblRegistros[Chave do cartão],0),"")</f>
        <v/>
      </c>
    </row>
    <row r="344" spans="1:12">
      <c r="A344" s="2" t="str">
        <f>IF($L344="","",IF(INDEX(tblRegistros[Data],$L344)&gt;$D$4,"",IFERROR(INDEX(tblRegistros[Data],$L344),"")))</f>
        <v/>
      </c>
      <c r="B344" t="str">
        <f>IF($L344="","",IF(INDEX(tblRegistros[Data],$L344)&gt;$D$4,"",IFERROR(INDEX(tblRegistros[Projeto],$L344),"")))</f>
        <v/>
      </c>
      <c r="C344" t="str">
        <f>IF($L344="","",IF(INDEX(tblRegistros[Data],$L344)&gt;$D$4,"",IFERROR(INDEX(tblRegistros[Atividade],$L344),"")))</f>
        <v/>
      </c>
      <c r="D344" s="4" t="str">
        <f>IF($L344="","",IF(INDEX(tblRegistros[Data],$L344)&gt;$D$4,"",IFERROR(INDEX(tblRegistros[Início],$L344),"")))</f>
        <v/>
      </c>
      <c r="E344" s="4" t="str">
        <f>IF($L344="","",IF(INDEX(tblRegistros[Data],$L344)&gt;$D$4,"",IFERROR(IF(INDEX(tblRegistros[Status],$L344)="EM ABERTO","",INDEX(tblRegistros[Fim],$L344)),"")))</f>
        <v/>
      </c>
      <c r="F344" s="14" t="str">
        <f>IF($L344="","",IF(INDEX(tblRegistros[Data],$L344)&gt;$D$4,"",IFERROR(IF(INDEX(tblRegistros[Status],$L344)="EM ABERTO","",INDEX(tblRegistros[Horas],$L344)),"")))</f>
        <v/>
      </c>
      <c r="G344" t="str">
        <f>IF($L344="","",IF(INDEX(tblRegistros[Data],$L344)&gt;$D$4,"",IFERROR(INDEX(tblRegistros[Base],$L344),"")))</f>
        <v/>
      </c>
      <c r="H344" s="3" t="str">
        <f>IF($L344="","",IF(INDEX(tblRegistros[Data],$L344)&gt;$D$4,"",IFERROR(INDEX(tblRegistros[Taxa aplicada],$L344),"")))</f>
        <v/>
      </c>
      <c r="I344" s="3" t="str">
        <f>IF($L344="","",IF(INDEX(tblRegistros[Data],$L344)&gt;$D$4,"",IFERROR(IF(INDEX(tblRegistros[Status],$L344)="EM ABERTO","",INDEX(tblRegistros[Valor],$L344)),"")))</f>
        <v/>
      </c>
      <c r="J344" t="str">
        <f>IF($L344="","",IF(INDEX(tblRegistros[Data],$L344)&gt;$D$4,"",IFERROR(INDEX(tblRegistros[Status],$L344),"")))</f>
        <v/>
      </c>
      <c r="K344" t="str">
        <f>IF($L344="","",IF(INDEX(tblRegistros[Data],$L344)&gt;$D$4,"",IFERROR(INDEX(tblRegistros[Observação],$L344),"")))</f>
        <v/>
      </c>
      <c r="L344" s="16" t="str">
        <f>IFERROR(MATCH($B$3*100000+COUNTIFS(tblRegistros[ID],$B$3,tblRegistros[Data],"&lt;"&amp;$B$4)+ROWS($L$10:L344),tblRegistros[Chave do cartão],0),"")</f>
        <v/>
      </c>
    </row>
    <row r="345" spans="1:12">
      <c r="A345" s="2" t="str">
        <f>IF($L345="","",IF(INDEX(tblRegistros[Data],$L345)&gt;$D$4,"",IFERROR(INDEX(tblRegistros[Data],$L345),"")))</f>
        <v/>
      </c>
      <c r="B345" t="str">
        <f>IF($L345="","",IF(INDEX(tblRegistros[Data],$L345)&gt;$D$4,"",IFERROR(INDEX(tblRegistros[Projeto],$L345),"")))</f>
        <v/>
      </c>
      <c r="C345" t="str">
        <f>IF($L345="","",IF(INDEX(tblRegistros[Data],$L345)&gt;$D$4,"",IFERROR(INDEX(tblRegistros[Atividade],$L345),"")))</f>
        <v/>
      </c>
      <c r="D345" s="4" t="str">
        <f>IF($L345="","",IF(INDEX(tblRegistros[Data],$L345)&gt;$D$4,"",IFERROR(INDEX(tblRegistros[Início],$L345),"")))</f>
        <v/>
      </c>
      <c r="E345" s="4" t="str">
        <f>IF($L345="","",IF(INDEX(tblRegistros[Data],$L345)&gt;$D$4,"",IFERROR(IF(INDEX(tblRegistros[Status],$L345)="EM ABERTO","",INDEX(tblRegistros[Fim],$L345)),"")))</f>
        <v/>
      </c>
      <c r="F345" s="14" t="str">
        <f>IF($L345="","",IF(INDEX(tblRegistros[Data],$L345)&gt;$D$4,"",IFERROR(IF(INDEX(tblRegistros[Status],$L345)="EM ABERTO","",INDEX(tblRegistros[Horas],$L345)),"")))</f>
        <v/>
      </c>
      <c r="G345" t="str">
        <f>IF($L345="","",IF(INDEX(tblRegistros[Data],$L345)&gt;$D$4,"",IFERROR(INDEX(tblRegistros[Base],$L345),"")))</f>
        <v/>
      </c>
      <c r="H345" s="3" t="str">
        <f>IF($L345="","",IF(INDEX(tblRegistros[Data],$L345)&gt;$D$4,"",IFERROR(INDEX(tblRegistros[Taxa aplicada],$L345),"")))</f>
        <v/>
      </c>
      <c r="I345" s="3" t="str">
        <f>IF($L345="","",IF(INDEX(tblRegistros[Data],$L345)&gt;$D$4,"",IFERROR(IF(INDEX(tblRegistros[Status],$L345)="EM ABERTO","",INDEX(tblRegistros[Valor],$L345)),"")))</f>
        <v/>
      </c>
      <c r="J345" t="str">
        <f>IF($L345="","",IF(INDEX(tblRegistros[Data],$L345)&gt;$D$4,"",IFERROR(INDEX(tblRegistros[Status],$L345),"")))</f>
        <v/>
      </c>
      <c r="K345" t="str">
        <f>IF($L345="","",IF(INDEX(tblRegistros[Data],$L345)&gt;$D$4,"",IFERROR(INDEX(tblRegistros[Observação],$L345),"")))</f>
        <v/>
      </c>
      <c r="L345" s="16" t="str">
        <f>IFERROR(MATCH($B$3*100000+COUNTIFS(tblRegistros[ID],$B$3,tblRegistros[Data],"&lt;"&amp;$B$4)+ROWS($L$10:L345),tblRegistros[Chave do cartão],0),"")</f>
        <v/>
      </c>
    </row>
    <row r="346" spans="1:12">
      <c r="A346" s="2" t="str">
        <f>IF($L346="","",IF(INDEX(tblRegistros[Data],$L346)&gt;$D$4,"",IFERROR(INDEX(tblRegistros[Data],$L346),"")))</f>
        <v/>
      </c>
      <c r="B346" t="str">
        <f>IF($L346="","",IF(INDEX(tblRegistros[Data],$L346)&gt;$D$4,"",IFERROR(INDEX(tblRegistros[Projeto],$L346),"")))</f>
        <v/>
      </c>
      <c r="C346" t="str">
        <f>IF($L346="","",IF(INDEX(tblRegistros[Data],$L346)&gt;$D$4,"",IFERROR(INDEX(tblRegistros[Atividade],$L346),"")))</f>
        <v/>
      </c>
      <c r="D346" s="4" t="str">
        <f>IF($L346="","",IF(INDEX(tblRegistros[Data],$L346)&gt;$D$4,"",IFERROR(INDEX(tblRegistros[Início],$L346),"")))</f>
        <v/>
      </c>
      <c r="E346" s="4" t="str">
        <f>IF($L346="","",IF(INDEX(tblRegistros[Data],$L346)&gt;$D$4,"",IFERROR(IF(INDEX(tblRegistros[Status],$L346)="EM ABERTO","",INDEX(tblRegistros[Fim],$L346)),"")))</f>
        <v/>
      </c>
      <c r="F346" s="14" t="str">
        <f>IF($L346="","",IF(INDEX(tblRegistros[Data],$L346)&gt;$D$4,"",IFERROR(IF(INDEX(tblRegistros[Status],$L346)="EM ABERTO","",INDEX(tblRegistros[Horas],$L346)),"")))</f>
        <v/>
      </c>
      <c r="G346" t="str">
        <f>IF($L346="","",IF(INDEX(tblRegistros[Data],$L346)&gt;$D$4,"",IFERROR(INDEX(tblRegistros[Base],$L346),"")))</f>
        <v/>
      </c>
      <c r="H346" s="3" t="str">
        <f>IF($L346="","",IF(INDEX(tblRegistros[Data],$L346)&gt;$D$4,"",IFERROR(INDEX(tblRegistros[Taxa aplicada],$L346),"")))</f>
        <v/>
      </c>
      <c r="I346" s="3" t="str">
        <f>IF($L346="","",IF(INDEX(tblRegistros[Data],$L346)&gt;$D$4,"",IFERROR(IF(INDEX(tblRegistros[Status],$L346)="EM ABERTO","",INDEX(tblRegistros[Valor],$L346)),"")))</f>
        <v/>
      </c>
      <c r="J346" t="str">
        <f>IF($L346="","",IF(INDEX(tblRegistros[Data],$L346)&gt;$D$4,"",IFERROR(INDEX(tblRegistros[Status],$L346),"")))</f>
        <v/>
      </c>
      <c r="K346" t="str">
        <f>IF($L346="","",IF(INDEX(tblRegistros[Data],$L346)&gt;$D$4,"",IFERROR(INDEX(tblRegistros[Observação],$L346),"")))</f>
        <v/>
      </c>
      <c r="L346" s="16" t="str">
        <f>IFERROR(MATCH($B$3*100000+COUNTIFS(tblRegistros[ID],$B$3,tblRegistros[Data],"&lt;"&amp;$B$4)+ROWS($L$10:L346),tblRegistros[Chave do cartão],0),"")</f>
        <v/>
      </c>
    </row>
    <row r="347" spans="1:12">
      <c r="A347" s="2" t="str">
        <f>IF($L347="","",IF(INDEX(tblRegistros[Data],$L347)&gt;$D$4,"",IFERROR(INDEX(tblRegistros[Data],$L347),"")))</f>
        <v/>
      </c>
      <c r="B347" t="str">
        <f>IF($L347="","",IF(INDEX(tblRegistros[Data],$L347)&gt;$D$4,"",IFERROR(INDEX(tblRegistros[Projeto],$L347),"")))</f>
        <v/>
      </c>
      <c r="C347" t="str">
        <f>IF($L347="","",IF(INDEX(tblRegistros[Data],$L347)&gt;$D$4,"",IFERROR(INDEX(tblRegistros[Atividade],$L347),"")))</f>
        <v/>
      </c>
      <c r="D347" s="4" t="str">
        <f>IF($L347="","",IF(INDEX(tblRegistros[Data],$L347)&gt;$D$4,"",IFERROR(INDEX(tblRegistros[Início],$L347),"")))</f>
        <v/>
      </c>
      <c r="E347" s="4" t="str">
        <f>IF($L347="","",IF(INDEX(tblRegistros[Data],$L347)&gt;$D$4,"",IFERROR(IF(INDEX(tblRegistros[Status],$L347)="EM ABERTO","",INDEX(tblRegistros[Fim],$L347)),"")))</f>
        <v/>
      </c>
      <c r="F347" s="14" t="str">
        <f>IF($L347="","",IF(INDEX(tblRegistros[Data],$L347)&gt;$D$4,"",IFERROR(IF(INDEX(tblRegistros[Status],$L347)="EM ABERTO","",INDEX(tblRegistros[Horas],$L347)),"")))</f>
        <v/>
      </c>
      <c r="G347" t="str">
        <f>IF($L347="","",IF(INDEX(tblRegistros[Data],$L347)&gt;$D$4,"",IFERROR(INDEX(tblRegistros[Base],$L347),"")))</f>
        <v/>
      </c>
      <c r="H347" s="3" t="str">
        <f>IF($L347="","",IF(INDEX(tblRegistros[Data],$L347)&gt;$D$4,"",IFERROR(INDEX(tblRegistros[Taxa aplicada],$L347),"")))</f>
        <v/>
      </c>
      <c r="I347" s="3" t="str">
        <f>IF($L347="","",IF(INDEX(tblRegistros[Data],$L347)&gt;$D$4,"",IFERROR(IF(INDEX(tblRegistros[Status],$L347)="EM ABERTO","",INDEX(tblRegistros[Valor],$L347)),"")))</f>
        <v/>
      </c>
      <c r="J347" t="str">
        <f>IF($L347="","",IF(INDEX(tblRegistros[Data],$L347)&gt;$D$4,"",IFERROR(INDEX(tblRegistros[Status],$L347),"")))</f>
        <v/>
      </c>
      <c r="K347" t="str">
        <f>IF($L347="","",IF(INDEX(tblRegistros[Data],$L347)&gt;$D$4,"",IFERROR(INDEX(tblRegistros[Observação],$L347),"")))</f>
        <v/>
      </c>
      <c r="L347" s="16" t="str">
        <f>IFERROR(MATCH($B$3*100000+COUNTIFS(tblRegistros[ID],$B$3,tblRegistros[Data],"&lt;"&amp;$B$4)+ROWS($L$10:L347),tblRegistros[Chave do cartão],0),"")</f>
        <v/>
      </c>
    </row>
    <row r="348" spans="1:12">
      <c r="A348" s="2" t="str">
        <f>IF($L348="","",IF(INDEX(tblRegistros[Data],$L348)&gt;$D$4,"",IFERROR(INDEX(tblRegistros[Data],$L348),"")))</f>
        <v/>
      </c>
      <c r="B348" t="str">
        <f>IF($L348="","",IF(INDEX(tblRegistros[Data],$L348)&gt;$D$4,"",IFERROR(INDEX(tblRegistros[Projeto],$L348),"")))</f>
        <v/>
      </c>
      <c r="C348" t="str">
        <f>IF($L348="","",IF(INDEX(tblRegistros[Data],$L348)&gt;$D$4,"",IFERROR(INDEX(tblRegistros[Atividade],$L348),"")))</f>
        <v/>
      </c>
      <c r="D348" s="4" t="str">
        <f>IF($L348="","",IF(INDEX(tblRegistros[Data],$L348)&gt;$D$4,"",IFERROR(INDEX(tblRegistros[Início],$L348),"")))</f>
        <v/>
      </c>
      <c r="E348" s="4" t="str">
        <f>IF($L348="","",IF(INDEX(tblRegistros[Data],$L348)&gt;$D$4,"",IFERROR(IF(INDEX(tblRegistros[Status],$L348)="EM ABERTO","",INDEX(tblRegistros[Fim],$L348)),"")))</f>
        <v/>
      </c>
      <c r="F348" s="14" t="str">
        <f>IF($L348="","",IF(INDEX(tblRegistros[Data],$L348)&gt;$D$4,"",IFERROR(IF(INDEX(tblRegistros[Status],$L348)="EM ABERTO","",INDEX(tblRegistros[Horas],$L348)),"")))</f>
        <v/>
      </c>
      <c r="G348" t="str">
        <f>IF($L348="","",IF(INDEX(tblRegistros[Data],$L348)&gt;$D$4,"",IFERROR(INDEX(tblRegistros[Base],$L348),"")))</f>
        <v/>
      </c>
      <c r="H348" s="3" t="str">
        <f>IF($L348="","",IF(INDEX(tblRegistros[Data],$L348)&gt;$D$4,"",IFERROR(INDEX(tblRegistros[Taxa aplicada],$L348),"")))</f>
        <v/>
      </c>
      <c r="I348" s="3" t="str">
        <f>IF($L348="","",IF(INDEX(tblRegistros[Data],$L348)&gt;$D$4,"",IFERROR(IF(INDEX(tblRegistros[Status],$L348)="EM ABERTO","",INDEX(tblRegistros[Valor],$L348)),"")))</f>
        <v/>
      </c>
      <c r="J348" t="str">
        <f>IF($L348="","",IF(INDEX(tblRegistros[Data],$L348)&gt;$D$4,"",IFERROR(INDEX(tblRegistros[Status],$L348),"")))</f>
        <v/>
      </c>
      <c r="K348" t="str">
        <f>IF($L348="","",IF(INDEX(tblRegistros[Data],$L348)&gt;$D$4,"",IFERROR(INDEX(tblRegistros[Observação],$L348),"")))</f>
        <v/>
      </c>
      <c r="L348" s="16" t="str">
        <f>IFERROR(MATCH($B$3*100000+COUNTIFS(tblRegistros[ID],$B$3,tblRegistros[Data],"&lt;"&amp;$B$4)+ROWS($L$10:L348),tblRegistros[Chave do cartão],0),"")</f>
        <v/>
      </c>
    </row>
    <row r="349" spans="1:12">
      <c r="A349" s="2" t="str">
        <f>IF($L349="","",IF(INDEX(tblRegistros[Data],$L349)&gt;$D$4,"",IFERROR(INDEX(tblRegistros[Data],$L349),"")))</f>
        <v/>
      </c>
      <c r="B349" t="str">
        <f>IF($L349="","",IF(INDEX(tblRegistros[Data],$L349)&gt;$D$4,"",IFERROR(INDEX(tblRegistros[Projeto],$L349),"")))</f>
        <v/>
      </c>
      <c r="C349" t="str">
        <f>IF($L349="","",IF(INDEX(tblRegistros[Data],$L349)&gt;$D$4,"",IFERROR(INDEX(tblRegistros[Atividade],$L349),"")))</f>
        <v/>
      </c>
      <c r="D349" s="4" t="str">
        <f>IF($L349="","",IF(INDEX(tblRegistros[Data],$L349)&gt;$D$4,"",IFERROR(INDEX(tblRegistros[Início],$L349),"")))</f>
        <v/>
      </c>
      <c r="E349" s="4" t="str">
        <f>IF($L349="","",IF(INDEX(tblRegistros[Data],$L349)&gt;$D$4,"",IFERROR(IF(INDEX(tblRegistros[Status],$L349)="EM ABERTO","",INDEX(tblRegistros[Fim],$L349)),"")))</f>
        <v/>
      </c>
      <c r="F349" s="14" t="str">
        <f>IF($L349="","",IF(INDEX(tblRegistros[Data],$L349)&gt;$D$4,"",IFERROR(IF(INDEX(tblRegistros[Status],$L349)="EM ABERTO","",INDEX(tblRegistros[Horas],$L349)),"")))</f>
        <v/>
      </c>
      <c r="G349" t="str">
        <f>IF($L349="","",IF(INDEX(tblRegistros[Data],$L349)&gt;$D$4,"",IFERROR(INDEX(tblRegistros[Base],$L349),"")))</f>
        <v/>
      </c>
      <c r="H349" s="3" t="str">
        <f>IF($L349="","",IF(INDEX(tblRegistros[Data],$L349)&gt;$D$4,"",IFERROR(INDEX(tblRegistros[Taxa aplicada],$L349),"")))</f>
        <v/>
      </c>
      <c r="I349" s="3" t="str">
        <f>IF($L349="","",IF(INDEX(tblRegistros[Data],$L349)&gt;$D$4,"",IFERROR(IF(INDEX(tblRegistros[Status],$L349)="EM ABERTO","",INDEX(tblRegistros[Valor],$L349)),"")))</f>
        <v/>
      </c>
      <c r="J349" t="str">
        <f>IF($L349="","",IF(INDEX(tblRegistros[Data],$L349)&gt;$D$4,"",IFERROR(INDEX(tblRegistros[Status],$L349),"")))</f>
        <v/>
      </c>
      <c r="K349" t="str">
        <f>IF($L349="","",IF(INDEX(tblRegistros[Data],$L349)&gt;$D$4,"",IFERROR(INDEX(tblRegistros[Observação],$L349),"")))</f>
        <v/>
      </c>
      <c r="L349" s="16" t="str">
        <f>IFERROR(MATCH($B$3*100000+COUNTIFS(tblRegistros[ID],$B$3,tblRegistros[Data],"&lt;"&amp;$B$4)+ROWS($L$10:L349),tblRegistros[Chave do cartão],0),"")</f>
        <v/>
      </c>
    </row>
    <row r="350" spans="1:12">
      <c r="A350" s="2" t="str">
        <f>IF($L350="","",IF(INDEX(tblRegistros[Data],$L350)&gt;$D$4,"",IFERROR(INDEX(tblRegistros[Data],$L350),"")))</f>
        <v/>
      </c>
      <c r="B350" t="str">
        <f>IF($L350="","",IF(INDEX(tblRegistros[Data],$L350)&gt;$D$4,"",IFERROR(INDEX(tblRegistros[Projeto],$L350),"")))</f>
        <v/>
      </c>
      <c r="C350" t="str">
        <f>IF($L350="","",IF(INDEX(tblRegistros[Data],$L350)&gt;$D$4,"",IFERROR(INDEX(tblRegistros[Atividade],$L350),"")))</f>
        <v/>
      </c>
      <c r="D350" s="4" t="str">
        <f>IF($L350="","",IF(INDEX(tblRegistros[Data],$L350)&gt;$D$4,"",IFERROR(INDEX(tblRegistros[Início],$L350),"")))</f>
        <v/>
      </c>
      <c r="E350" s="4" t="str">
        <f>IF($L350="","",IF(INDEX(tblRegistros[Data],$L350)&gt;$D$4,"",IFERROR(IF(INDEX(tblRegistros[Status],$L350)="EM ABERTO","",INDEX(tblRegistros[Fim],$L350)),"")))</f>
        <v/>
      </c>
      <c r="F350" s="14" t="str">
        <f>IF($L350="","",IF(INDEX(tblRegistros[Data],$L350)&gt;$D$4,"",IFERROR(IF(INDEX(tblRegistros[Status],$L350)="EM ABERTO","",INDEX(tblRegistros[Horas],$L350)),"")))</f>
        <v/>
      </c>
      <c r="G350" t="str">
        <f>IF($L350="","",IF(INDEX(tblRegistros[Data],$L350)&gt;$D$4,"",IFERROR(INDEX(tblRegistros[Base],$L350),"")))</f>
        <v/>
      </c>
      <c r="H350" s="3" t="str">
        <f>IF($L350="","",IF(INDEX(tblRegistros[Data],$L350)&gt;$D$4,"",IFERROR(INDEX(tblRegistros[Taxa aplicada],$L350),"")))</f>
        <v/>
      </c>
      <c r="I350" s="3" t="str">
        <f>IF($L350="","",IF(INDEX(tblRegistros[Data],$L350)&gt;$D$4,"",IFERROR(IF(INDEX(tblRegistros[Status],$L350)="EM ABERTO","",INDEX(tblRegistros[Valor],$L350)),"")))</f>
        <v/>
      </c>
      <c r="J350" t="str">
        <f>IF($L350="","",IF(INDEX(tblRegistros[Data],$L350)&gt;$D$4,"",IFERROR(INDEX(tblRegistros[Status],$L350),"")))</f>
        <v/>
      </c>
      <c r="K350" t="str">
        <f>IF($L350="","",IF(INDEX(tblRegistros[Data],$L350)&gt;$D$4,"",IFERROR(INDEX(tblRegistros[Observação],$L350),"")))</f>
        <v/>
      </c>
      <c r="L350" s="16" t="str">
        <f>IFERROR(MATCH($B$3*100000+COUNTIFS(tblRegistros[ID],$B$3,tblRegistros[Data],"&lt;"&amp;$B$4)+ROWS($L$10:L350),tblRegistros[Chave do cartão],0),"")</f>
        <v/>
      </c>
    </row>
    <row r="351" spans="1:12">
      <c r="A351" s="2" t="str">
        <f>IF($L351="","",IF(INDEX(tblRegistros[Data],$L351)&gt;$D$4,"",IFERROR(INDEX(tblRegistros[Data],$L351),"")))</f>
        <v/>
      </c>
      <c r="B351" t="str">
        <f>IF($L351="","",IF(INDEX(tblRegistros[Data],$L351)&gt;$D$4,"",IFERROR(INDEX(tblRegistros[Projeto],$L351),"")))</f>
        <v/>
      </c>
      <c r="C351" t="str">
        <f>IF($L351="","",IF(INDEX(tblRegistros[Data],$L351)&gt;$D$4,"",IFERROR(INDEX(tblRegistros[Atividade],$L351),"")))</f>
        <v/>
      </c>
      <c r="D351" s="4" t="str">
        <f>IF($L351="","",IF(INDEX(tblRegistros[Data],$L351)&gt;$D$4,"",IFERROR(INDEX(tblRegistros[Início],$L351),"")))</f>
        <v/>
      </c>
      <c r="E351" s="4" t="str">
        <f>IF($L351="","",IF(INDEX(tblRegistros[Data],$L351)&gt;$D$4,"",IFERROR(IF(INDEX(tblRegistros[Status],$L351)="EM ABERTO","",INDEX(tblRegistros[Fim],$L351)),"")))</f>
        <v/>
      </c>
      <c r="F351" s="14" t="str">
        <f>IF($L351="","",IF(INDEX(tblRegistros[Data],$L351)&gt;$D$4,"",IFERROR(IF(INDEX(tblRegistros[Status],$L351)="EM ABERTO","",INDEX(tblRegistros[Horas],$L351)),"")))</f>
        <v/>
      </c>
      <c r="G351" t="str">
        <f>IF($L351="","",IF(INDEX(tblRegistros[Data],$L351)&gt;$D$4,"",IFERROR(INDEX(tblRegistros[Base],$L351),"")))</f>
        <v/>
      </c>
      <c r="H351" s="3" t="str">
        <f>IF($L351="","",IF(INDEX(tblRegistros[Data],$L351)&gt;$D$4,"",IFERROR(INDEX(tblRegistros[Taxa aplicada],$L351),"")))</f>
        <v/>
      </c>
      <c r="I351" s="3" t="str">
        <f>IF($L351="","",IF(INDEX(tblRegistros[Data],$L351)&gt;$D$4,"",IFERROR(IF(INDEX(tblRegistros[Status],$L351)="EM ABERTO","",INDEX(tblRegistros[Valor],$L351)),"")))</f>
        <v/>
      </c>
      <c r="J351" t="str">
        <f>IF($L351="","",IF(INDEX(tblRegistros[Data],$L351)&gt;$D$4,"",IFERROR(INDEX(tblRegistros[Status],$L351),"")))</f>
        <v/>
      </c>
      <c r="K351" t="str">
        <f>IF($L351="","",IF(INDEX(tblRegistros[Data],$L351)&gt;$D$4,"",IFERROR(INDEX(tblRegistros[Observação],$L351),"")))</f>
        <v/>
      </c>
      <c r="L351" s="16" t="str">
        <f>IFERROR(MATCH($B$3*100000+COUNTIFS(tblRegistros[ID],$B$3,tblRegistros[Data],"&lt;"&amp;$B$4)+ROWS($L$10:L351),tblRegistros[Chave do cartão],0),"")</f>
        <v/>
      </c>
    </row>
    <row r="352" spans="1:12">
      <c r="A352" s="2" t="str">
        <f>IF($L352="","",IF(INDEX(tblRegistros[Data],$L352)&gt;$D$4,"",IFERROR(INDEX(tblRegistros[Data],$L352),"")))</f>
        <v/>
      </c>
      <c r="B352" t="str">
        <f>IF($L352="","",IF(INDEX(tblRegistros[Data],$L352)&gt;$D$4,"",IFERROR(INDEX(tblRegistros[Projeto],$L352),"")))</f>
        <v/>
      </c>
      <c r="C352" t="str">
        <f>IF($L352="","",IF(INDEX(tblRegistros[Data],$L352)&gt;$D$4,"",IFERROR(INDEX(tblRegistros[Atividade],$L352),"")))</f>
        <v/>
      </c>
      <c r="D352" s="4" t="str">
        <f>IF($L352="","",IF(INDEX(tblRegistros[Data],$L352)&gt;$D$4,"",IFERROR(INDEX(tblRegistros[Início],$L352),"")))</f>
        <v/>
      </c>
      <c r="E352" s="4" t="str">
        <f>IF($L352="","",IF(INDEX(tblRegistros[Data],$L352)&gt;$D$4,"",IFERROR(IF(INDEX(tblRegistros[Status],$L352)="EM ABERTO","",INDEX(tblRegistros[Fim],$L352)),"")))</f>
        <v/>
      </c>
      <c r="F352" s="14" t="str">
        <f>IF($L352="","",IF(INDEX(tblRegistros[Data],$L352)&gt;$D$4,"",IFERROR(IF(INDEX(tblRegistros[Status],$L352)="EM ABERTO","",INDEX(tblRegistros[Horas],$L352)),"")))</f>
        <v/>
      </c>
      <c r="G352" t="str">
        <f>IF($L352="","",IF(INDEX(tblRegistros[Data],$L352)&gt;$D$4,"",IFERROR(INDEX(tblRegistros[Base],$L352),"")))</f>
        <v/>
      </c>
      <c r="H352" s="3" t="str">
        <f>IF($L352="","",IF(INDEX(tblRegistros[Data],$L352)&gt;$D$4,"",IFERROR(INDEX(tblRegistros[Taxa aplicada],$L352),"")))</f>
        <v/>
      </c>
      <c r="I352" s="3" t="str">
        <f>IF($L352="","",IF(INDEX(tblRegistros[Data],$L352)&gt;$D$4,"",IFERROR(IF(INDEX(tblRegistros[Status],$L352)="EM ABERTO","",INDEX(tblRegistros[Valor],$L352)),"")))</f>
        <v/>
      </c>
      <c r="J352" t="str">
        <f>IF($L352="","",IF(INDEX(tblRegistros[Data],$L352)&gt;$D$4,"",IFERROR(INDEX(tblRegistros[Status],$L352),"")))</f>
        <v/>
      </c>
      <c r="K352" t="str">
        <f>IF($L352="","",IF(INDEX(tblRegistros[Data],$L352)&gt;$D$4,"",IFERROR(INDEX(tblRegistros[Observação],$L352),"")))</f>
        <v/>
      </c>
      <c r="L352" s="16" t="str">
        <f>IFERROR(MATCH($B$3*100000+COUNTIFS(tblRegistros[ID],$B$3,tblRegistros[Data],"&lt;"&amp;$B$4)+ROWS($L$10:L352),tblRegistros[Chave do cartão],0),"")</f>
        <v/>
      </c>
    </row>
    <row r="353" spans="1:12">
      <c r="A353" s="2" t="str">
        <f>IF($L353="","",IF(INDEX(tblRegistros[Data],$L353)&gt;$D$4,"",IFERROR(INDEX(tblRegistros[Data],$L353),"")))</f>
        <v/>
      </c>
      <c r="B353" t="str">
        <f>IF($L353="","",IF(INDEX(tblRegistros[Data],$L353)&gt;$D$4,"",IFERROR(INDEX(tblRegistros[Projeto],$L353),"")))</f>
        <v/>
      </c>
      <c r="C353" t="str">
        <f>IF($L353="","",IF(INDEX(tblRegistros[Data],$L353)&gt;$D$4,"",IFERROR(INDEX(tblRegistros[Atividade],$L353),"")))</f>
        <v/>
      </c>
      <c r="D353" s="4" t="str">
        <f>IF($L353="","",IF(INDEX(tblRegistros[Data],$L353)&gt;$D$4,"",IFERROR(INDEX(tblRegistros[Início],$L353),"")))</f>
        <v/>
      </c>
      <c r="E353" s="4" t="str">
        <f>IF($L353="","",IF(INDEX(tblRegistros[Data],$L353)&gt;$D$4,"",IFERROR(IF(INDEX(tblRegistros[Status],$L353)="EM ABERTO","",INDEX(tblRegistros[Fim],$L353)),"")))</f>
        <v/>
      </c>
      <c r="F353" s="14" t="str">
        <f>IF($L353="","",IF(INDEX(tblRegistros[Data],$L353)&gt;$D$4,"",IFERROR(IF(INDEX(tblRegistros[Status],$L353)="EM ABERTO","",INDEX(tblRegistros[Horas],$L353)),"")))</f>
        <v/>
      </c>
      <c r="G353" t="str">
        <f>IF($L353="","",IF(INDEX(tblRegistros[Data],$L353)&gt;$D$4,"",IFERROR(INDEX(tblRegistros[Base],$L353),"")))</f>
        <v/>
      </c>
      <c r="H353" s="3" t="str">
        <f>IF($L353="","",IF(INDEX(tblRegistros[Data],$L353)&gt;$D$4,"",IFERROR(INDEX(tblRegistros[Taxa aplicada],$L353),"")))</f>
        <v/>
      </c>
      <c r="I353" s="3" t="str">
        <f>IF($L353="","",IF(INDEX(tblRegistros[Data],$L353)&gt;$D$4,"",IFERROR(IF(INDEX(tblRegistros[Status],$L353)="EM ABERTO","",INDEX(tblRegistros[Valor],$L353)),"")))</f>
        <v/>
      </c>
      <c r="J353" t="str">
        <f>IF($L353="","",IF(INDEX(tblRegistros[Data],$L353)&gt;$D$4,"",IFERROR(INDEX(tblRegistros[Status],$L353),"")))</f>
        <v/>
      </c>
      <c r="K353" t="str">
        <f>IF($L353="","",IF(INDEX(tblRegistros[Data],$L353)&gt;$D$4,"",IFERROR(INDEX(tblRegistros[Observação],$L353),"")))</f>
        <v/>
      </c>
      <c r="L353" s="16" t="str">
        <f>IFERROR(MATCH($B$3*100000+COUNTIFS(tblRegistros[ID],$B$3,tblRegistros[Data],"&lt;"&amp;$B$4)+ROWS($L$10:L353),tblRegistros[Chave do cartão],0),"")</f>
        <v/>
      </c>
    </row>
    <row r="354" spans="1:12">
      <c r="A354" s="2" t="str">
        <f>IF($L354="","",IF(INDEX(tblRegistros[Data],$L354)&gt;$D$4,"",IFERROR(INDEX(tblRegistros[Data],$L354),"")))</f>
        <v/>
      </c>
      <c r="B354" t="str">
        <f>IF($L354="","",IF(INDEX(tblRegistros[Data],$L354)&gt;$D$4,"",IFERROR(INDEX(tblRegistros[Projeto],$L354),"")))</f>
        <v/>
      </c>
      <c r="C354" t="str">
        <f>IF($L354="","",IF(INDEX(tblRegistros[Data],$L354)&gt;$D$4,"",IFERROR(INDEX(tblRegistros[Atividade],$L354),"")))</f>
        <v/>
      </c>
      <c r="D354" s="4" t="str">
        <f>IF($L354="","",IF(INDEX(tblRegistros[Data],$L354)&gt;$D$4,"",IFERROR(INDEX(tblRegistros[Início],$L354),"")))</f>
        <v/>
      </c>
      <c r="E354" s="4" t="str">
        <f>IF($L354="","",IF(INDEX(tblRegistros[Data],$L354)&gt;$D$4,"",IFERROR(IF(INDEX(tblRegistros[Status],$L354)="EM ABERTO","",INDEX(tblRegistros[Fim],$L354)),"")))</f>
        <v/>
      </c>
      <c r="F354" s="14" t="str">
        <f>IF($L354="","",IF(INDEX(tblRegistros[Data],$L354)&gt;$D$4,"",IFERROR(IF(INDEX(tblRegistros[Status],$L354)="EM ABERTO","",INDEX(tblRegistros[Horas],$L354)),"")))</f>
        <v/>
      </c>
      <c r="G354" t="str">
        <f>IF($L354="","",IF(INDEX(tblRegistros[Data],$L354)&gt;$D$4,"",IFERROR(INDEX(tblRegistros[Base],$L354),"")))</f>
        <v/>
      </c>
      <c r="H354" s="3" t="str">
        <f>IF($L354="","",IF(INDEX(tblRegistros[Data],$L354)&gt;$D$4,"",IFERROR(INDEX(tblRegistros[Taxa aplicada],$L354),"")))</f>
        <v/>
      </c>
      <c r="I354" s="3" t="str">
        <f>IF($L354="","",IF(INDEX(tblRegistros[Data],$L354)&gt;$D$4,"",IFERROR(IF(INDEX(tblRegistros[Status],$L354)="EM ABERTO","",INDEX(tblRegistros[Valor],$L354)),"")))</f>
        <v/>
      </c>
      <c r="J354" t="str">
        <f>IF($L354="","",IF(INDEX(tblRegistros[Data],$L354)&gt;$D$4,"",IFERROR(INDEX(tblRegistros[Status],$L354),"")))</f>
        <v/>
      </c>
      <c r="K354" t="str">
        <f>IF($L354="","",IF(INDEX(tblRegistros[Data],$L354)&gt;$D$4,"",IFERROR(INDEX(tblRegistros[Observação],$L354),"")))</f>
        <v/>
      </c>
      <c r="L354" s="16" t="str">
        <f>IFERROR(MATCH($B$3*100000+COUNTIFS(tblRegistros[ID],$B$3,tblRegistros[Data],"&lt;"&amp;$B$4)+ROWS($L$10:L354),tblRegistros[Chave do cartão],0),"")</f>
        <v/>
      </c>
    </row>
    <row r="355" spans="1:12">
      <c r="A355" s="2" t="str">
        <f>IF($L355="","",IF(INDEX(tblRegistros[Data],$L355)&gt;$D$4,"",IFERROR(INDEX(tblRegistros[Data],$L355),"")))</f>
        <v/>
      </c>
      <c r="B355" t="str">
        <f>IF($L355="","",IF(INDEX(tblRegistros[Data],$L355)&gt;$D$4,"",IFERROR(INDEX(tblRegistros[Projeto],$L355),"")))</f>
        <v/>
      </c>
      <c r="C355" t="str">
        <f>IF($L355="","",IF(INDEX(tblRegistros[Data],$L355)&gt;$D$4,"",IFERROR(INDEX(tblRegistros[Atividade],$L355),"")))</f>
        <v/>
      </c>
      <c r="D355" s="4" t="str">
        <f>IF($L355="","",IF(INDEX(tblRegistros[Data],$L355)&gt;$D$4,"",IFERROR(INDEX(tblRegistros[Início],$L355),"")))</f>
        <v/>
      </c>
      <c r="E355" s="4" t="str">
        <f>IF($L355="","",IF(INDEX(tblRegistros[Data],$L355)&gt;$D$4,"",IFERROR(IF(INDEX(tblRegistros[Status],$L355)="EM ABERTO","",INDEX(tblRegistros[Fim],$L355)),"")))</f>
        <v/>
      </c>
      <c r="F355" s="14" t="str">
        <f>IF($L355="","",IF(INDEX(tblRegistros[Data],$L355)&gt;$D$4,"",IFERROR(IF(INDEX(tblRegistros[Status],$L355)="EM ABERTO","",INDEX(tblRegistros[Horas],$L355)),"")))</f>
        <v/>
      </c>
      <c r="G355" t="str">
        <f>IF($L355="","",IF(INDEX(tblRegistros[Data],$L355)&gt;$D$4,"",IFERROR(INDEX(tblRegistros[Base],$L355),"")))</f>
        <v/>
      </c>
      <c r="H355" s="3" t="str">
        <f>IF($L355="","",IF(INDEX(tblRegistros[Data],$L355)&gt;$D$4,"",IFERROR(INDEX(tblRegistros[Taxa aplicada],$L355),"")))</f>
        <v/>
      </c>
      <c r="I355" s="3" t="str">
        <f>IF($L355="","",IF(INDEX(tblRegistros[Data],$L355)&gt;$D$4,"",IFERROR(IF(INDEX(tblRegistros[Status],$L355)="EM ABERTO","",INDEX(tblRegistros[Valor],$L355)),"")))</f>
        <v/>
      </c>
      <c r="J355" t="str">
        <f>IF($L355="","",IF(INDEX(tblRegistros[Data],$L355)&gt;$D$4,"",IFERROR(INDEX(tblRegistros[Status],$L355),"")))</f>
        <v/>
      </c>
      <c r="K355" t="str">
        <f>IF($L355="","",IF(INDEX(tblRegistros[Data],$L355)&gt;$D$4,"",IFERROR(INDEX(tblRegistros[Observação],$L355),"")))</f>
        <v/>
      </c>
      <c r="L355" s="16" t="str">
        <f>IFERROR(MATCH($B$3*100000+COUNTIFS(tblRegistros[ID],$B$3,tblRegistros[Data],"&lt;"&amp;$B$4)+ROWS($L$10:L355),tblRegistros[Chave do cartão],0),"")</f>
        <v/>
      </c>
    </row>
    <row r="356" spans="1:12">
      <c r="A356" s="2" t="str">
        <f>IF($L356="","",IF(INDEX(tblRegistros[Data],$L356)&gt;$D$4,"",IFERROR(INDEX(tblRegistros[Data],$L356),"")))</f>
        <v/>
      </c>
      <c r="B356" t="str">
        <f>IF($L356="","",IF(INDEX(tblRegistros[Data],$L356)&gt;$D$4,"",IFERROR(INDEX(tblRegistros[Projeto],$L356),"")))</f>
        <v/>
      </c>
      <c r="C356" t="str">
        <f>IF($L356="","",IF(INDEX(tblRegistros[Data],$L356)&gt;$D$4,"",IFERROR(INDEX(tblRegistros[Atividade],$L356),"")))</f>
        <v/>
      </c>
      <c r="D356" s="4" t="str">
        <f>IF($L356="","",IF(INDEX(tblRegistros[Data],$L356)&gt;$D$4,"",IFERROR(INDEX(tblRegistros[Início],$L356),"")))</f>
        <v/>
      </c>
      <c r="E356" s="4" t="str">
        <f>IF($L356="","",IF(INDEX(tblRegistros[Data],$L356)&gt;$D$4,"",IFERROR(IF(INDEX(tblRegistros[Status],$L356)="EM ABERTO","",INDEX(tblRegistros[Fim],$L356)),"")))</f>
        <v/>
      </c>
      <c r="F356" s="14" t="str">
        <f>IF($L356="","",IF(INDEX(tblRegistros[Data],$L356)&gt;$D$4,"",IFERROR(IF(INDEX(tblRegistros[Status],$L356)="EM ABERTO","",INDEX(tblRegistros[Horas],$L356)),"")))</f>
        <v/>
      </c>
      <c r="G356" t="str">
        <f>IF($L356="","",IF(INDEX(tblRegistros[Data],$L356)&gt;$D$4,"",IFERROR(INDEX(tblRegistros[Base],$L356),"")))</f>
        <v/>
      </c>
      <c r="H356" s="3" t="str">
        <f>IF($L356="","",IF(INDEX(tblRegistros[Data],$L356)&gt;$D$4,"",IFERROR(INDEX(tblRegistros[Taxa aplicada],$L356),"")))</f>
        <v/>
      </c>
      <c r="I356" s="3" t="str">
        <f>IF($L356="","",IF(INDEX(tblRegistros[Data],$L356)&gt;$D$4,"",IFERROR(IF(INDEX(tblRegistros[Status],$L356)="EM ABERTO","",INDEX(tblRegistros[Valor],$L356)),"")))</f>
        <v/>
      </c>
      <c r="J356" t="str">
        <f>IF($L356="","",IF(INDEX(tblRegistros[Data],$L356)&gt;$D$4,"",IFERROR(INDEX(tblRegistros[Status],$L356),"")))</f>
        <v/>
      </c>
      <c r="K356" t="str">
        <f>IF($L356="","",IF(INDEX(tblRegistros[Data],$L356)&gt;$D$4,"",IFERROR(INDEX(tblRegistros[Observação],$L356),"")))</f>
        <v/>
      </c>
      <c r="L356" s="16" t="str">
        <f>IFERROR(MATCH($B$3*100000+COUNTIFS(tblRegistros[ID],$B$3,tblRegistros[Data],"&lt;"&amp;$B$4)+ROWS($L$10:L356),tblRegistros[Chave do cartão],0),"")</f>
        <v/>
      </c>
    </row>
    <row r="357" spans="1:12">
      <c r="A357" s="2" t="str">
        <f>IF($L357="","",IF(INDEX(tblRegistros[Data],$L357)&gt;$D$4,"",IFERROR(INDEX(tblRegistros[Data],$L357),"")))</f>
        <v/>
      </c>
      <c r="B357" t="str">
        <f>IF($L357="","",IF(INDEX(tblRegistros[Data],$L357)&gt;$D$4,"",IFERROR(INDEX(tblRegistros[Projeto],$L357),"")))</f>
        <v/>
      </c>
      <c r="C357" t="str">
        <f>IF($L357="","",IF(INDEX(tblRegistros[Data],$L357)&gt;$D$4,"",IFERROR(INDEX(tblRegistros[Atividade],$L357),"")))</f>
        <v/>
      </c>
      <c r="D357" s="4" t="str">
        <f>IF($L357="","",IF(INDEX(tblRegistros[Data],$L357)&gt;$D$4,"",IFERROR(INDEX(tblRegistros[Início],$L357),"")))</f>
        <v/>
      </c>
      <c r="E357" s="4" t="str">
        <f>IF($L357="","",IF(INDEX(tblRegistros[Data],$L357)&gt;$D$4,"",IFERROR(IF(INDEX(tblRegistros[Status],$L357)="EM ABERTO","",INDEX(tblRegistros[Fim],$L357)),"")))</f>
        <v/>
      </c>
      <c r="F357" s="14" t="str">
        <f>IF($L357="","",IF(INDEX(tblRegistros[Data],$L357)&gt;$D$4,"",IFERROR(IF(INDEX(tblRegistros[Status],$L357)="EM ABERTO","",INDEX(tblRegistros[Horas],$L357)),"")))</f>
        <v/>
      </c>
      <c r="G357" t="str">
        <f>IF($L357="","",IF(INDEX(tblRegistros[Data],$L357)&gt;$D$4,"",IFERROR(INDEX(tblRegistros[Base],$L357),"")))</f>
        <v/>
      </c>
      <c r="H357" s="3" t="str">
        <f>IF($L357="","",IF(INDEX(tblRegistros[Data],$L357)&gt;$D$4,"",IFERROR(INDEX(tblRegistros[Taxa aplicada],$L357),"")))</f>
        <v/>
      </c>
      <c r="I357" s="3" t="str">
        <f>IF($L357="","",IF(INDEX(tblRegistros[Data],$L357)&gt;$D$4,"",IFERROR(IF(INDEX(tblRegistros[Status],$L357)="EM ABERTO","",INDEX(tblRegistros[Valor],$L357)),"")))</f>
        <v/>
      </c>
      <c r="J357" t="str">
        <f>IF($L357="","",IF(INDEX(tblRegistros[Data],$L357)&gt;$D$4,"",IFERROR(INDEX(tblRegistros[Status],$L357),"")))</f>
        <v/>
      </c>
      <c r="K357" t="str">
        <f>IF($L357="","",IF(INDEX(tblRegistros[Data],$L357)&gt;$D$4,"",IFERROR(INDEX(tblRegistros[Observação],$L357),"")))</f>
        <v/>
      </c>
      <c r="L357" s="16" t="str">
        <f>IFERROR(MATCH($B$3*100000+COUNTIFS(tblRegistros[ID],$B$3,tblRegistros[Data],"&lt;"&amp;$B$4)+ROWS($L$10:L357),tblRegistros[Chave do cartão],0),"")</f>
        <v/>
      </c>
    </row>
    <row r="358" spans="1:12">
      <c r="A358" s="2" t="str">
        <f>IF($L358="","",IF(INDEX(tblRegistros[Data],$L358)&gt;$D$4,"",IFERROR(INDEX(tblRegistros[Data],$L358),"")))</f>
        <v/>
      </c>
      <c r="B358" t="str">
        <f>IF($L358="","",IF(INDEX(tblRegistros[Data],$L358)&gt;$D$4,"",IFERROR(INDEX(tblRegistros[Projeto],$L358),"")))</f>
        <v/>
      </c>
      <c r="C358" t="str">
        <f>IF($L358="","",IF(INDEX(tblRegistros[Data],$L358)&gt;$D$4,"",IFERROR(INDEX(tblRegistros[Atividade],$L358),"")))</f>
        <v/>
      </c>
      <c r="D358" s="4" t="str">
        <f>IF($L358="","",IF(INDEX(tblRegistros[Data],$L358)&gt;$D$4,"",IFERROR(INDEX(tblRegistros[Início],$L358),"")))</f>
        <v/>
      </c>
      <c r="E358" s="4" t="str">
        <f>IF($L358="","",IF(INDEX(tblRegistros[Data],$L358)&gt;$D$4,"",IFERROR(IF(INDEX(tblRegistros[Status],$L358)="EM ABERTO","",INDEX(tblRegistros[Fim],$L358)),"")))</f>
        <v/>
      </c>
      <c r="F358" s="14" t="str">
        <f>IF($L358="","",IF(INDEX(tblRegistros[Data],$L358)&gt;$D$4,"",IFERROR(IF(INDEX(tblRegistros[Status],$L358)="EM ABERTO","",INDEX(tblRegistros[Horas],$L358)),"")))</f>
        <v/>
      </c>
      <c r="G358" t="str">
        <f>IF($L358="","",IF(INDEX(tblRegistros[Data],$L358)&gt;$D$4,"",IFERROR(INDEX(tblRegistros[Base],$L358),"")))</f>
        <v/>
      </c>
      <c r="H358" s="3" t="str">
        <f>IF($L358="","",IF(INDEX(tblRegistros[Data],$L358)&gt;$D$4,"",IFERROR(INDEX(tblRegistros[Taxa aplicada],$L358),"")))</f>
        <v/>
      </c>
      <c r="I358" s="3" t="str">
        <f>IF($L358="","",IF(INDEX(tblRegistros[Data],$L358)&gt;$D$4,"",IFERROR(IF(INDEX(tblRegistros[Status],$L358)="EM ABERTO","",INDEX(tblRegistros[Valor],$L358)),"")))</f>
        <v/>
      </c>
      <c r="J358" t="str">
        <f>IF($L358="","",IF(INDEX(tblRegistros[Data],$L358)&gt;$D$4,"",IFERROR(INDEX(tblRegistros[Status],$L358),"")))</f>
        <v/>
      </c>
      <c r="K358" t="str">
        <f>IF($L358="","",IF(INDEX(tblRegistros[Data],$L358)&gt;$D$4,"",IFERROR(INDEX(tblRegistros[Observação],$L358),"")))</f>
        <v/>
      </c>
      <c r="L358" s="16" t="str">
        <f>IFERROR(MATCH($B$3*100000+COUNTIFS(tblRegistros[ID],$B$3,tblRegistros[Data],"&lt;"&amp;$B$4)+ROWS($L$10:L358),tblRegistros[Chave do cartão],0),"")</f>
        <v/>
      </c>
    </row>
    <row r="359" spans="1:12">
      <c r="A359" s="2" t="str">
        <f>IF($L359="","",IF(INDEX(tblRegistros[Data],$L359)&gt;$D$4,"",IFERROR(INDEX(tblRegistros[Data],$L359),"")))</f>
        <v/>
      </c>
      <c r="B359" t="str">
        <f>IF($L359="","",IF(INDEX(tblRegistros[Data],$L359)&gt;$D$4,"",IFERROR(INDEX(tblRegistros[Projeto],$L359),"")))</f>
        <v/>
      </c>
      <c r="C359" t="str">
        <f>IF($L359="","",IF(INDEX(tblRegistros[Data],$L359)&gt;$D$4,"",IFERROR(INDEX(tblRegistros[Atividade],$L359),"")))</f>
        <v/>
      </c>
      <c r="D359" s="4" t="str">
        <f>IF($L359="","",IF(INDEX(tblRegistros[Data],$L359)&gt;$D$4,"",IFERROR(INDEX(tblRegistros[Início],$L359),"")))</f>
        <v/>
      </c>
      <c r="E359" s="4" t="str">
        <f>IF($L359="","",IF(INDEX(tblRegistros[Data],$L359)&gt;$D$4,"",IFERROR(IF(INDEX(tblRegistros[Status],$L359)="EM ABERTO","",INDEX(tblRegistros[Fim],$L359)),"")))</f>
        <v/>
      </c>
      <c r="F359" s="14" t="str">
        <f>IF($L359="","",IF(INDEX(tblRegistros[Data],$L359)&gt;$D$4,"",IFERROR(IF(INDEX(tblRegistros[Status],$L359)="EM ABERTO","",INDEX(tblRegistros[Horas],$L359)),"")))</f>
        <v/>
      </c>
      <c r="G359" t="str">
        <f>IF($L359="","",IF(INDEX(tblRegistros[Data],$L359)&gt;$D$4,"",IFERROR(INDEX(tblRegistros[Base],$L359),"")))</f>
        <v/>
      </c>
      <c r="H359" s="3" t="str">
        <f>IF($L359="","",IF(INDEX(tblRegistros[Data],$L359)&gt;$D$4,"",IFERROR(INDEX(tblRegistros[Taxa aplicada],$L359),"")))</f>
        <v/>
      </c>
      <c r="I359" s="3" t="str">
        <f>IF($L359="","",IF(INDEX(tblRegistros[Data],$L359)&gt;$D$4,"",IFERROR(IF(INDEX(tblRegistros[Status],$L359)="EM ABERTO","",INDEX(tblRegistros[Valor],$L359)),"")))</f>
        <v/>
      </c>
      <c r="J359" t="str">
        <f>IF($L359="","",IF(INDEX(tblRegistros[Data],$L359)&gt;$D$4,"",IFERROR(INDEX(tblRegistros[Status],$L359),"")))</f>
        <v/>
      </c>
      <c r="K359" t="str">
        <f>IF($L359="","",IF(INDEX(tblRegistros[Data],$L359)&gt;$D$4,"",IFERROR(INDEX(tblRegistros[Observação],$L359),"")))</f>
        <v/>
      </c>
      <c r="L359" s="16" t="str">
        <f>IFERROR(MATCH($B$3*100000+COUNTIFS(tblRegistros[ID],$B$3,tblRegistros[Data],"&lt;"&amp;$B$4)+ROWS($L$10:L359),tblRegistros[Chave do cartão],0),"")</f>
        <v/>
      </c>
    </row>
    <row r="360" spans="1:12">
      <c r="A360" s="2" t="str">
        <f>IF($L360="","",IF(INDEX(tblRegistros[Data],$L360)&gt;$D$4,"",IFERROR(INDEX(tblRegistros[Data],$L360),"")))</f>
        <v/>
      </c>
      <c r="B360" t="str">
        <f>IF($L360="","",IF(INDEX(tblRegistros[Data],$L360)&gt;$D$4,"",IFERROR(INDEX(tblRegistros[Projeto],$L360),"")))</f>
        <v/>
      </c>
      <c r="C360" t="str">
        <f>IF($L360="","",IF(INDEX(tblRegistros[Data],$L360)&gt;$D$4,"",IFERROR(INDEX(tblRegistros[Atividade],$L360),"")))</f>
        <v/>
      </c>
      <c r="D360" s="4" t="str">
        <f>IF($L360="","",IF(INDEX(tblRegistros[Data],$L360)&gt;$D$4,"",IFERROR(INDEX(tblRegistros[Início],$L360),"")))</f>
        <v/>
      </c>
      <c r="E360" s="4" t="str">
        <f>IF($L360="","",IF(INDEX(tblRegistros[Data],$L360)&gt;$D$4,"",IFERROR(IF(INDEX(tblRegistros[Status],$L360)="EM ABERTO","",INDEX(tblRegistros[Fim],$L360)),"")))</f>
        <v/>
      </c>
      <c r="F360" s="14" t="str">
        <f>IF($L360="","",IF(INDEX(tblRegistros[Data],$L360)&gt;$D$4,"",IFERROR(IF(INDEX(tblRegistros[Status],$L360)="EM ABERTO","",INDEX(tblRegistros[Horas],$L360)),"")))</f>
        <v/>
      </c>
      <c r="G360" t="str">
        <f>IF($L360="","",IF(INDEX(tblRegistros[Data],$L360)&gt;$D$4,"",IFERROR(INDEX(tblRegistros[Base],$L360),"")))</f>
        <v/>
      </c>
      <c r="H360" s="3" t="str">
        <f>IF($L360="","",IF(INDEX(tblRegistros[Data],$L360)&gt;$D$4,"",IFERROR(INDEX(tblRegistros[Taxa aplicada],$L360),"")))</f>
        <v/>
      </c>
      <c r="I360" s="3" t="str">
        <f>IF($L360="","",IF(INDEX(tblRegistros[Data],$L360)&gt;$D$4,"",IFERROR(IF(INDEX(tblRegistros[Status],$L360)="EM ABERTO","",INDEX(tblRegistros[Valor],$L360)),"")))</f>
        <v/>
      </c>
      <c r="J360" t="str">
        <f>IF($L360="","",IF(INDEX(tblRegistros[Data],$L360)&gt;$D$4,"",IFERROR(INDEX(tblRegistros[Status],$L360),"")))</f>
        <v/>
      </c>
      <c r="K360" t="str">
        <f>IF($L360="","",IF(INDEX(tblRegistros[Data],$L360)&gt;$D$4,"",IFERROR(INDEX(tblRegistros[Observação],$L360),"")))</f>
        <v/>
      </c>
      <c r="L360" s="16" t="str">
        <f>IFERROR(MATCH($B$3*100000+COUNTIFS(tblRegistros[ID],$B$3,tblRegistros[Data],"&lt;"&amp;$B$4)+ROWS($L$10:L360),tblRegistros[Chave do cartão],0),"")</f>
        <v/>
      </c>
    </row>
    <row r="361" spans="1:12">
      <c r="A361" s="2" t="str">
        <f>IF($L361="","",IF(INDEX(tblRegistros[Data],$L361)&gt;$D$4,"",IFERROR(INDEX(tblRegistros[Data],$L361),"")))</f>
        <v/>
      </c>
      <c r="B361" t="str">
        <f>IF($L361="","",IF(INDEX(tblRegistros[Data],$L361)&gt;$D$4,"",IFERROR(INDEX(tblRegistros[Projeto],$L361),"")))</f>
        <v/>
      </c>
      <c r="C361" t="str">
        <f>IF($L361="","",IF(INDEX(tblRegistros[Data],$L361)&gt;$D$4,"",IFERROR(INDEX(tblRegistros[Atividade],$L361),"")))</f>
        <v/>
      </c>
      <c r="D361" s="4" t="str">
        <f>IF($L361="","",IF(INDEX(tblRegistros[Data],$L361)&gt;$D$4,"",IFERROR(INDEX(tblRegistros[Início],$L361),"")))</f>
        <v/>
      </c>
      <c r="E361" s="4" t="str">
        <f>IF($L361="","",IF(INDEX(tblRegistros[Data],$L361)&gt;$D$4,"",IFERROR(IF(INDEX(tblRegistros[Status],$L361)="EM ABERTO","",INDEX(tblRegistros[Fim],$L361)),"")))</f>
        <v/>
      </c>
      <c r="F361" s="14" t="str">
        <f>IF($L361="","",IF(INDEX(tblRegistros[Data],$L361)&gt;$D$4,"",IFERROR(IF(INDEX(tblRegistros[Status],$L361)="EM ABERTO","",INDEX(tblRegistros[Horas],$L361)),"")))</f>
        <v/>
      </c>
      <c r="G361" t="str">
        <f>IF($L361="","",IF(INDEX(tblRegistros[Data],$L361)&gt;$D$4,"",IFERROR(INDEX(tblRegistros[Base],$L361),"")))</f>
        <v/>
      </c>
      <c r="H361" s="3" t="str">
        <f>IF($L361="","",IF(INDEX(tblRegistros[Data],$L361)&gt;$D$4,"",IFERROR(INDEX(tblRegistros[Taxa aplicada],$L361),"")))</f>
        <v/>
      </c>
      <c r="I361" s="3" t="str">
        <f>IF($L361="","",IF(INDEX(tblRegistros[Data],$L361)&gt;$D$4,"",IFERROR(IF(INDEX(tblRegistros[Status],$L361)="EM ABERTO","",INDEX(tblRegistros[Valor],$L361)),"")))</f>
        <v/>
      </c>
      <c r="J361" t="str">
        <f>IF($L361="","",IF(INDEX(tblRegistros[Data],$L361)&gt;$D$4,"",IFERROR(INDEX(tblRegistros[Status],$L361),"")))</f>
        <v/>
      </c>
      <c r="K361" t="str">
        <f>IF($L361="","",IF(INDEX(tblRegistros[Data],$L361)&gt;$D$4,"",IFERROR(INDEX(tblRegistros[Observação],$L361),"")))</f>
        <v/>
      </c>
      <c r="L361" s="16" t="str">
        <f>IFERROR(MATCH($B$3*100000+COUNTIFS(tblRegistros[ID],$B$3,tblRegistros[Data],"&lt;"&amp;$B$4)+ROWS($L$10:L361),tblRegistros[Chave do cartão],0),"")</f>
        <v/>
      </c>
    </row>
    <row r="362" spans="1:12">
      <c r="A362" s="2" t="str">
        <f>IF($L362="","",IF(INDEX(tblRegistros[Data],$L362)&gt;$D$4,"",IFERROR(INDEX(tblRegistros[Data],$L362),"")))</f>
        <v/>
      </c>
      <c r="B362" t="str">
        <f>IF($L362="","",IF(INDEX(tblRegistros[Data],$L362)&gt;$D$4,"",IFERROR(INDEX(tblRegistros[Projeto],$L362),"")))</f>
        <v/>
      </c>
      <c r="C362" t="str">
        <f>IF($L362="","",IF(INDEX(tblRegistros[Data],$L362)&gt;$D$4,"",IFERROR(INDEX(tblRegistros[Atividade],$L362),"")))</f>
        <v/>
      </c>
      <c r="D362" s="4" t="str">
        <f>IF($L362="","",IF(INDEX(tblRegistros[Data],$L362)&gt;$D$4,"",IFERROR(INDEX(tblRegistros[Início],$L362),"")))</f>
        <v/>
      </c>
      <c r="E362" s="4" t="str">
        <f>IF($L362="","",IF(INDEX(tblRegistros[Data],$L362)&gt;$D$4,"",IFERROR(IF(INDEX(tblRegistros[Status],$L362)="EM ABERTO","",INDEX(tblRegistros[Fim],$L362)),"")))</f>
        <v/>
      </c>
      <c r="F362" s="14" t="str">
        <f>IF($L362="","",IF(INDEX(tblRegistros[Data],$L362)&gt;$D$4,"",IFERROR(IF(INDEX(tblRegistros[Status],$L362)="EM ABERTO","",INDEX(tblRegistros[Horas],$L362)),"")))</f>
        <v/>
      </c>
      <c r="G362" t="str">
        <f>IF($L362="","",IF(INDEX(tblRegistros[Data],$L362)&gt;$D$4,"",IFERROR(INDEX(tblRegistros[Base],$L362),"")))</f>
        <v/>
      </c>
      <c r="H362" s="3" t="str">
        <f>IF($L362="","",IF(INDEX(tblRegistros[Data],$L362)&gt;$D$4,"",IFERROR(INDEX(tblRegistros[Taxa aplicada],$L362),"")))</f>
        <v/>
      </c>
      <c r="I362" s="3" t="str">
        <f>IF($L362="","",IF(INDEX(tblRegistros[Data],$L362)&gt;$D$4,"",IFERROR(IF(INDEX(tblRegistros[Status],$L362)="EM ABERTO","",INDEX(tblRegistros[Valor],$L362)),"")))</f>
        <v/>
      </c>
      <c r="J362" t="str">
        <f>IF($L362="","",IF(INDEX(tblRegistros[Data],$L362)&gt;$D$4,"",IFERROR(INDEX(tblRegistros[Status],$L362),"")))</f>
        <v/>
      </c>
      <c r="K362" t="str">
        <f>IF($L362="","",IF(INDEX(tblRegistros[Data],$L362)&gt;$D$4,"",IFERROR(INDEX(tblRegistros[Observação],$L362),"")))</f>
        <v/>
      </c>
      <c r="L362" s="16" t="str">
        <f>IFERROR(MATCH($B$3*100000+COUNTIFS(tblRegistros[ID],$B$3,tblRegistros[Data],"&lt;"&amp;$B$4)+ROWS($L$10:L362),tblRegistros[Chave do cartão],0),"")</f>
        <v/>
      </c>
    </row>
    <row r="363" spans="1:12">
      <c r="A363" s="2" t="str">
        <f>IF($L363="","",IF(INDEX(tblRegistros[Data],$L363)&gt;$D$4,"",IFERROR(INDEX(tblRegistros[Data],$L363),"")))</f>
        <v/>
      </c>
      <c r="B363" t="str">
        <f>IF($L363="","",IF(INDEX(tblRegistros[Data],$L363)&gt;$D$4,"",IFERROR(INDEX(tblRegistros[Projeto],$L363),"")))</f>
        <v/>
      </c>
      <c r="C363" t="str">
        <f>IF($L363="","",IF(INDEX(tblRegistros[Data],$L363)&gt;$D$4,"",IFERROR(INDEX(tblRegistros[Atividade],$L363),"")))</f>
        <v/>
      </c>
      <c r="D363" s="4" t="str">
        <f>IF($L363="","",IF(INDEX(tblRegistros[Data],$L363)&gt;$D$4,"",IFERROR(INDEX(tblRegistros[Início],$L363),"")))</f>
        <v/>
      </c>
      <c r="E363" s="4" t="str">
        <f>IF($L363="","",IF(INDEX(tblRegistros[Data],$L363)&gt;$D$4,"",IFERROR(IF(INDEX(tblRegistros[Status],$L363)="EM ABERTO","",INDEX(tblRegistros[Fim],$L363)),"")))</f>
        <v/>
      </c>
      <c r="F363" s="14" t="str">
        <f>IF($L363="","",IF(INDEX(tblRegistros[Data],$L363)&gt;$D$4,"",IFERROR(IF(INDEX(tblRegistros[Status],$L363)="EM ABERTO","",INDEX(tblRegistros[Horas],$L363)),"")))</f>
        <v/>
      </c>
      <c r="G363" t="str">
        <f>IF($L363="","",IF(INDEX(tblRegistros[Data],$L363)&gt;$D$4,"",IFERROR(INDEX(tblRegistros[Base],$L363),"")))</f>
        <v/>
      </c>
      <c r="H363" s="3" t="str">
        <f>IF($L363="","",IF(INDEX(tblRegistros[Data],$L363)&gt;$D$4,"",IFERROR(INDEX(tblRegistros[Taxa aplicada],$L363),"")))</f>
        <v/>
      </c>
      <c r="I363" s="3" t="str">
        <f>IF($L363="","",IF(INDEX(tblRegistros[Data],$L363)&gt;$D$4,"",IFERROR(IF(INDEX(tblRegistros[Status],$L363)="EM ABERTO","",INDEX(tblRegistros[Valor],$L363)),"")))</f>
        <v/>
      </c>
      <c r="J363" t="str">
        <f>IF($L363="","",IF(INDEX(tblRegistros[Data],$L363)&gt;$D$4,"",IFERROR(INDEX(tblRegistros[Status],$L363),"")))</f>
        <v/>
      </c>
      <c r="K363" t="str">
        <f>IF($L363="","",IF(INDEX(tblRegistros[Data],$L363)&gt;$D$4,"",IFERROR(INDEX(tblRegistros[Observação],$L363),"")))</f>
        <v/>
      </c>
      <c r="L363" s="16" t="str">
        <f>IFERROR(MATCH($B$3*100000+COUNTIFS(tblRegistros[ID],$B$3,tblRegistros[Data],"&lt;"&amp;$B$4)+ROWS($L$10:L363),tblRegistros[Chave do cartão],0),"")</f>
        <v/>
      </c>
    </row>
    <row r="364" spans="1:12">
      <c r="A364" s="2" t="str">
        <f>IF($L364="","",IF(INDEX(tblRegistros[Data],$L364)&gt;$D$4,"",IFERROR(INDEX(tblRegistros[Data],$L364),"")))</f>
        <v/>
      </c>
      <c r="B364" t="str">
        <f>IF($L364="","",IF(INDEX(tblRegistros[Data],$L364)&gt;$D$4,"",IFERROR(INDEX(tblRegistros[Projeto],$L364),"")))</f>
        <v/>
      </c>
      <c r="C364" t="str">
        <f>IF($L364="","",IF(INDEX(tblRegistros[Data],$L364)&gt;$D$4,"",IFERROR(INDEX(tblRegistros[Atividade],$L364),"")))</f>
        <v/>
      </c>
      <c r="D364" s="4" t="str">
        <f>IF($L364="","",IF(INDEX(tblRegistros[Data],$L364)&gt;$D$4,"",IFERROR(INDEX(tblRegistros[Início],$L364),"")))</f>
        <v/>
      </c>
      <c r="E364" s="4" t="str">
        <f>IF($L364="","",IF(INDEX(tblRegistros[Data],$L364)&gt;$D$4,"",IFERROR(IF(INDEX(tblRegistros[Status],$L364)="EM ABERTO","",INDEX(tblRegistros[Fim],$L364)),"")))</f>
        <v/>
      </c>
      <c r="F364" s="14" t="str">
        <f>IF($L364="","",IF(INDEX(tblRegistros[Data],$L364)&gt;$D$4,"",IFERROR(IF(INDEX(tblRegistros[Status],$L364)="EM ABERTO","",INDEX(tblRegistros[Horas],$L364)),"")))</f>
        <v/>
      </c>
      <c r="G364" t="str">
        <f>IF($L364="","",IF(INDEX(tblRegistros[Data],$L364)&gt;$D$4,"",IFERROR(INDEX(tblRegistros[Base],$L364),"")))</f>
        <v/>
      </c>
      <c r="H364" s="3" t="str">
        <f>IF($L364="","",IF(INDEX(tblRegistros[Data],$L364)&gt;$D$4,"",IFERROR(INDEX(tblRegistros[Taxa aplicada],$L364),"")))</f>
        <v/>
      </c>
      <c r="I364" s="3" t="str">
        <f>IF($L364="","",IF(INDEX(tblRegistros[Data],$L364)&gt;$D$4,"",IFERROR(IF(INDEX(tblRegistros[Status],$L364)="EM ABERTO","",INDEX(tblRegistros[Valor],$L364)),"")))</f>
        <v/>
      </c>
      <c r="J364" t="str">
        <f>IF($L364="","",IF(INDEX(tblRegistros[Data],$L364)&gt;$D$4,"",IFERROR(INDEX(tblRegistros[Status],$L364),"")))</f>
        <v/>
      </c>
      <c r="K364" t="str">
        <f>IF($L364="","",IF(INDEX(tblRegistros[Data],$L364)&gt;$D$4,"",IFERROR(INDEX(tblRegistros[Observação],$L364),"")))</f>
        <v/>
      </c>
      <c r="L364" s="16" t="str">
        <f>IFERROR(MATCH($B$3*100000+COUNTIFS(tblRegistros[ID],$B$3,tblRegistros[Data],"&lt;"&amp;$B$4)+ROWS($L$10:L364),tblRegistros[Chave do cartão],0),"")</f>
        <v/>
      </c>
    </row>
    <row r="365" spans="1:12">
      <c r="A365" s="2" t="str">
        <f>IF($L365="","",IF(INDEX(tblRegistros[Data],$L365)&gt;$D$4,"",IFERROR(INDEX(tblRegistros[Data],$L365),"")))</f>
        <v/>
      </c>
      <c r="B365" t="str">
        <f>IF($L365="","",IF(INDEX(tblRegistros[Data],$L365)&gt;$D$4,"",IFERROR(INDEX(tblRegistros[Projeto],$L365),"")))</f>
        <v/>
      </c>
      <c r="C365" t="str">
        <f>IF($L365="","",IF(INDEX(tblRegistros[Data],$L365)&gt;$D$4,"",IFERROR(INDEX(tblRegistros[Atividade],$L365),"")))</f>
        <v/>
      </c>
      <c r="D365" s="4" t="str">
        <f>IF($L365="","",IF(INDEX(tblRegistros[Data],$L365)&gt;$D$4,"",IFERROR(INDEX(tblRegistros[Início],$L365),"")))</f>
        <v/>
      </c>
      <c r="E365" s="4" t="str">
        <f>IF($L365="","",IF(INDEX(tblRegistros[Data],$L365)&gt;$D$4,"",IFERROR(IF(INDEX(tblRegistros[Status],$L365)="EM ABERTO","",INDEX(tblRegistros[Fim],$L365)),"")))</f>
        <v/>
      </c>
      <c r="F365" s="14" t="str">
        <f>IF($L365="","",IF(INDEX(tblRegistros[Data],$L365)&gt;$D$4,"",IFERROR(IF(INDEX(tblRegistros[Status],$L365)="EM ABERTO","",INDEX(tblRegistros[Horas],$L365)),"")))</f>
        <v/>
      </c>
      <c r="G365" t="str">
        <f>IF($L365="","",IF(INDEX(tblRegistros[Data],$L365)&gt;$D$4,"",IFERROR(INDEX(tblRegistros[Base],$L365),"")))</f>
        <v/>
      </c>
      <c r="H365" s="3" t="str">
        <f>IF($L365="","",IF(INDEX(tblRegistros[Data],$L365)&gt;$D$4,"",IFERROR(INDEX(tblRegistros[Taxa aplicada],$L365),"")))</f>
        <v/>
      </c>
      <c r="I365" s="3" t="str">
        <f>IF($L365="","",IF(INDEX(tblRegistros[Data],$L365)&gt;$D$4,"",IFERROR(IF(INDEX(tblRegistros[Status],$L365)="EM ABERTO","",INDEX(tblRegistros[Valor],$L365)),"")))</f>
        <v/>
      </c>
      <c r="J365" t="str">
        <f>IF($L365="","",IF(INDEX(tblRegistros[Data],$L365)&gt;$D$4,"",IFERROR(INDEX(tblRegistros[Status],$L365),"")))</f>
        <v/>
      </c>
      <c r="K365" t="str">
        <f>IF($L365="","",IF(INDEX(tblRegistros[Data],$L365)&gt;$D$4,"",IFERROR(INDEX(tblRegistros[Observação],$L365),"")))</f>
        <v/>
      </c>
      <c r="L365" s="16" t="str">
        <f>IFERROR(MATCH($B$3*100000+COUNTIFS(tblRegistros[ID],$B$3,tblRegistros[Data],"&lt;"&amp;$B$4)+ROWS($L$10:L365),tblRegistros[Chave do cartão],0),"")</f>
        <v/>
      </c>
    </row>
    <row r="366" spans="1:12">
      <c r="A366" s="2" t="str">
        <f>IF($L366="","",IF(INDEX(tblRegistros[Data],$L366)&gt;$D$4,"",IFERROR(INDEX(tblRegistros[Data],$L366),"")))</f>
        <v/>
      </c>
      <c r="B366" t="str">
        <f>IF($L366="","",IF(INDEX(tblRegistros[Data],$L366)&gt;$D$4,"",IFERROR(INDEX(tblRegistros[Projeto],$L366),"")))</f>
        <v/>
      </c>
      <c r="C366" t="str">
        <f>IF($L366="","",IF(INDEX(tblRegistros[Data],$L366)&gt;$D$4,"",IFERROR(INDEX(tblRegistros[Atividade],$L366),"")))</f>
        <v/>
      </c>
      <c r="D366" s="4" t="str">
        <f>IF($L366="","",IF(INDEX(tblRegistros[Data],$L366)&gt;$D$4,"",IFERROR(INDEX(tblRegistros[Início],$L366),"")))</f>
        <v/>
      </c>
      <c r="E366" s="4" t="str">
        <f>IF($L366="","",IF(INDEX(tblRegistros[Data],$L366)&gt;$D$4,"",IFERROR(IF(INDEX(tblRegistros[Status],$L366)="EM ABERTO","",INDEX(tblRegistros[Fim],$L366)),"")))</f>
        <v/>
      </c>
      <c r="F366" s="14" t="str">
        <f>IF($L366="","",IF(INDEX(tblRegistros[Data],$L366)&gt;$D$4,"",IFERROR(IF(INDEX(tblRegistros[Status],$L366)="EM ABERTO","",INDEX(tblRegistros[Horas],$L366)),"")))</f>
        <v/>
      </c>
      <c r="G366" t="str">
        <f>IF($L366="","",IF(INDEX(tblRegistros[Data],$L366)&gt;$D$4,"",IFERROR(INDEX(tblRegistros[Base],$L366),"")))</f>
        <v/>
      </c>
      <c r="H366" s="3" t="str">
        <f>IF($L366="","",IF(INDEX(tblRegistros[Data],$L366)&gt;$D$4,"",IFERROR(INDEX(tblRegistros[Taxa aplicada],$L366),"")))</f>
        <v/>
      </c>
      <c r="I366" s="3" t="str">
        <f>IF($L366="","",IF(INDEX(tblRegistros[Data],$L366)&gt;$D$4,"",IFERROR(IF(INDEX(tblRegistros[Status],$L366)="EM ABERTO","",INDEX(tblRegistros[Valor],$L366)),"")))</f>
        <v/>
      </c>
      <c r="J366" t="str">
        <f>IF($L366="","",IF(INDEX(tblRegistros[Data],$L366)&gt;$D$4,"",IFERROR(INDEX(tblRegistros[Status],$L366),"")))</f>
        <v/>
      </c>
      <c r="K366" t="str">
        <f>IF($L366="","",IF(INDEX(tblRegistros[Data],$L366)&gt;$D$4,"",IFERROR(INDEX(tblRegistros[Observação],$L366),"")))</f>
        <v/>
      </c>
      <c r="L366" s="16" t="str">
        <f>IFERROR(MATCH($B$3*100000+COUNTIFS(tblRegistros[ID],$B$3,tblRegistros[Data],"&lt;"&amp;$B$4)+ROWS($L$10:L366),tblRegistros[Chave do cartão],0),"")</f>
        <v/>
      </c>
    </row>
    <row r="367" spans="1:12">
      <c r="A367" s="2" t="str">
        <f>IF($L367="","",IF(INDEX(tblRegistros[Data],$L367)&gt;$D$4,"",IFERROR(INDEX(tblRegistros[Data],$L367),"")))</f>
        <v/>
      </c>
      <c r="B367" t="str">
        <f>IF($L367="","",IF(INDEX(tblRegistros[Data],$L367)&gt;$D$4,"",IFERROR(INDEX(tblRegistros[Projeto],$L367),"")))</f>
        <v/>
      </c>
      <c r="C367" t="str">
        <f>IF($L367="","",IF(INDEX(tblRegistros[Data],$L367)&gt;$D$4,"",IFERROR(INDEX(tblRegistros[Atividade],$L367),"")))</f>
        <v/>
      </c>
      <c r="D367" s="4" t="str">
        <f>IF($L367="","",IF(INDEX(tblRegistros[Data],$L367)&gt;$D$4,"",IFERROR(INDEX(tblRegistros[Início],$L367),"")))</f>
        <v/>
      </c>
      <c r="E367" s="4" t="str">
        <f>IF($L367="","",IF(INDEX(tblRegistros[Data],$L367)&gt;$D$4,"",IFERROR(IF(INDEX(tblRegistros[Status],$L367)="EM ABERTO","",INDEX(tblRegistros[Fim],$L367)),"")))</f>
        <v/>
      </c>
      <c r="F367" s="14" t="str">
        <f>IF($L367="","",IF(INDEX(tblRegistros[Data],$L367)&gt;$D$4,"",IFERROR(IF(INDEX(tblRegistros[Status],$L367)="EM ABERTO","",INDEX(tblRegistros[Horas],$L367)),"")))</f>
        <v/>
      </c>
      <c r="G367" t="str">
        <f>IF($L367="","",IF(INDEX(tblRegistros[Data],$L367)&gt;$D$4,"",IFERROR(INDEX(tblRegistros[Base],$L367),"")))</f>
        <v/>
      </c>
      <c r="H367" s="3" t="str">
        <f>IF($L367="","",IF(INDEX(tblRegistros[Data],$L367)&gt;$D$4,"",IFERROR(INDEX(tblRegistros[Taxa aplicada],$L367),"")))</f>
        <v/>
      </c>
      <c r="I367" s="3" t="str">
        <f>IF($L367="","",IF(INDEX(tblRegistros[Data],$L367)&gt;$D$4,"",IFERROR(IF(INDEX(tblRegistros[Status],$L367)="EM ABERTO","",INDEX(tblRegistros[Valor],$L367)),"")))</f>
        <v/>
      </c>
      <c r="J367" t="str">
        <f>IF($L367="","",IF(INDEX(tblRegistros[Data],$L367)&gt;$D$4,"",IFERROR(INDEX(tblRegistros[Status],$L367),"")))</f>
        <v/>
      </c>
      <c r="K367" t="str">
        <f>IF($L367="","",IF(INDEX(tblRegistros[Data],$L367)&gt;$D$4,"",IFERROR(INDEX(tblRegistros[Observação],$L367),"")))</f>
        <v/>
      </c>
      <c r="L367" s="16" t="str">
        <f>IFERROR(MATCH($B$3*100000+COUNTIFS(tblRegistros[ID],$B$3,tblRegistros[Data],"&lt;"&amp;$B$4)+ROWS($L$10:L367),tblRegistros[Chave do cartão],0),"")</f>
        <v/>
      </c>
    </row>
    <row r="368" spans="1:12">
      <c r="A368" s="2" t="str">
        <f>IF($L368="","",IF(INDEX(tblRegistros[Data],$L368)&gt;$D$4,"",IFERROR(INDEX(tblRegistros[Data],$L368),"")))</f>
        <v/>
      </c>
      <c r="B368" t="str">
        <f>IF($L368="","",IF(INDEX(tblRegistros[Data],$L368)&gt;$D$4,"",IFERROR(INDEX(tblRegistros[Projeto],$L368),"")))</f>
        <v/>
      </c>
      <c r="C368" t="str">
        <f>IF($L368="","",IF(INDEX(tblRegistros[Data],$L368)&gt;$D$4,"",IFERROR(INDEX(tblRegistros[Atividade],$L368),"")))</f>
        <v/>
      </c>
      <c r="D368" s="4" t="str">
        <f>IF($L368="","",IF(INDEX(tblRegistros[Data],$L368)&gt;$D$4,"",IFERROR(INDEX(tblRegistros[Início],$L368),"")))</f>
        <v/>
      </c>
      <c r="E368" s="4" t="str">
        <f>IF($L368="","",IF(INDEX(tblRegistros[Data],$L368)&gt;$D$4,"",IFERROR(IF(INDEX(tblRegistros[Status],$L368)="EM ABERTO","",INDEX(tblRegistros[Fim],$L368)),"")))</f>
        <v/>
      </c>
      <c r="F368" s="14" t="str">
        <f>IF($L368="","",IF(INDEX(tblRegistros[Data],$L368)&gt;$D$4,"",IFERROR(IF(INDEX(tblRegistros[Status],$L368)="EM ABERTO","",INDEX(tblRegistros[Horas],$L368)),"")))</f>
        <v/>
      </c>
      <c r="G368" t="str">
        <f>IF($L368="","",IF(INDEX(tblRegistros[Data],$L368)&gt;$D$4,"",IFERROR(INDEX(tblRegistros[Base],$L368),"")))</f>
        <v/>
      </c>
      <c r="H368" s="3" t="str">
        <f>IF($L368="","",IF(INDEX(tblRegistros[Data],$L368)&gt;$D$4,"",IFERROR(INDEX(tblRegistros[Taxa aplicada],$L368),"")))</f>
        <v/>
      </c>
      <c r="I368" s="3" t="str">
        <f>IF($L368="","",IF(INDEX(tblRegistros[Data],$L368)&gt;$D$4,"",IFERROR(IF(INDEX(tblRegistros[Status],$L368)="EM ABERTO","",INDEX(tblRegistros[Valor],$L368)),"")))</f>
        <v/>
      </c>
      <c r="J368" t="str">
        <f>IF($L368="","",IF(INDEX(tblRegistros[Data],$L368)&gt;$D$4,"",IFERROR(INDEX(tblRegistros[Status],$L368),"")))</f>
        <v/>
      </c>
      <c r="K368" t="str">
        <f>IF($L368="","",IF(INDEX(tblRegistros[Data],$L368)&gt;$D$4,"",IFERROR(INDEX(tblRegistros[Observação],$L368),"")))</f>
        <v/>
      </c>
      <c r="L368" s="16" t="str">
        <f>IFERROR(MATCH($B$3*100000+COUNTIFS(tblRegistros[ID],$B$3,tblRegistros[Data],"&lt;"&amp;$B$4)+ROWS($L$10:L368),tblRegistros[Chave do cartão],0),"")</f>
        <v/>
      </c>
    </row>
    <row r="369" spans="1:12">
      <c r="A369" s="2" t="str">
        <f>IF($L369="","",IF(INDEX(tblRegistros[Data],$L369)&gt;$D$4,"",IFERROR(INDEX(tblRegistros[Data],$L369),"")))</f>
        <v/>
      </c>
      <c r="B369" t="str">
        <f>IF($L369="","",IF(INDEX(tblRegistros[Data],$L369)&gt;$D$4,"",IFERROR(INDEX(tblRegistros[Projeto],$L369),"")))</f>
        <v/>
      </c>
      <c r="C369" t="str">
        <f>IF($L369="","",IF(INDEX(tblRegistros[Data],$L369)&gt;$D$4,"",IFERROR(INDEX(tblRegistros[Atividade],$L369),"")))</f>
        <v/>
      </c>
      <c r="D369" s="4" t="str">
        <f>IF($L369="","",IF(INDEX(tblRegistros[Data],$L369)&gt;$D$4,"",IFERROR(INDEX(tblRegistros[Início],$L369),"")))</f>
        <v/>
      </c>
      <c r="E369" s="4" t="str">
        <f>IF($L369="","",IF(INDEX(tblRegistros[Data],$L369)&gt;$D$4,"",IFERROR(IF(INDEX(tblRegistros[Status],$L369)="EM ABERTO","",INDEX(tblRegistros[Fim],$L369)),"")))</f>
        <v/>
      </c>
      <c r="F369" s="14" t="str">
        <f>IF($L369="","",IF(INDEX(tblRegistros[Data],$L369)&gt;$D$4,"",IFERROR(IF(INDEX(tblRegistros[Status],$L369)="EM ABERTO","",INDEX(tblRegistros[Horas],$L369)),"")))</f>
        <v/>
      </c>
      <c r="G369" t="str">
        <f>IF($L369="","",IF(INDEX(tblRegistros[Data],$L369)&gt;$D$4,"",IFERROR(INDEX(tblRegistros[Base],$L369),"")))</f>
        <v/>
      </c>
      <c r="H369" s="3" t="str">
        <f>IF($L369="","",IF(INDEX(tblRegistros[Data],$L369)&gt;$D$4,"",IFERROR(INDEX(tblRegistros[Taxa aplicada],$L369),"")))</f>
        <v/>
      </c>
      <c r="I369" s="3" t="str">
        <f>IF($L369="","",IF(INDEX(tblRegistros[Data],$L369)&gt;$D$4,"",IFERROR(IF(INDEX(tblRegistros[Status],$L369)="EM ABERTO","",INDEX(tblRegistros[Valor],$L369)),"")))</f>
        <v/>
      </c>
      <c r="J369" t="str">
        <f>IF($L369="","",IF(INDEX(tblRegistros[Data],$L369)&gt;$D$4,"",IFERROR(INDEX(tblRegistros[Status],$L369),"")))</f>
        <v/>
      </c>
      <c r="K369" t="str">
        <f>IF($L369="","",IF(INDEX(tblRegistros[Data],$L369)&gt;$D$4,"",IFERROR(INDEX(tblRegistros[Observação],$L369),"")))</f>
        <v/>
      </c>
      <c r="L369" s="16" t="str">
        <f>IFERROR(MATCH($B$3*100000+COUNTIFS(tblRegistros[ID],$B$3,tblRegistros[Data],"&lt;"&amp;$B$4)+ROWS($L$10:L369),tblRegistros[Chave do cartão],0),"")</f>
        <v/>
      </c>
    </row>
    <row r="370" spans="1:12">
      <c r="A370" s="2" t="str">
        <f>IF($L370="","",IF(INDEX(tblRegistros[Data],$L370)&gt;$D$4,"",IFERROR(INDEX(tblRegistros[Data],$L370),"")))</f>
        <v/>
      </c>
      <c r="B370" t="str">
        <f>IF($L370="","",IF(INDEX(tblRegistros[Data],$L370)&gt;$D$4,"",IFERROR(INDEX(tblRegistros[Projeto],$L370),"")))</f>
        <v/>
      </c>
      <c r="C370" t="str">
        <f>IF($L370="","",IF(INDEX(tblRegistros[Data],$L370)&gt;$D$4,"",IFERROR(INDEX(tblRegistros[Atividade],$L370),"")))</f>
        <v/>
      </c>
      <c r="D370" s="4" t="str">
        <f>IF($L370="","",IF(INDEX(tblRegistros[Data],$L370)&gt;$D$4,"",IFERROR(INDEX(tblRegistros[Início],$L370),"")))</f>
        <v/>
      </c>
      <c r="E370" s="4" t="str">
        <f>IF($L370="","",IF(INDEX(tblRegistros[Data],$L370)&gt;$D$4,"",IFERROR(IF(INDEX(tblRegistros[Status],$L370)="EM ABERTO","",INDEX(tblRegistros[Fim],$L370)),"")))</f>
        <v/>
      </c>
      <c r="F370" s="14" t="str">
        <f>IF($L370="","",IF(INDEX(tblRegistros[Data],$L370)&gt;$D$4,"",IFERROR(IF(INDEX(tblRegistros[Status],$L370)="EM ABERTO","",INDEX(tblRegistros[Horas],$L370)),"")))</f>
        <v/>
      </c>
      <c r="G370" t="str">
        <f>IF($L370="","",IF(INDEX(tblRegistros[Data],$L370)&gt;$D$4,"",IFERROR(INDEX(tblRegistros[Base],$L370),"")))</f>
        <v/>
      </c>
      <c r="H370" s="3" t="str">
        <f>IF($L370="","",IF(INDEX(tblRegistros[Data],$L370)&gt;$D$4,"",IFERROR(INDEX(tblRegistros[Taxa aplicada],$L370),"")))</f>
        <v/>
      </c>
      <c r="I370" s="3" t="str">
        <f>IF($L370="","",IF(INDEX(tblRegistros[Data],$L370)&gt;$D$4,"",IFERROR(IF(INDEX(tblRegistros[Status],$L370)="EM ABERTO","",INDEX(tblRegistros[Valor],$L370)),"")))</f>
        <v/>
      </c>
      <c r="J370" t="str">
        <f>IF($L370="","",IF(INDEX(tblRegistros[Data],$L370)&gt;$D$4,"",IFERROR(INDEX(tblRegistros[Status],$L370),"")))</f>
        <v/>
      </c>
      <c r="K370" t="str">
        <f>IF($L370="","",IF(INDEX(tblRegistros[Data],$L370)&gt;$D$4,"",IFERROR(INDEX(tblRegistros[Observação],$L370),"")))</f>
        <v/>
      </c>
      <c r="L370" s="16" t="str">
        <f>IFERROR(MATCH($B$3*100000+COUNTIFS(tblRegistros[ID],$B$3,tblRegistros[Data],"&lt;"&amp;$B$4)+ROWS($L$10:L370),tblRegistros[Chave do cartão],0),"")</f>
        <v/>
      </c>
    </row>
    <row r="371" spans="1:12">
      <c r="A371" s="2" t="str">
        <f>IF($L371="","",IF(INDEX(tblRegistros[Data],$L371)&gt;$D$4,"",IFERROR(INDEX(tblRegistros[Data],$L371),"")))</f>
        <v/>
      </c>
      <c r="B371" t="str">
        <f>IF($L371="","",IF(INDEX(tblRegistros[Data],$L371)&gt;$D$4,"",IFERROR(INDEX(tblRegistros[Projeto],$L371),"")))</f>
        <v/>
      </c>
      <c r="C371" t="str">
        <f>IF($L371="","",IF(INDEX(tblRegistros[Data],$L371)&gt;$D$4,"",IFERROR(INDEX(tblRegistros[Atividade],$L371),"")))</f>
        <v/>
      </c>
      <c r="D371" s="4" t="str">
        <f>IF($L371="","",IF(INDEX(tblRegistros[Data],$L371)&gt;$D$4,"",IFERROR(INDEX(tblRegistros[Início],$L371),"")))</f>
        <v/>
      </c>
      <c r="E371" s="4" t="str">
        <f>IF($L371="","",IF(INDEX(tblRegistros[Data],$L371)&gt;$D$4,"",IFERROR(IF(INDEX(tblRegistros[Status],$L371)="EM ABERTO","",INDEX(tblRegistros[Fim],$L371)),"")))</f>
        <v/>
      </c>
      <c r="F371" s="14" t="str">
        <f>IF($L371="","",IF(INDEX(tblRegistros[Data],$L371)&gt;$D$4,"",IFERROR(IF(INDEX(tblRegistros[Status],$L371)="EM ABERTO","",INDEX(tblRegistros[Horas],$L371)),"")))</f>
        <v/>
      </c>
      <c r="G371" t="str">
        <f>IF($L371="","",IF(INDEX(tblRegistros[Data],$L371)&gt;$D$4,"",IFERROR(INDEX(tblRegistros[Base],$L371),"")))</f>
        <v/>
      </c>
      <c r="H371" s="3" t="str">
        <f>IF($L371="","",IF(INDEX(tblRegistros[Data],$L371)&gt;$D$4,"",IFERROR(INDEX(tblRegistros[Taxa aplicada],$L371),"")))</f>
        <v/>
      </c>
      <c r="I371" s="3" t="str">
        <f>IF($L371="","",IF(INDEX(tblRegistros[Data],$L371)&gt;$D$4,"",IFERROR(IF(INDEX(tblRegistros[Status],$L371)="EM ABERTO","",INDEX(tblRegistros[Valor],$L371)),"")))</f>
        <v/>
      </c>
      <c r="J371" t="str">
        <f>IF($L371="","",IF(INDEX(tblRegistros[Data],$L371)&gt;$D$4,"",IFERROR(INDEX(tblRegistros[Status],$L371),"")))</f>
        <v/>
      </c>
      <c r="K371" t="str">
        <f>IF($L371="","",IF(INDEX(tblRegistros[Data],$L371)&gt;$D$4,"",IFERROR(INDEX(tblRegistros[Observação],$L371),"")))</f>
        <v/>
      </c>
      <c r="L371" s="16" t="str">
        <f>IFERROR(MATCH($B$3*100000+COUNTIFS(tblRegistros[ID],$B$3,tblRegistros[Data],"&lt;"&amp;$B$4)+ROWS($L$10:L371),tblRegistros[Chave do cartão],0),"")</f>
        <v/>
      </c>
    </row>
    <row r="372" spans="1:12">
      <c r="A372" s="2" t="str">
        <f>IF($L372="","",IF(INDEX(tblRegistros[Data],$L372)&gt;$D$4,"",IFERROR(INDEX(tblRegistros[Data],$L372),"")))</f>
        <v/>
      </c>
      <c r="B372" t="str">
        <f>IF($L372="","",IF(INDEX(tblRegistros[Data],$L372)&gt;$D$4,"",IFERROR(INDEX(tblRegistros[Projeto],$L372),"")))</f>
        <v/>
      </c>
      <c r="C372" t="str">
        <f>IF($L372="","",IF(INDEX(tblRegistros[Data],$L372)&gt;$D$4,"",IFERROR(INDEX(tblRegistros[Atividade],$L372),"")))</f>
        <v/>
      </c>
      <c r="D372" s="4" t="str">
        <f>IF($L372="","",IF(INDEX(tblRegistros[Data],$L372)&gt;$D$4,"",IFERROR(INDEX(tblRegistros[Início],$L372),"")))</f>
        <v/>
      </c>
      <c r="E372" s="4" t="str">
        <f>IF($L372="","",IF(INDEX(tblRegistros[Data],$L372)&gt;$D$4,"",IFERROR(IF(INDEX(tblRegistros[Status],$L372)="EM ABERTO","",INDEX(tblRegistros[Fim],$L372)),"")))</f>
        <v/>
      </c>
      <c r="F372" s="14" t="str">
        <f>IF($L372="","",IF(INDEX(tblRegistros[Data],$L372)&gt;$D$4,"",IFERROR(IF(INDEX(tblRegistros[Status],$L372)="EM ABERTO","",INDEX(tblRegistros[Horas],$L372)),"")))</f>
        <v/>
      </c>
      <c r="G372" t="str">
        <f>IF($L372="","",IF(INDEX(tblRegistros[Data],$L372)&gt;$D$4,"",IFERROR(INDEX(tblRegistros[Base],$L372),"")))</f>
        <v/>
      </c>
      <c r="H372" s="3" t="str">
        <f>IF($L372="","",IF(INDEX(tblRegistros[Data],$L372)&gt;$D$4,"",IFERROR(INDEX(tblRegistros[Taxa aplicada],$L372),"")))</f>
        <v/>
      </c>
      <c r="I372" s="3" t="str">
        <f>IF($L372="","",IF(INDEX(tblRegistros[Data],$L372)&gt;$D$4,"",IFERROR(IF(INDEX(tblRegistros[Status],$L372)="EM ABERTO","",INDEX(tblRegistros[Valor],$L372)),"")))</f>
        <v/>
      </c>
      <c r="J372" t="str">
        <f>IF($L372="","",IF(INDEX(tblRegistros[Data],$L372)&gt;$D$4,"",IFERROR(INDEX(tblRegistros[Status],$L372),"")))</f>
        <v/>
      </c>
      <c r="K372" t="str">
        <f>IF($L372="","",IF(INDEX(tblRegistros[Data],$L372)&gt;$D$4,"",IFERROR(INDEX(tblRegistros[Observação],$L372),"")))</f>
        <v/>
      </c>
      <c r="L372" s="16" t="str">
        <f>IFERROR(MATCH($B$3*100000+COUNTIFS(tblRegistros[ID],$B$3,tblRegistros[Data],"&lt;"&amp;$B$4)+ROWS($L$10:L372),tblRegistros[Chave do cartão],0),"")</f>
        <v/>
      </c>
    </row>
    <row r="373" spans="1:12">
      <c r="A373" s="2" t="str">
        <f>IF($L373="","",IF(INDEX(tblRegistros[Data],$L373)&gt;$D$4,"",IFERROR(INDEX(tblRegistros[Data],$L373),"")))</f>
        <v/>
      </c>
      <c r="B373" t="str">
        <f>IF($L373="","",IF(INDEX(tblRegistros[Data],$L373)&gt;$D$4,"",IFERROR(INDEX(tblRegistros[Projeto],$L373),"")))</f>
        <v/>
      </c>
      <c r="C373" t="str">
        <f>IF($L373="","",IF(INDEX(tblRegistros[Data],$L373)&gt;$D$4,"",IFERROR(INDEX(tblRegistros[Atividade],$L373),"")))</f>
        <v/>
      </c>
      <c r="D373" s="4" t="str">
        <f>IF($L373="","",IF(INDEX(tblRegistros[Data],$L373)&gt;$D$4,"",IFERROR(INDEX(tblRegistros[Início],$L373),"")))</f>
        <v/>
      </c>
      <c r="E373" s="4" t="str">
        <f>IF($L373="","",IF(INDEX(tblRegistros[Data],$L373)&gt;$D$4,"",IFERROR(IF(INDEX(tblRegistros[Status],$L373)="EM ABERTO","",INDEX(tblRegistros[Fim],$L373)),"")))</f>
        <v/>
      </c>
      <c r="F373" s="14" t="str">
        <f>IF($L373="","",IF(INDEX(tblRegistros[Data],$L373)&gt;$D$4,"",IFERROR(IF(INDEX(tblRegistros[Status],$L373)="EM ABERTO","",INDEX(tblRegistros[Horas],$L373)),"")))</f>
        <v/>
      </c>
      <c r="G373" t="str">
        <f>IF($L373="","",IF(INDEX(tblRegistros[Data],$L373)&gt;$D$4,"",IFERROR(INDEX(tblRegistros[Base],$L373),"")))</f>
        <v/>
      </c>
      <c r="H373" s="3" t="str">
        <f>IF($L373="","",IF(INDEX(tblRegistros[Data],$L373)&gt;$D$4,"",IFERROR(INDEX(tblRegistros[Taxa aplicada],$L373),"")))</f>
        <v/>
      </c>
      <c r="I373" s="3" t="str">
        <f>IF($L373="","",IF(INDEX(tblRegistros[Data],$L373)&gt;$D$4,"",IFERROR(IF(INDEX(tblRegistros[Status],$L373)="EM ABERTO","",INDEX(tblRegistros[Valor],$L373)),"")))</f>
        <v/>
      </c>
      <c r="J373" t="str">
        <f>IF($L373="","",IF(INDEX(tblRegistros[Data],$L373)&gt;$D$4,"",IFERROR(INDEX(tblRegistros[Status],$L373),"")))</f>
        <v/>
      </c>
      <c r="K373" t="str">
        <f>IF($L373="","",IF(INDEX(tblRegistros[Data],$L373)&gt;$D$4,"",IFERROR(INDEX(tblRegistros[Observação],$L373),"")))</f>
        <v/>
      </c>
      <c r="L373" s="16" t="str">
        <f>IFERROR(MATCH($B$3*100000+COUNTIFS(tblRegistros[ID],$B$3,tblRegistros[Data],"&lt;"&amp;$B$4)+ROWS($L$10:L373),tblRegistros[Chave do cartão],0),"")</f>
        <v/>
      </c>
    </row>
    <row r="374" spans="1:12">
      <c r="A374" s="2" t="str">
        <f>IF($L374="","",IF(INDEX(tblRegistros[Data],$L374)&gt;$D$4,"",IFERROR(INDEX(tblRegistros[Data],$L374),"")))</f>
        <v/>
      </c>
      <c r="B374" t="str">
        <f>IF($L374="","",IF(INDEX(tblRegistros[Data],$L374)&gt;$D$4,"",IFERROR(INDEX(tblRegistros[Projeto],$L374),"")))</f>
        <v/>
      </c>
      <c r="C374" t="str">
        <f>IF($L374="","",IF(INDEX(tblRegistros[Data],$L374)&gt;$D$4,"",IFERROR(INDEX(tblRegistros[Atividade],$L374),"")))</f>
        <v/>
      </c>
      <c r="D374" s="4" t="str">
        <f>IF($L374="","",IF(INDEX(tblRegistros[Data],$L374)&gt;$D$4,"",IFERROR(INDEX(tblRegistros[Início],$L374),"")))</f>
        <v/>
      </c>
      <c r="E374" s="4" t="str">
        <f>IF($L374="","",IF(INDEX(tblRegistros[Data],$L374)&gt;$D$4,"",IFERROR(IF(INDEX(tblRegistros[Status],$L374)="EM ABERTO","",INDEX(tblRegistros[Fim],$L374)),"")))</f>
        <v/>
      </c>
      <c r="F374" s="14" t="str">
        <f>IF($L374="","",IF(INDEX(tblRegistros[Data],$L374)&gt;$D$4,"",IFERROR(IF(INDEX(tblRegistros[Status],$L374)="EM ABERTO","",INDEX(tblRegistros[Horas],$L374)),"")))</f>
        <v/>
      </c>
      <c r="G374" t="str">
        <f>IF($L374="","",IF(INDEX(tblRegistros[Data],$L374)&gt;$D$4,"",IFERROR(INDEX(tblRegistros[Base],$L374),"")))</f>
        <v/>
      </c>
      <c r="H374" s="3" t="str">
        <f>IF($L374="","",IF(INDEX(tblRegistros[Data],$L374)&gt;$D$4,"",IFERROR(INDEX(tblRegistros[Taxa aplicada],$L374),"")))</f>
        <v/>
      </c>
      <c r="I374" s="3" t="str">
        <f>IF($L374="","",IF(INDEX(tblRegistros[Data],$L374)&gt;$D$4,"",IFERROR(IF(INDEX(tblRegistros[Status],$L374)="EM ABERTO","",INDEX(tblRegistros[Valor],$L374)),"")))</f>
        <v/>
      </c>
      <c r="J374" t="str">
        <f>IF($L374="","",IF(INDEX(tblRegistros[Data],$L374)&gt;$D$4,"",IFERROR(INDEX(tblRegistros[Status],$L374),"")))</f>
        <v/>
      </c>
      <c r="K374" t="str">
        <f>IF($L374="","",IF(INDEX(tblRegistros[Data],$L374)&gt;$D$4,"",IFERROR(INDEX(tblRegistros[Observação],$L374),"")))</f>
        <v/>
      </c>
      <c r="L374" s="16" t="str">
        <f>IFERROR(MATCH($B$3*100000+COUNTIFS(tblRegistros[ID],$B$3,tblRegistros[Data],"&lt;"&amp;$B$4)+ROWS($L$10:L374),tblRegistros[Chave do cartão],0),"")</f>
        <v/>
      </c>
    </row>
    <row r="375" spans="1:12">
      <c r="A375" s="2" t="str">
        <f>IF($L375="","",IF(INDEX(tblRegistros[Data],$L375)&gt;$D$4,"",IFERROR(INDEX(tblRegistros[Data],$L375),"")))</f>
        <v/>
      </c>
      <c r="B375" t="str">
        <f>IF($L375="","",IF(INDEX(tblRegistros[Data],$L375)&gt;$D$4,"",IFERROR(INDEX(tblRegistros[Projeto],$L375),"")))</f>
        <v/>
      </c>
      <c r="C375" t="str">
        <f>IF($L375="","",IF(INDEX(tblRegistros[Data],$L375)&gt;$D$4,"",IFERROR(INDEX(tblRegistros[Atividade],$L375),"")))</f>
        <v/>
      </c>
      <c r="D375" s="4" t="str">
        <f>IF($L375="","",IF(INDEX(tblRegistros[Data],$L375)&gt;$D$4,"",IFERROR(INDEX(tblRegistros[Início],$L375),"")))</f>
        <v/>
      </c>
      <c r="E375" s="4" t="str">
        <f>IF($L375="","",IF(INDEX(tblRegistros[Data],$L375)&gt;$D$4,"",IFERROR(IF(INDEX(tblRegistros[Status],$L375)="EM ABERTO","",INDEX(tblRegistros[Fim],$L375)),"")))</f>
        <v/>
      </c>
      <c r="F375" s="14" t="str">
        <f>IF($L375="","",IF(INDEX(tblRegistros[Data],$L375)&gt;$D$4,"",IFERROR(IF(INDEX(tblRegistros[Status],$L375)="EM ABERTO","",INDEX(tblRegistros[Horas],$L375)),"")))</f>
        <v/>
      </c>
      <c r="G375" t="str">
        <f>IF($L375="","",IF(INDEX(tblRegistros[Data],$L375)&gt;$D$4,"",IFERROR(INDEX(tblRegistros[Base],$L375),"")))</f>
        <v/>
      </c>
      <c r="H375" s="3" t="str">
        <f>IF($L375="","",IF(INDEX(tblRegistros[Data],$L375)&gt;$D$4,"",IFERROR(INDEX(tblRegistros[Taxa aplicada],$L375),"")))</f>
        <v/>
      </c>
      <c r="I375" s="3" t="str">
        <f>IF($L375="","",IF(INDEX(tblRegistros[Data],$L375)&gt;$D$4,"",IFERROR(IF(INDEX(tblRegistros[Status],$L375)="EM ABERTO","",INDEX(tblRegistros[Valor],$L375)),"")))</f>
        <v/>
      </c>
      <c r="J375" t="str">
        <f>IF($L375="","",IF(INDEX(tblRegistros[Data],$L375)&gt;$D$4,"",IFERROR(INDEX(tblRegistros[Status],$L375),"")))</f>
        <v/>
      </c>
      <c r="K375" t="str">
        <f>IF($L375="","",IF(INDEX(tblRegistros[Data],$L375)&gt;$D$4,"",IFERROR(INDEX(tblRegistros[Observação],$L375),"")))</f>
        <v/>
      </c>
      <c r="L375" s="16" t="str">
        <f>IFERROR(MATCH($B$3*100000+COUNTIFS(tblRegistros[ID],$B$3,tblRegistros[Data],"&lt;"&amp;$B$4)+ROWS($L$10:L375),tblRegistros[Chave do cartão],0),"")</f>
        <v/>
      </c>
    </row>
    <row r="376" spans="1:12">
      <c r="A376" s="2" t="str">
        <f>IF($L376="","",IF(INDEX(tblRegistros[Data],$L376)&gt;$D$4,"",IFERROR(INDEX(tblRegistros[Data],$L376),"")))</f>
        <v/>
      </c>
      <c r="B376" t="str">
        <f>IF($L376="","",IF(INDEX(tblRegistros[Data],$L376)&gt;$D$4,"",IFERROR(INDEX(tblRegistros[Projeto],$L376),"")))</f>
        <v/>
      </c>
      <c r="C376" t="str">
        <f>IF($L376="","",IF(INDEX(tblRegistros[Data],$L376)&gt;$D$4,"",IFERROR(INDEX(tblRegistros[Atividade],$L376),"")))</f>
        <v/>
      </c>
      <c r="D376" s="4" t="str">
        <f>IF($L376="","",IF(INDEX(tblRegistros[Data],$L376)&gt;$D$4,"",IFERROR(INDEX(tblRegistros[Início],$L376),"")))</f>
        <v/>
      </c>
      <c r="E376" s="4" t="str">
        <f>IF($L376="","",IF(INDEX(tblRegistros[Data],$L376)&gt;$D$4,"",IFERROR(IF(INDEX(tblRegistros[Status],$L376)="EM ABERTO","",INDEX(tblRegistros[Fim],$L376)),"")))</f>
        <v/>
      </c>
      <c r="F376" s="14" t="str">
        <f>IF($L376="","",IF(INDEX(tblRegistros[Data],$L376)&gt;$D$4,"",IFERROR(IF(INDEX(tblRegistros[Status],$L376)="EM ABERTO","",INDEX(tblRegistros[Horas],$L376)),"")))</f>
        <v/>
      </c>
      <c r="G376" t="str">
        <f>IF($L376="","",IF(INDEX(tblRegistros[Data],$L376)&gt;$D$4,"",IFERROR(INDEX(tblRegistros[Base],$L376),"")))</f>
        <v/>
      </c>
      <c r="H376" s="3" t="str">
        <f>IF($L376="","",IF(INDEX(tblRegistros[Data],$L376)&gt;$D$4,"",IFERROR(INDEX(tblRegistros[Taxa aplicada],$L376),"")))</f>
        <v/>
      </c>
      <c r="I376" s="3" t="str">
        <f>IF($L376="","",IF(INDEX(tblRegistros[Data],$L376)&gt;$D$4,"",IFERROR(IF(INDEX(tblRegistros[Status],$L376)="EM ABERTO","",INDEX(tblRegistros[Valor],$L376)),"")))</f>
        <v/>
      </c>
      <c r="J376" t="str">
        <f>IF($L376="","",IF(INDEX(tblRegistros[Data],$L376)&gt;$D$4,"",IFERROR(INDEX(tblRegistros[Status],$L376),"")))</f>
        <v/>
      </c>
      <c r="K376" t="str">
        <f>IF($L376="","",IF(INDEX(tblRegistros[Data],$L376)&gt;$D$4,"",IFERROR(INDEX(tblRegistros[Observação],$L376),"")))</f>
        <v/>
      </c>
      <c r="L376" s="16" t="str">
        <f>IFERROR(MATCH($B$3*100000+COUNTIFS(tblRegistros[ID],$B$3,tblRegistros[Data],"&lt;"&amp;$B$4)+ROWS($L$10:L376),tblRegistros[Chave do cartão],0),"")</f>
        <v/>
      </c>
    </row>
    <row r="377" spans="1:12">
      <c r="A377" s="2" t="str">
        <f>IF($L377="","",IF(INDEX(tblRegistros[Data],$L377)&gt;$D$4,"",IFERROR(INDEX(tblRegistros[Data],$L377),"")))</f>
        <v/>
      </c>
      <c r="B377" t="str">
        <f>IF($L377="","",IF(INDEX(tblRegistros[Data],$L377)&gt;$D$4,"",IFERROR(INDEX(tblRegistros[Projeto],$L377),"")))</f>
        <v/>
      </c>
      <c r="C377" t="str">
        <f>IF($L377="","",IF(INDEX(tblRegistros[Data],$L377)&gt;$D$4,"",IFERROR(INDEX(tblRegistros[Atividade],$L377),"")))</f>
        <v/>
      </c>
      <c r="D377" s="4" t="str">
        <f>IF($L377="","",IF(INDEX(tblRegistros[Data],$L377)&gt;$D$4,"",IFERROR(INDEX(tblRegistros[Início],$L377),"")))</f>
        <v/>
      </c>
      <c r="E377" s="4" t="str">
        <f>IF($L377="","",IF(INDEX(tblRegistros[Data],$L377)&gt;$D$4,"",IFERROR(IF(INDEX(tblRegistros[Status],$L377)="EM ABERTO","",INDEX(tblRegistros[Fim],$L377)),"")))</f>
        <v/>
      </c>
      <c r="F377" s="14" t="str">
        <f>IF($L377="","",IF(INDEX(tblRegistros[Data],$L377)&gt;$D$4,"",IFERROR(IF(INDEX(tblRegistros[Status],$L377)="EM ABERTO","",INDEX(tblRegistros[Horas],$L377)),"")))</f>
        <v/>
      </c>
      <c r="G377" t="str">
        <f>IF($L377="","",IF(INDEX(tblRegistros[Data],$L377)&gt;$D$4,"",IFERROR(INDEX(tblRegistros[Base],$L377),"")))</f>
        <v/>
      </c>
      <c r="H377" s="3" t="str">
        <f>IF($L377="","",IF(INDEX(tblRegistros[Data],$L377)&gt;$D$4,"",IFERROR(INDEX(tblRegistros[Taxa aplicada],$L377),"")))</f>
        <v/>
      </c>
      <c r="I377" s="3" t="str">
        <f>IF($L377="","",IF(INDEX(tblRegistros[Data],$L377)&gt;$D$4,"",IFERROR(IF(INDEX(tblRegistros[Status],$L377)="EM ABERTO","",INDEX(tblRegistros[Valor],$L377)),"")))</f>
        <v/>
      </c>
      <c r="J377" t="str">
        <f>IF($L377="","",IF(INDEX(tblRegistros[Data],$L377)&gt;$D$4,"",IFERROR(INDEX(tblRegistros[Status],$L377),"")))</f>
        <v/>
      </c>
      <c r="K377" t="str">
        <f>IF($L377="","",IF(INDEX(tblRegistros[Data],$L377)&gt;$D$4,"",IFERROR(INDEX(tblRegistros[Observação],$L377),"")))</f>
        <v/>
      </c>
      <c r="L377" s="16" t="str">
        <f>IFERROR(MATCH($B$3*100000+COUNTIFS(tblRegistros[ID],$B$3,tblRegistros[Data],"&lt;"&amp;$B$4)+ROWS($L$10:L377),tblRegistros[Chave do cartão],0),"")</f>
        <v/>
      </c>
    </row>
    <row r="378" spans="1:12">
      <c r="A378" s="2" t="str">
        <f>IF($L378="","",IF(INDEX(tblRegistros[Data],$L378)&gt;$D$4,"",IFERROR(INDEX(tblRegistros[Data],$L378),"")))</f>
        <v/>
      </c>
      <c r="B378" t="str">
        <f>IF($L378="","",IF(INDEX(tblRegistros[Data],$L378)&gt;$D$4,"",IFERROR(INDEX(tblRegistros[Projeto],$L378),"")))</f>
        <v/>
      </c>
      <c r="C378" t="str">
        <f>IF($L378="","",IF(INDEX(tblRegistros[Data],$L378)&gt;$D$4,"",IFERROR(INDEX(tblRegistros[Atividade],$L378),"")))</f>
        <v/>
      </c>
      <c r="D378" s="4" t="str">
        <f>IF($L378="","",IF(INDEX(tblRegistros[Data],$L378)&gt;$D$4,"",IFERROR(INDEX(tblRegistros[Início],$L378),"")))</f>
        <v/>
      </c>
      <c r="E378" s="4" t="str">
        <f>IF($L378="","",IF(INDEX(tblRegistros[Data],$L378)&gt;$D$4,"",IFERROR(IF(INDEX(tblRegistros[Status],$L378)="EM ABERTO","",INDEX(tblRegistros[Fim],$L378)),"")))</f>
        <v/>
      </c>
      <c r="F378" s="14" t="str">
        <f>IF($L378="","",IF(INDEX(tblRegistros[Data],$L378)&gt;$D$4,"",IFERROR(IF(INDEX(tblRegistros[Status],$L378)="EM ABERTO","",INDEX(tblRegistros[Horas],$L378)),"")))</f>
        <v/>
      </c>
      <c r="G378" t="str">
        <f>IF($L378="","",IF(INDEX(tblRegistros[Data],$L378)&gt;$D$4,"",IFERROR(INDEX(tblRegistros[Base],$L378),"")))</f>
        <v/>
      </c>
      <c r="H378" s="3" t="str">
        <f>IF($L378="","",IF(INDEX(tblRegistros[Data],$L378)&gt;$D$4,"",IFERROR(INDEX(tblRegistros[Taxa aplicada],$L378),"")))</f>
        <v/>
      </c>
      <c r="I378" s="3" t="str">
        <f>IF($L378="","",IF(INDEX(tblRegistros[Data],$L378)&gt;$D$4,"",IFERROR(IF(INDEX(tblRegistros[Status],$L378)="EM ABERTO","",INDEX(tblRegistros[Valor],$L378)),"")))</f>
        <v/>
      </c>
      <c r="J378" t="str">
        <f>IF($L378="","",IF(INDEX(tblRegistros[Data],$L378)&gt;$D$4,"",IFERROR(INDEX(tblRegistros[Status],$L378),"")))</f>
        <v/>
      </c>
      <c r="K378" t="str">
        <f>IF($L378="","",IF(INDEX(tblRegistros[Data],$L378)&gt;$D$4,"",IFERROR(INDEX(tblRegistros[Observação],$L378),"")))</f>
        <v/>
      </c>
      <c r="L378" s="16" t="str">
        <f>IFERROR(MATCH($B$3*100000+COUNTIFS(tblRegistros[ID],$B$3,tblRegistros[Data],"&lt;"&amp;$B$4)+ROWS($L$10:L378),tblRegistros[Chave do cartão],0),"")</f>
        <v/>
      </c>
    </row>
    <row r="379" spans="1:12">
      <c r="A379" s="2" t="str">
        <f>IF($L379="","",IF(INDEX(tblRegistros[Data],$L379)&gt;$D$4,"",IFERROR(INDEX(tblRegistros[Data],$L379),"")))</f>
        <v/>
      </c>
      <c r="B379" t="str">
        <f>IF($L379="","",IF(INDEX(tblRegistros[Data],$L379)&gt;$D$4,"",IFERROR(INDEX(tblRegistros[Projeto],$L379),"")))</f>
        <v/>
      </c>
      <c r="C379" t="str">
        <f>IF($L379="","",IF(INDEX(tblRegistros[Data],$L379)&gt;$D$4,"",IFERROR(INDEX(tblRegistros[Atividade],$L379),"")))</f>
        <v/>
      </c>
      <c r="D379" s="4" t="str">
        <f>IF($L379="","",IF(INDEX(tblRegistros[Data],$L379)&gt;$D$4,"",IFERROR(INDEX(tblRegistros[Início],$L379),"")))</f>
        <v/>
      </c>
      <c r="E379" s="4" t="str">
        <f>IF($L379="","",IF(INDEX(tblRegistros[Data],$L379)&gt;$D$4,"",IFERROR(IF(INDEX(tblRegistros[Status],$L379)="EM ABERTO","",INDEX(tblRegistros[Fim],$L379)),"")))</f>
        <v/>
      </c>
      <c r="F379" s="14" t="str">
        <f>IF($L379="","",IF(INDEX(tblRegistros[Data],$L379)&gt;$D$4,"",IFERROR(IF(INDEX(tblRegistros[Status],$L379)="EM ABERTO","",INDEX(tblRegistros[Horas],$L379)),"")))</f>
        <v/>
      </c>
      <c r="G379" t="str">
        <f>IF($L379="","",IF(INDEX(tblRegistros[Data],$L379)&gt;$D$4,"",IFERROR(INDEX(tblRegistros[Base],$L379),"")))</f>
        <v/>
      </c>
      <c r="H379" s="3" t="str">
        <f>IF($L379="","",IF(INDEX(tblRegistros[Data],$L379)&gt;$D$4,"",IFERROR(INDEX(tblRegistros[Taxa aplicada],$L379),"")))</f>
        <v/>
      </c>
      <c r="I379" s="3" t="str">
        <f>IF($L379="","",IF(INDEX(tblRegistros[Data],$L379)&gt;$D$4,"",IFERROR(IF(INDEX(tblRegistros[Status],$L379)="EM ABERTO","",INDEX(tblRegistros[Valor],$L379)),"")))</f>
        <v/>
      </c>
      <c r="J379" t="str">
        <f>IF($L379="","",IF(INDEX(tblRegistros[Data],$L379)&gt;$D$4,"",IFERROR(INDEX(tblRegistros[Status],$L379),"")))</f>
        <v/>
      </c>
      <c r="K379" t="str">
        <f>IF($L379="","",IF(INDEX(tblRegistros[Data],$L379)&gt;$D$4,"",IFERROR(INDEX(tblRegistros[Observação],$L379),"")))</f>
        <v/>
      </c>
      <c r="L379" s="16" t="str">
        <f>IFERROR(MATCH($B$3*100000+COUNTIFS(tblRegistros[ID],$B$3,tblRegistros[Data],"&lt;"&amp;$B$4)+ROWS($L$10:L379),tblRegistros[Chave do cartão],0),"")</f>
        <v/>
      </c>
    </row>
    <row r="380" spans="1:12">
      <c r="A380" s="2" t="str">
        <f>IF($L380="","",IF(INDEX(tblRegistros[Data],$L380)&gt;$D$4,"",IFERROR(INDEX(tblRegistros[Data],$L380),"")))</f>
        <v/>
      </c>
      <c r="B380" t="str">
        <f>IF($L380="","",IF(INDEX(tblRegistros[Data],$L380)&gt;$D$4,"",IFERROR(INDEX(tblRegistros[Projeto],$L380),"")))</f>
        <v/>
      </c>
      <c r="C380" t="str">
        <f>IF($L380="","",IF(INDEX(tblRegistros[Data],$L380)&gt;$D$4,"",IFERROR(INDEX(tblRegistros[Atividade],$L380),"")))</f>
        <v/>
      </c>
      <c r="D380" s="4" t="str">
        <f>IF($L380="","",IF(INDEX(tblRegistros[Data],$L380)&gt;$D$4,"",IFERROR(INDEX(tblRegistros[Início],$L380),"")))</f>
        <v/>
      </c>
      <c r="E380" s="4" t="str">
        <f>IF($L380="","",IF(INDEX(tblRegistros[Data],$L380)&gt;$D$4,"",IFERROR(IF(INDEX(tblRegistros[Status],$L380)="EM ABERTO","",INDEX(tblRegistros[Fim],$L380)),"")))</f>
        <v/>
      </c>
      <c r="F380" s="14" t="str">
        <f>IF($L380="","",IF(INDEX(tblRegistros[Data],$L380)&gt;$D$4,"",IFERROR(IF(INDEX(tblRegistros[Status],$L380)="EM ABERTO","",INDEX(tblRegistros[Horas],$L380)),"")))</f>
        <v/>
      </c>
      <c r="G380" t="str">
        <f>IF($L380="","",IF(INDEX(tblRegistros[Data],$L380)&gt;$D$4,"",IFERROR(INDEX(tblRegistros[Base],$L380),"")))</f>
        <v/>
      </c>
      <c r="H380" s="3" t="str">
        <f>IF($L380="","",IF(INDEX(tblRegistros[Data],$L380)&gt;$D$4,"",IFERROR(INDEX(tblRegistros[Taxa aplicada],$L380),"")))</f>
        <v/>
      </c>
      <c r="I380" s="3" t="str">
        <f>IF($L380="","",IF(INDEX(tblRegistros[Data],$L380)&gt;$D$4,"",IFERROR(IF(INDEX(tblRegistros[Status],$L380)="EM ABERTO","",INDEX(tblRegistros[Valor],$L380)),"")))</f>
        <v/>
      </c>
      <c r="J380" t="str">
        <f>IF($L380="","",IF(INDEX(tblRegistros[Data],$L380)&gt;$D$4,"",IFERROR(INDEX(tblRegistros[Status],$L380),"")))</f>
        <v/>
      </c>
      <c r="K380" t="str">
        <f>IF($L380="","",IF(INDEX(tblRegistros[Data],$L380)&gt;$D$4,"",IFERROR(INDEX(tblRegistros[Observação],$L380),"")))</f>
        <v/>
      </c>
      <c r="L380" s="16" t="str">
        <f>IFERROR(MATCH($B$3*100000+COUNTIFS(tblRegistros[ID],$B$3,tblRegistros[Data],"&lt;"&amp;$B$4)+ROWS($L$10:L380),tblRegistros[Chave do cartão],0),"")</f>
        <v/>
      </c>
    </row>
    <row r="381" spans="1:12">
      <c r="A381" s="2" t="str">
        <f>IF($L381="","",IF(INDEX(tblRegistros[Data],$L381)&gt;$D$4,"",IFERROR(INDEX(tblRegistros[Data],$L381),"")))</f>
        <v/>
      </c>
      <c r="B381" t="str">
        <f>IF($L381="","",IF(INDEX(tblRegistros[Data],$L381)&gt;$D$4,"",IFERROR(INDEX(tblRegistros[Projeto],$L381),"")))</f>
        <v/>
      </c>
      <c r="C381" t="str">
        <f>IF($L381="","",IF(INDEX(tblRegistros[Data],$L381)&gt;$D$4,"",IFERROR(INDEX(tblRegistros[Atividade],$L381),"")))</f>
        <v/>
      </c>
      <c r="D381" s="4" t="str">
        <f>IF($L381="","",IF(INDEX(tblRegistros[Data],$L381)&gt;$D$4,"",IFERROR(INDEX(tblRegistros[Início],$L381),"")))</f>
        <v/>
      </c>
      <c r="E381" s="4" t="str">
        <f>IF($L381="","",IF(INDEX(tblRegistros[Data],$L381)&gt;$D$4,"",IFERROR(IF(INDEX(tblRegistros[Status],$L381)="EM ABERTO","",INDEX(tblRegistros[Fim],$L381)),"")))</f>
        <v/>
      </c>
      <c r="F381" s="14" t="str">
        <f>IF($L381="","",IF(INDEX(tblRegistros[Data],$L381)&gt;$D$4,"",IFERROR(IF(INDEX(tblRegistros[Status],$L381)="EM ABERTO","",INDEX(tblRegistros[Horas],$L381)),"")))</f>
        <v/>
      </c>
      <c r="G381" t="str">
        <f>IF($L381="","",IF(INDEX(tblRegistros[Data],$L381)&gt;$D$4,"",IFERROR(INDEX(tblRegistros[Base],$L381),"")))</f>
        <v/>
      </c>
      <c r="H381" s="3" t="str">
        <f>IF($L381="","",IF(INDEX(tblRegistros[Data],$L381)&gt;$D$4,"",IFERROR(INDEX(tblRegistros[Taxa aplicada],$L381),"")))</f>
        <v/>
      </c>
      <c r="I381" s="3" t="str">
        <f>IF($L381="","",IF(INDEX(tblRegistros[Data],$L381)&gt;$D$4,"",IFERROR(IF(INDEX(tblRegistros[Status],$L381)="EM ABERTO","",INDEX(tblRegistros[Valor],$L381)),"")))</f>
        <v/>
      </c>
      <c r="J381" t="str">
        <f>IF($L381="","",IF(INDEX(tblRegistros[Data],$L381)&gt;$D$4,"",IFERROR(INDEX(tblRegistros[Status],$L381),"")))</f>
        <v/>
      </c>
      <c r="K381" t="str">
        <f>IF($L381="","",IF(INDEX(tblRegistros[Data],$L381)&gt;$D$4,"",IFERROR(INDEX(tblRegistros[Observação],$L381),"")))</f>
        <v/>
      </c>
      <c r="L381" s="16" t="str">
        <f>IFERROR(MATCH($B$3*100000+COUNTIFS(tblRegistros[ID],$B$3,tblRegistros[Data],"&lt;"&amp;$B$4)+ROWS($L$10:L381),tblRegistros[Chave do cartão],0),"")</f>
        <v/>
      </c>
    </row>
    <row r="382" spans="1:12">
      <c r="A382" s="2" t="str">
        <f>IF($L382="","",IF(INDEX(tblRegistros[Data],$L382)&gt;$D$4,"",IFERROR(INDEX(tblRegistros[Data],$L382),"")))</f>
        <v/>
      </c>
      <c r="B382" t="str">
        <f>IF($L382="","",IF(INDEX(tblRegistros[Data],$L382)&gt;$D$4,"",IFERROR(INDEX(tblRegistros[Projeto],$L382),"")))</f>
        <v/>
      </c>
      <c r="C382" t="str">
        <f>IF($L382="","",IF(INDEX(tblRegistros[Data],$L382)&gt;$D$4,"",IFERROR(INDEX(tblRegistros[Atividade],$L382),"")))</f>
        <v/>
      </c>
      <c r="D382" s="4" t="str">
        <f>IF($L382="","",IF(INDEX(tblRegistros[Data],$L382)&gt;$D$4,"",IFERROR(INDEX(tblRegistros[Início],$L382),"")))</f>
        <v/>
      </c>
      <c r="E382" s="4" t="str">
        <f>IF($L382="","",IF(INDEX(tblRegistros[Data],$L382)&gt;$D$4,"",IFERROR(IF(INDEX(tblRegistros[Status],$L382)="EM ABERTO","",INDEX(tblRegistros[Fim],$L382)),"")))</f>
        <v/>
      </c>
      <c r="F382" s="14" t="str">
        <f>IF($L382="","",IF(INDEX(tblRegistros[Data],$L382)&gt;$D$4,"",IFERROR(IF(INDEX(tblRegistros[Status],$L382)="EM ABERTO","",INDEX(tblRegistros[Horas],$L382)),"")))</f>
        <v/>
      </c>
      <c r="G382" t="str">
        <f>IF($L382="","",IF(INDEX(tblRegistros[Data],$L382)&gt;$D$4,"",IFERROR(INDEX(tblRegistros[Base],$L382),"")))</f>
        <v/>
      </c>
      <c r="H382" s="3" t="str">
        <f>IF($L382="","",IF(INDEX(tblRegistros[Data],$L382)&gt;$D$4,"",IFERROR(INDEX(tblRegistros[Taxa aplicada],$L382),"")))</f>
        <v/>
      </c>
      <c r="I382" s="3" t="str">
        <f>IF($L382="","",IF(INDEX(tblRegistros[Data],$L382)&gt;$D$4,"",IFERROR(IF(INDEX(tblRegistros[Status],$L382)="EM ABERTO","",INDEX(tblRegistros[Valor],$L382)),"")))</f>
        <v/>
      </c>
      <c r="J382" t="str">
        <f>IF($L382="","",IF(INDEX(tblRegistros[Data],$L382)&gt;$D$4,"",IFERROR(INDEX(tblRegistros[Status],$L382),"")))</f>
        <v/>
      </c>
      <c r="K382" t="str">
        <f>IF($L382="","",IF(INDEX(tblRegistros[Data],$L382)&gt;$D$4,"",IFERROR(INDEX(tblRegistros[Observação],$L382),"")))</f>
        <v/>
      </c>
      <c r="L382" s="16" t="str">
        <f>IFERROR(MATCH($B$3*100000+COUNTIFS(tblRegistros[ID],$B$3,tblRegistros[Data],"&lt;"&amp;$B$4)+ROWS($L$10:L382),tblRegistros[Chave do cartão],0),"")</f>
        <v/>
      </c>
    </row>
    <row r="383" spans="1:12">
      <c r="A383" s="2" t="str">
        <f>IF($L383="","",IF(INDEX(tblRegistros[Data],$L383)&gt;$D$4,"",IFERROR(INDEX(tblRegistros[Data],$L383),"")))</f>
        <v/>
      </c>
      <c r="B383" t="str">
        <f>IF($L383="","",IF(INDEX(tblRegistros[Data],$L383)&gt;$D$4,"",IFERROR(INDEX(tblRegistros[Projeto],$L383),"")))</f>
        <v/>
      </c>
      <c r="C383" t="str">
        <f>IF($L383="","",IF(INDEX(tblRegistros[Data],$L383)&gt;$D$4,"",IFERROR(INDEX(tblRegistros[Atividade],$L383),"")))</f>
        <v/>
      </c>
      <c r="D383" s="4" t="str">
        <f>IF($L383="","",IF(INDEX(tblRegistros[Data],$L383)&gt;$D$4,"",IFERROR(INDEX(tblRegistros[Início],$L383),"")))</f>
        <v/>
      </c>
      <c r="E383" s="4" t="str">
        <f>IF($L383="","",IF(INDEX(tblRegistros[Data],$L383)&gt;$D$4,"",IFERROR(IF(INDEX(tblRegistros[Status],$L383)="EM ABERTO","",INDEX(tblRegistros[Fim],$L383)),"")))</f>
        <v/>
      </c>
      <c r="F383" s="14" t="str">
        <f>IF($L383="","",IF(INDEX(tblRegistros[Data],$L383)&gt;$D$4,"",IFERROR(IF(INDEX(tblRegistros[Status],$L383)="EM ABERTO","",INDEX(tblRegistros[Horas],$L383)),"")))</f>
        <v/>
      </c>
      <c r="G383" t="str">
        <f>IF($L383="","",IF(INDEX(tblRegistros[Data],$L383)&gt;$D$4,"",IFERROR(INDEX(tblRegistros[Base],$L383),"")))</f>
        <v/>
      </c>
      <c r="H383" s="3" t="str">
        <f>IF($L383="","",IF(INDEX(tblRegistros[Data],$L383)&gt;$D$4,"",IFERROR(INDEX(tblRegistros[Taxa aplicada],$L383),"")))</f>
        <v/>
      </c>
      <c r="I383" s="3" t="str">
        <f>IF($L383="","",IF(INDEX(tblRegistros[Data],$L383)&gt;$D$4,"",IFERROR(IF(INDEX(tblRegistros[Status],$L383)="EM ABERTO","",INDEX(tblRegistros[Valor],$L383)),"")))</f>
        <v/>
      </c>
      <c r="J383" t="str">
        <f>IF($L383="","",IF(INDEX(tblRegistros[Data],$L383)&gt;$D$4,"",IFERROR(INDEX(tblRegistros[Status],$L383),"")))</f>
        <v/>
      </c>
      <c r="K383" t="str">
        <f>IF($L383="","",IF(INDEX(tblRegistros[Data],$L383)&gt;$D$4,"",IFERROR(INDEX(tblRegistros[Observação],$L383),"")))</f>
        <v/>
      </c>
      <c r="L383" s="16" t="str">
        <f>IFERROR(MATCH($B$3*100000+COUNTIFS(tblRegistros[ID],$B$3,tblRegistros[Data],"&lt;"&amp;$B$4)+ROWS($L$10:L383),tblRegistros[Chave do cartão],0),"")</f>
        <v/>
      </c>
    </row>
    <row r="384" spans="1:12">
      <c r="A384" s="2" t="str">
        <f>IF($L384="","",IF(INDEX(tblRegistros[Data],$L384)&gt;$D$4,"",IFERROR(INDEX(tblRegistros[Data],$L384),"")))</f>
        <v/>
      </c>
      <c r="B384" t="str">
        <f>IF($L384="","",IF(INDEX(tblRegistros[Data],$L384)&gt;$D$4,"",IFERROR(INDEX(tblRegistros[Projeto],$L384),"")))</f>
        <v/>
      </c>
      <c r="C384" t="str">
        <f>IF($L384="","",IF(INDEX(tblRegistros[Data],$L384)&gt;$D$4,"",IFERROR(INDEX(tblRegistros[Atividade],$L384),"")))</f>
        <v/>
      </c>
      <c r="D384" s="4" t="str">
        <f>IF($L384="","",IF(INDEX(tblRegistros[Data],$L384)&gt;$D$4,"",IFERROR(INDEX(tblRegistros[Início],$L384),"")))</f>
        <v/>
      </c>
      <c r="E384" s="4" t="str">
        <f>IF($L384="","",IF(INDEX(tblRegistros[Data],$L384)&gt;$D$4,"",IFERROR(IF(INDEX(tblRegistros[Status],$L384)="EM ABERTO","",INDEX(tblRegistros[Fim],$L384)),"")))</f>
        <v/>
      </c>
      <c r="F384" s="14" t="str">
        <f>IF($L384="","",IF(INDEX(tblRegistros[Data],$L384)&gt;$D$4,"",IFERROR(IF(INDEX(tblRegistros[Status],$L384)="EM ABERTO","",INDEX(tblRegistros[Horas],$L384)),"")))</f>
        <v/>
      </c>
      <c r="G384" t="str">
        <f>IF($L384="","",IF(INDEX(tblRegistros[Data],$L384)&gt;$D$4,"",IFERROR(INDEX(tblRegistros[Base],$L384),"")))</f>
        <v/>
      </c>
      <c r="H384" s="3" t="str">
        <f>IF($L384="","",IF(INDEX(tblRegistros[Data],$L384)&gt;$D$4,"",IFERROR(INDEX(tblRegistros[Taxa aplicada],$L384),"")))</f>
        <v/>
      </c>
      <c r="I384" s="3" t="str">
        <f>IF($L384="","",IF(INDEX(tblRegistros[Data],$L384)&gt;$D$4,"",IFERROR(IF(INDEX(tblRegistros[Status],$L384)="EM ABERTO","",INDEX(tblRegistros[Valor],$L384)),"")))</f>
        <v/>
      </c>
      <c r="J384" t="str">
        <f>IF($L384="","",IF(INDEX(tblRegistros[Data],$L384)&gt;$D$4,"",IFERROR(INDEX(tblRegistros[Status],$L384),"")))</f>
        <v/>
      </c>
      <c r="K384" t="str">
        <f>IF($L384="","",IF(INDEX(tblRegistros[Data],$L384)&gt;$D$4,"",IFERROR(INDEX(tblRegistros[Observação],$L384),"")))</f>
        <v/>
      </c>
      <c r="L384" s="16" t="str">
        <f>IFERROR(MATCH($B$3*100000+COUNTIFS(tblRegistros[ID],$B$3,tblRegistros[Data],"&lt;"&amp;$B$4)+ROWS($L$10:L384),tblRegistros[Chave do cartão],0),"")</f>
        <v/>
      </c>
    </row>
    <row r="385" spans="1:12">
      <c r="A385" s="2" t="str">
        <f>IF($L385="","",IF(INDEX(tblRegistros[Data],$L385)&gt;$D$4,"",IFERROR(INDEX(tblRegistros[Data],$L385),"")))</f>
        <v/>
      </c>
      <c r="B385" t="str">
        <f>IF($L385="","",IF(INDEX(tblRegistros[Data],$L385)&gt;$D$4,"",IFERROR(INDEX(tblRegistros[Projeto],$L385),"")))</f>
        <v/>
      </c>
      <c r="C385" t="str">
        <f>IF($L385="","",IF(INDEX(tblRegistros[Data],$L385)&gt;$D$4,"",IFERROR(INDEX(tblRegistros[Atividade],$L385),"")))</f>
        <v/>
      </c>
      <c r="D385" s="4" t="str">
        <f>IF($L385="","",IF(INDEX(tblRegistros[Data],$L385)&gt;$D$4,"",IFERROR(INDEX(tblRegistros[Início],$L385),"")))</f>
        <v/>
      </c>
      <c r="E385" s="4" t="str">
        <f>IF($L385="","",IF(INDEX(tblRegistros[Data],$L385)&gt;$D$4,"",IFERROR(IF(INDEX(tblRegistros[Status],$L385)="EM ABERTO","",INDEX(tblRegistros[Fim],$L385)),"")))</f>
        <v/>
      </c>
      <c r="F385" s="14" t="str">
        <f>IF($L385="","",IF(INDEX(tblRegistros[Data],$L385)&gt;$D$4,"",IFERROR(IF(INDEX(tblRegistros[Status],$L385)="EM ABERTO","",INDEX(tblRegistros[Horas],$L385)),"")))</f>
        <v/>
      </c>
      <c r="G385" t="str">
        <f>IF($L385="","",IF(INDEX(tblRegistros[Data],$L385)&gt;$D$4,"",IFERROR(INDEX(tblRegistros[Base],$L385),"")))</f>
        <v/>
      </c>
      <c r="H385" s="3" t="str">
        <f>IF($L385="","",IF(INDEX(tblRegistros[Data],$L385)&gt;$D$4,"",IFERROR(INDEX(tblRegistros[Taxa aplicada],$L385),"")))</f>
        <v/>
      </c>
      <c r="I385" s="3" t="str">
        <f>IF($L385="","",IF(INDEX(tblRegistros[Data],$L385)&gt;$D$4,"",IFERROR(IF(INDEX(tblRegistros[Status],$L385)="EM ABERTO","",INDEX(tblRegistros[Valor],$L385)),"")))</f>
        <v/>
      </c>
      <c r="J385" t="str">
        <f>IF($L385="","",IF(INDEX(tblRegistros[Data],$L385)&gt;$D$4,"",IFERROR(INDEX(tblRegistros[Status],$L385),"")))</f>
        <v/>
      </c>
      <c r="K385" t="str">
        <f>IF($L385="","",IF(INDEX(tblRegistros[Data],$L385)&gt;$D$4,"",IFERROR(INDEX(tblRegistros[Observação],$L385),"")))</f>
        <v/>
      </c>
      <c r="L385" s="16" t="str">
        <f>IFERROR(MATCH($B$3*100000+COUNTIFS(tblRegistros[ID],$B$3,tblRegistros[Data],"&lt;"&amp;$B$4)+ROWS($L$10:L385),tblRegistros[Chave do cartão],0),"")</f>
        <v/>
      </c>
    </row>
    <row r="386" spans="1:12">
      <c r="A386" s="2" t="str">
        <f>IF($L386="","",IF(INDEX(tblRegistros[Data],$L386)&gt;$D$4,"",IFERROR(INDEX(tblRegistros[Data],$L386),"")))</f>
        <v/>
      </c>
      <c r="B386" t="str">
        <f>IF($L386="","",IF(INDEX(tblRegistros[Data],$L386)&gt;$D$4,"",IFERROR(INDEX(tblRegistros[Projeto],$L386),"")))</f>
        <v/>
      </c>
      <c r="C386" t="str">
        <f>IF($L386="","",IF(INDEX(tblRegistros[Data],$L386)&gt;$D$4,"",IFERROR(INDEX(tblRegistros[Atividade],$L386),"")))</f>
        <v/>
      </c>
      <c r="D386" s="4" t="str">
        <f>IF($L386="","",IF(INDEX(tblRegistros[Data],$L386)&gt;$D$4,"",IFERROR(INDEX(tblRegistros[Início],$L386),"")))</f>
        <v/>
      </c>
      <c r="E386" s="4" t="str">
        <f>IF($L386="","",IF(INDEX(tblRegistros[Data],$L386)&gt;$D$4,"",IFERROR(IF(INDEX(tblRegistros[Status],$L386)="EM ABERTO","",INDEX(tblRegistros[Fim],$L386)),"")))</f>
        <v/>
      </c>
      <c r="F386" s="14" t="str">
        <f>IF($L386="","",IF(INDEX(tblRegistros[Data],$L386)&gt;$D$4,"",IFERROR(IF(INDEX(tblRegistros[Status],$L386)="EM ABERTO","",INDEX(tblRegistros[Horas],$L386)),"")))</f>
        <v/>
      </c>
      <c r="G386" t="str">
        <f>IF($L386="","",IF(INDEX(tblRegistros[Data],$L386)&gt;$D$4,"",IFERROR(INDEX(tblRegistros[Base],$L386),"")))</f>
        <v/>
      </c>
      <c r="H386" s="3" t="str">
        <f>IF($L386="","",IF(INDEX(tblRegistros[Data],$L386)&gt;$D$4,"",IFERROR(INDEX(tblRegistros[Taxa aplicada],$L386),"")))</f>
        <v/>
      </c>
      <c r="I386" s="3" t="str">
        <f>IF($L386="","",IF(INDEX(tblRegistros[Data],$L386)&gt;$D$4,"",IFERROR(IF(INDEX(tblRegistros[Status],$L386)="EM ABERTO","",INDEX(tblRegistros[Valor],$L386)),"")))</f>
        <v/>
      </c>
      <c r="J386" t="str">
        <f>IF($L386="","",IF(INDEX(tblRegistros[Data],$L386)&gt;$D$4,"",IFERROR(INDEX(tblRegistros[Status],$L386),"")))</f>
        <v/>
      </c>
      <c r="K386" t="str">
        <f>IF($L386="","",IF(INDEX(tblRegistros[Data],$L386)&gt;$D$4,"",IFERROR(INDEX(tblRegistros[Observação],$L386),"")))</f>
        <v/>
      </c>
      <c r="L386" s="16" t="str">
        <f>IFERROR(MATCH($B$3*100000+COUNTIFS(tblRegistros[ID],$B$3,tblRegistros[Data],"&lt;"&amp;$B$4)+ROWS($L$10:L386),tblRegistros[Chave do cartão],0),"")</f>
        <v/>
      </c>
    </row>
    <row r="387" spans="1:12">
      <c r="A387" s="2" t="str">
        <f>IF($L387="","",IF(INDEX(tblRegistros[Data],$L387)&gt;$D$4,"",IFERROR(INDEX(tblRegistros[Data],$L387),"")))</f>
        <v/>
      </c>
      <c r="B387" t="str">
        <f>IF($L387="","",IF(INDEX(tblRegistros[Data],$L387)&gt;$D$4,"",IFERROR(INDEX(tblRegistros[Projeto],$L387),"")))</f>
        <v/>
      </c>
      <c r="C387" t="str">
        <f>IF($L387="","",IF(INDEX(tblRegistros[Data],$L387)&gt;$D$4,"",IFERROR(INDEX(tblRegistros[Atividade],$L387),"")))</f>
        <v/>
      </c>
      <c r="D387" s="4" t="str">
        <f>IF($L387="","",IF(INDEX(tblRegistros[Data],$L387)&gt;$D$4,"",IFERROR(INDEX(tblRegistros[Início],$L387),"")))</f>
        <v/>
      </c>
      <c r="E387" s="4" t="str">
        <f>IF($L387="","",IF(INDEX(tblRegistros[Data],$L387)&gt;$D$4,"",IFERROR(IF(INDEX(tblRegistros[Status],$L387)="EM ABERTO","",INDEX(tblRegistros[Fim],$L387)),"")))</f>
        <v/>
      </c>
      <c r="F387" s="14" t="str">
        <f>IF($L387="","",IF(INDEX(tblRegistros[Data],$L387)&gt;$D$4,"",IFERROR(IF(INDEX(tblRegistros[Status],$L387)="EM ABERTO","",INDEX(tblRegistros[Horas],$L387)),"")))</f>
        <v/>
      </c>
      <c r="G387" t="str">
        <f>IF($L387="","",IF(INDEX(tblRegistros[Data],$L387)&gt;$D$4,"",IFERROR(INDEX(tblRegistros[Base],$L387),"")))</f>
        <v/>
      </c>
      <c r="H387" s="3" t="str">
        <f>IF($L387="","",IF(INDEX(tblRegistros[Data],$L387)&gt;$D$4,"",IFERROR(INDEX(tblRegistros[Taxa aplicada],$L387),"")))</f>
        <v/>
      </c>
      <c r="I387" s="3" t="str">
        <f>IF($L387="","",IF(INDEX(tblRegistros[Data],$L387)&gt;$D$4,"",IFERROR(IF(INDEX(tblRegistros[Status],$L387)="EM ABERTO","",INDEX(tblRegistros[Valor],$L387)),"")))</f>
        <v/>
      </c>
      <c r="J387" t="str">
        <f>IF($L387="","",IF(INDEX(tblRegistros[Data],$L387)&gt;$D$4,"",IFERROR(INDEX(tblRegistros[Status],$L387),"")))</f>
        <v/>
      </c>
      <c r="K387" t="str">
        <f>IF($L387="","",IF(INDEX(tblRegistros[Data],$L387)&gt;$D$4,"",IFERROR(INDEX(tblRegistros[Observação],$L387),"")))</f>
        <v/>
      </c>
      <c r="L387" s="16" t="str">
        <f>IFERROR(MATCH($B$3*100000+COUNTIFS(tblRegistros[ID],$B$3,tblRegistros[Data],"&lt;"&amp;$B$4)+ROWS($L$10:L387),tblRegistros[Chave do cartão],0),"")</f>
        <v/>
      </c>
    </row>
    <row r="388" spans="1:12">
      <c r="A388" s="2" t="str">
        <f>IF($L388="","",IF(INDEX(tblRegistros[Data],$L388)&gt;$D$4,"",IFERROR(INDEX(tblRegistros[Data],$L388),"")))</f>
        <v/>
      </c>
      <c r="B388" t="str">
        <f>IF($L388="","",IF(INDEX(tblRegistros[Data],$L388)&gt;$D$4,"",IFERROR(INDEX(tblRegistros[Projeto],$L388),"")))</f>
        <v/>
      </c>
      <c r="C388" t="str">
        <f>IF($L388="","",IF(INDEX(tblRegistros[Data],$L388)&gt;$D$4,"",IFERROR(INDEX(tblRegistros[Atividade],$L388),"")))</f>
        <v/>
      </c>
      <c r="D388" s="4" t="str">
        <f>IF($L388="","",IF(INDEX(tblRegistros[Data],$L388)&gt;$D$4,"",IFERROR(INDEX(tblRegistros[Início],$L388),"")))</f>
        <v/>
      </c>
      <c r="E388" s="4" t="str">
        <f>IF($L388="","",IF(INDEX(tblRegistros[Data],$L388)&gt;$D$4,"",IFERROR(IF(INDEX(tblRegistros[Status],$L388)="EM ABERTO","",INDEX(tblRegistros[Fim],$L388)),"")))</f>
        <v/>
      </c>
      <c r="F388" s="14" t="str">
        <f>IF($L388="","",IF(INDEX(tblRegistros[Data],$L388)&gt;$D$4,"",IFERROR(IF(INDEX(tblRegistros[Status],$L388)="EM ABERTO","",INDEX(tblRegistros[Horas],$L388)),"")))</f>
        <v/>
      </c>
      <c r="G388" t="str">
        <f>IF($L388="","",IF(INDEX(tblRegistros[Data],$L388)&gt;$D$4,"",IFERROR(INDEX(tblRegistros[Base],$L388),"")))</f>
        <v/>
      </c>
      <c r="H388" s="3" t="str">
        <f>IF($L388="","",IF(INDEX(tblRegistros[Data],$L388)&gt;$D$4,"",IFERROR(INDEX(tblRegistros[Taxa aplicada],$L388),"")))</f>
        <v/>
      </c>
      <c r="I388" s="3" t="str">
        <f>IF($L388="","",IF(INDEX(tblRegistros[Data],$L388)&gt;$D$4,"",IFERROR(IF(INDEX(tblRegistros[Status],$L388)="EM ABERTO","",INDEX(tblRegistros[Valor],$L388)),"")))</f>
        <v/>
      </c>
      <c r="J388" t="str">
        <f>IF($L388="","",IF(INDEX(tblRegistros[Data],$L388)&gt;$D$4,"",IFERROR(INDEX(tblRegistros[Status],$L388),"")))</f>
        <v/>
      </c>
      <c r="K388" t="str">
        <f>IF($L388="","",IF(INDEX(tblRegistros[Data],$L388)&gt;$D$4,"",IFERROR(INDEX(tblRegistros[Observação],$L388),"")))</f>
        <v/>
      </c>
      <c r="L388" s="16" t="str">
        <f>IFERROR(MATCH($B$3*100000+COUNTIFS(tblRegistros[ID],$B$3,tblRegistros[Data],"&lt;"&amp;$B$4)+ROWS($L$10:L388),tblRegistros[Chave do cartão],0),"")</f>
        <v/>
      </c>
    </row>
    <row r="389" spans="1:12">
      <c r="A389" s="2" t="str">
        <f>IF($L389="","",IF(INDEX(tblRegistros[Data],$L389)&gt;$D$4,"",IFERROR(INDEX(tblRegistros[Data],$L389),"")))</f>
        <v/>
      </c>
      <c r="B389" t="str">
        <f>IF($L389="","",IF(INDEX(tblRegistros[Data],$L389)&gt;$D$4,"",IFERROR(INDEX(tblRegistros[Projeto],$L389),"")))</f>
        <v/>
      </c>
      <c r="C389" t="str">
        <f>IF($L389="","",IF(INDEX(tblRegistros[Data],$L389)&gt;$D$4,"",IFERROR(INDEX(tblRegistros[Atividade],$L389),"")))</f>
        <v/>
      </c>
      <c r="D389" s="4" t="str">
        <f>IF($L389="","",IF(INDEX(tblRegistros[Data],$L389)&gt;$D$4,"",IFERROR(INDEX(tblRegistros[Início],$L389),"")))</f>
        <v/>
      </c>
      <c r="E389" s="4" t="str">
        <f>IF($L389="","",IF(INDEX(tblRegistros[Data],$L389)&gt;$D$4,"",IFERROR(IF(INDEX(tblRegistros[Status],$L389)="EM ABERTO","",INDEX(tblRegistros[Fim],$L389)),"")))</f>
        <v/>
      </c>
      <c r="F389" s="14" t="str">
        <f>IF($L389="","",IF(INDEX(tblRegistros[Data],$L389)&gt;$D$4,"",IFERROR(IF(INDEX(tblRegistros[Status],$L389)="EM ABERTO","",INDEX(tblRegistros[Horas],$L389)),"")))</f>
        <v/>
      </c>
      <c r="G389" t="str">
        <f>IF($L389="","",IF(INDEX(tblRegistros[Data],$L389)&gt;$D$4,"",IFERROR(INDEX(tblRegistros[Base],$L389),"")))</f>
        <v/>
      </c>
      <c r="H389" s="3" t="str">
        <f>IF($L389="","",IF(INDEX(tblRegistros[Data],$L389)&gt;$D$4,"",IFERROR(INDEX(tblRegistros[Taxa aplicada],$L389),"")))</f>
        <v/>
      </c>
      <c r="I389" s="3" t="str">
        <f>IF($L389="","",IF(INDEX(tblRegistros[Data],$L389)&gt;$D$4,"",IFERROR(IF(INDEX(tblRegistros[Status],$L389)="EM ABERTO","",INDEX(tblRegistros[Valor],$L389)),"")))</f>
        <v/>
      </c>
      <c r="J389" t="str">
        <f>IF($L389="","",IF(INDEX(tblRegistros[Data],$L389)&gt;$D$4,"",IFERROR(INDEX(tblRegistros[Status],$L389),"")))</f>
        <v/>
      </c>
      <c r="K389" t="str">
        <f>IF($L389="","",IF(INDEX(tblRegistros[Data],$L389)&gt;$D$4,"",IFERROR(INDEX(tblRegistros[Observação],$L389),"")))</f>
        <v/>
      </c>
      <c r="L389" s="16" t="str">
        <f>IFERROR(MATCH($B$3*100000+COUNTIFS(tblRegistros[ID],$B$3,tblRegistros[Data],"&lt;"&amp;$B$4)+ROWS($L$10:L389),tblRegistros[Chave do cartão],0),"")</f>
        <v/>
      </c>
    </row>
    <row r="390" spans="1:12">
      <c r="A390" s="2" t="str">
        <f>IF($L390="","",IF(INDEX(tblRegistros[Data],$L390)&gt;$D$4,"",IFERROR(INDEX(tblRegistros[Data],$L390),"")))</f>
        <v/>
      </c>
      <c r="B390" t="str">
        <f>IF($L390="","",IF(INDEX(tblRegistros[Data],$L390)&gt;$D$4,"",IFERROR(INDEX(tblRegistros[Projeto],$L390),"")))</f>
        <v/>
      </c>
      <c r="C390" t="str">
        <f>IF($L390="","",IF(INDEX(tblRegistros[Data],$L390)&gt;$D$4,"",IFERROR(INDEX(tblRegistros[Atividade],$L390),"")))</f>
        <v/>
      </c>
      <c r="D390" s="4" t="str">
        <f>IF($L390="","",IF(INDEX(tblRegistros[Data],$L390)&gt;$D$4,"",IFERROR(INDEX(tblRegistros[Início],$L390),"")))</f>
        <v/>
      </c>
      <c r="E390" s="4" t="str">
        <f>IF($L390="","",IF(INDEX(tblRegistros[Data],$L390)&gt;$D$4,"",IFERROR(IF(INDEX(tblRegistros[Status],$L390)="EM ABERTO","",INDEX(tblRegistros[Fim],$L390)),"")))</f>
        <v/>
      </c>
      <c r="F390" s="14" t="str">
        <f>IF($L390="","",IF(INDEX(tblRegistros[Data],$L390)&gt;$D$4,"",IFERROR(IF(INDEX(tblRegistros[Status],$L390)="EM ABERTO","",INDEX(tblRegistros[Horas],$L390)),"")))</f>
        <v/>
      </c>
      <c r="G390" t="str">
        <f>IF($L390="","",IF(INDEX(tblRegistros[Data],$L390)&gt;$D$4,"",IFERROR(INDEX(tblRegistros[Base],$L390),"")))</f>
        <v/>
      </c>
      <c r="H390" s="3" t="str">
        <f>IF($L390="","",IF(INDEX(tblRegistros[Data],$L390)&gt;$D$4,"",IFERROR(INDEX(tblRegistros[Taxa aplicada],$L390),"")))</f>
        <v/>
      </c>
      <c r="I390" s="3" t="str">
        <f>IF($L390="","",IF(INDEX(tblRegistros[Data],$L390)&gt;$D$4,"",IFERROR(IF(INDEX(tblRegistros[Status],$L390)="EM ABERTO","",INDEX(tblRegistros[Valor],$L390)),"")))</f>
        <v/>
      </c>
      <c r="J390" t="str">
        <f>IF($L390="","",IF(INDEX(tblRegistros[Data],$L390)&gt;$D$4,"",IFERROR(INDEX(tblRegistros[Status],$L390),"")))</f>
        <v/>
      </c>
      <c r="K390" t="str">
        <f>IF($L390="","",IF(INDEX(tblRegistros[Data],$L390)&gt;$D$4,"",IFERROR(INDEX(tblRegistros[Observação],$L390),"")))</f>
        <v/>
      </c>
      <c r="L390" s="16" t="str">
        <f>IFERROR(MATCH($B$3*100000+COUNTIFS(tblRegistros[ID],$B$3,tblRegistros[Data],"&lt;"&amp;$B$4)+ROWS($L$10:L390),tblRegistros[Chave do cartão],0),"")</f>
        <v/>
      </c>
    </row>
    <row r="391" spans="1:12">
      <c r="A391" s="2" t="str">
        <f>IF($L391="","",IF(INDEX(tblRegistros[Data],$L391)&gt;$D$4,"",IFERROR(INDEX(tblRegistros[Data],$L391),"")))</f>
        <v/>
      </c>
      <c r="B391" t="str">
        <f>IF($L391="","",IF(INDEX(tblRegistros[Data],$L391)&gt;$D$4,"",IFERROR(INDEX(tblRegistros[Projeto],$L391),"")))</f>
        <v/>
      </c>
      <c r="C391" t="str">
        <f>IF($L391="","",IF(INDEX(tblRegistros[Data],$L391)&gt;$D$4,"",IFERROR(INDEX(tblRegistros[Atividade],$L391),"")))</f>
        <v/>
      </c>
      <c r="D391" s="4" t="str">
        <f>IF($L391="","",IF(INDEX(tblRegistros[Data],$L391)&gt;$D$4,"",IFERROR(INDEX(tblRegistros[Início],$L391),"")))</f>
        <v/>
      </c>
      <c r="E391" s="4" t="str">
        <f>IF($L391="","",IF(INDEX(tblRegistros[Data],$L391)&gt;$D$4,"",IFERROR(IF(INDEX(tblRegistros[Status],$L391)="EM ABERTO","",INDEX(tblRegistros[Fim],$L391)),"")))</f>
        <v/>
      </c>
      <c r="F391" s="14" t="str">
        <f>IF($L391="","",IF(INDEX(tblRegistros[Data],$L391)&gt;$D$4,"",IFERROR(IF(INDEX(tblRegistros[Status],$L391)="EM ABERTO","",INDEX(tblRegistros[Horas],$L391)),"")))</f>
        <v/>
      </c>
      <c r="G391" t="str">
        <f>IF($L391="","",IF(INDEX(tblRegistros[Data],$L391)&gt;$D$4,"",IFERROR(INDEX(tblRegistros[Base],$L391),"")))</f>
        <v/>
      </c>
      <c r="H391" s="3" t="str">
        <f>IF($L391="","",IF(INDEX(tblRegistros[Data],$L391)&gt;$D$4,"",IFERROR(INDEX(tblRegistros[Taxa aplicada],$L391),"")))</f>
        <v/>
      </c>
      <c r="I391" s="3" t="str">
        <f>IF($L391="","",IF(INDEX(tblRegistros[Data],$L391)&gt;$D$4,"",IFERROR(IF(INDEX(tblRegistros[Status],$L391)="EM ABERTO","",INDEX(tblRegistros[Valor],$L391)),"")))</f>
        <v/>
      </c>
      <c r="J391" t="str">
        <f>IF($L391="","",IF(INDEX(tblRegistros[Data],$L391)&gt;$D$4,"",IFERROR(INDEX(tblRegistros[Status],$L391),"")))</f>
        <v/>
      </c>
      <c r="K391" t="str">
        <f>IF($L391="","",IF(INDEX(tblRegistros[Data],$L391)&gt;$D$4,"",IFERROR(INDEX(tblRegistros[Observação],$L391),"")))</f>
        <v/>
      </c>
      <c r="L391" s="16" t="str">
        <f>IFERROR(MATCH($B$3*100000+COUNTIFS(tblRegistros[ID],$B$3,tblRegistros[Data],"&lt;"&amp;$B$4)+ROWS($L$10:L391),tblRegistros[Chave do cartão],0),"")</f>
        <v/>
      </c>
    </row>
    <row r="392" spans="1:12">
      <c r="A392" s="2" t="str">
        <f>IF($L392="","",IF(INDEX(tblRegistros[Data],$L392)&gt;$D$4,"",IFERROR(INDEX(tblRegistros[Data],$L392),"")))</f>
        <v/>
      </c>
      <c r="B392" t="str">
        <f>IF($L392="","",IF(INDEX(tblRegistros[Data],$L392)&gt;$D$4,"",IFERROR(INDEX(tblRegistros[Projeto],$L392),"")))</f>
        <v/>
      </c>
      <c r="C392" t="str">
        <f>IF($L392="","",IF(INDEX(tblRegistros[Data],$L392)&gt;$D$4,"",IFERROR(INDEX(tblRegistros[Atividade],$L392),"")))</f>
        <v/>
      </c>
      <c r="D392" s="4" t="str">
        <f>IF($L392="","",IF(INDEX(tblRegistros[Data],$L392)&gt;$D$4,"",IFERROR(INDEX(tblRegistros[Início],$L392),"")))</f>
        <v/>
      </c>
      <c r="E392" s="4" t="str">
        <f>IF($L392="","",IF(INDEX(tblRegistros[Data],$L392)&gt;$D$4,"",IFERROR(IF(INDEX(tblRegistros[Status],$L392)="EM ABERTO","",INDEX(tblRegistros[Fim],$L392)),"")))</f>
        <v/>
      </c>
      <c r="F392" s="14" t="str">
        <f>IF($L392="","",IF(INDEX(tblRegistros[Data],$L392)&gt;$D$4,"",IFERROR(IF(INDEX(tblRegistros[Status],$L392)="EM ABERTO","",INDEX(tblRegistros[Horas],$L392)),"")))</f>
        <v/>
      </c>
      <c r="G392" t="str">
        <f>IF($L392="","",IF(INDEX(tblRegistros[Data],$L392)&gt;$D$4,"",IFERROR(INDEX(tblRegistros[Base],$L392),"")))</f>
        <v/>
      </c>
      <c r="H392" s="3" t="str">
        <f>IF($L392="","",IF(INDEX(tblRegistros[Data],$L392)&gt;$D$4,"",IFERROR(INDEX(tblRegistros[Taxa aplicada],$L392),"")))</f>
        <v/>
      </c>
      <c r="I392" s="3" t="str">
        <f>IF($L392="","",IF(INDEX(tblRegistros[Data],$L392)&gt;$D$4,"",IFERROR(IF(INDEX(tblRegistros[Status],$L392)="EM ABERTO","",INDEX(tblRegistros[Valor],$L392)),"")))</f>
        <v/>
      </c>
      <c r="J392" t="str">
        <f>IF($L392="","",IF(INDEX(tblRegistros[Data],$L392)&gt;$D$4,"",IFERROR(INDEX(tblRegistros[Status],$L392),"")))</f>
        <v/>
      </c>
      <c r="K392" t="str">
        <f>IF($L392="","",IF(INDEX(tblRegistros[Data],$L392)&gt;$D$4,"",IFERROR(INDEX(tblRegistros[Observação],$L392),"")))</f>
        <v/>
      </c>
      <c r="L392" s="16" t="str">
        <f>IFERROR(MATCH($B$3*100000+COUNTIFS(tblRegistros[ID],$B$3,tblRegistros[Data],"&lt;"&amp;$B$4)+ROWS($L$10:L392),tblRegistros[Chave do cartão],0),"")</f>
        <v/>
      </c>
    </row>
    <row r="393" spans="1:12">
      <c r="A393" s="2" t="str">
        <f>IF($L393="","",IF(INDEX(tblRegistros[Data],$L393)&gt;$D$4,"",IFERROR(INDEX(tblRegistros[Data],$L393),"")))</f>
        <v/>
      </c>
      <c r="B393" t="str">
        <f>IF($L393="","",IF(INDEX(tblRegistros[Data],$L393)&gt;$D$4,"",IFERROR(INDEX(tblRegistros[Projeto],$L393),"")))</f>
        <v/>
      </c>
      <c r="C393" t="str">
        <f>IF($L393="","",IF(INDEX(tblRegistros[Data],$L393)&gt;$D$4,"",IFERROR(INDEX(tblRegistros[Atividade],$L393),"")))</f>
        <v/>
      </c>
      <c r="D393" s="4" t="str">
        <f>IF($L393="","",IF(INDEX(tblRegistros[Data],$L393)&gt;$D$4,"",IFERROR(INDEX(tblRegistros[Início],$L393),"")))</f>
        <v/>
      </c>
      <c r="E393" s="4" t="str">
        <f>IF($L393="","",IF(INDEX(tblRegistros[Data],$L393)&gt;$D$4,"",IFERROR(IF(INDEX(tblRegistros[Status],$L393)="EM ABERTO","",INDEX(tblRegistros[Fim],$L393)),"")))</f>
        <v/>
      </c>
      <c r="F393" s="14" t="str">
        <f>IF($L393="","",IF(INDEX(tblRegistros[Data],$L393)&gt;$D$4,"",IFERROR(IF(INDEX(tblRegistros[Status],$L393)="EM ABERTO","",INDEX(tblRegistros[Horas],$L393)),"")))</f>
        <v/>
      </c>
      <c r="G393" t="str">
        <f>IF($L393="","",IF(INDEX(tblRegistros[Data],$L393)&gt;$D$4,"",IFERROR(INDEX(tblRegistros[Base],$L393),"")))</f>
        <v/>
      </c>
      <c r="H393" s="3" t="str">
        <f>IF($L393="","",IF(INDEX(tblRegistros[Data],$L393)&gt;$D$4,"",IFERROR(INDEX(tblRegistros[Taxa aplicada],$L393),"")))</f>
        <v/>
      </c>
      <c r="I393" s="3" t="str">
        <f>IF($L393="","",IF(INDEX(tblRegistros[Data],$L393)&gt;$D$4,"",IFERROR(IF(INDEX(tblRegistros[Status],$L393)="EM ABERTO","",INDEX(tblRegistros[Valor],$L393)),"")))</f>
        <v/>
      </c>
      <c r="J393" t="str">
        <f>IF($L393="","",IF(INDEX(tblRegistros[Data],$L393)&gt;$D$4,"",IFERROR(INDEX(tblRegistros[Status],$L393),"")))</f>
        <v/>
      </c>
      <c r="K393" t="str">
        <f>IF($L393="","",IF(INDEX(tblRegistros[Data],$L393)&gt;$D$4,"",IFERROR(INDEX(tblRegistros[Observação],$L393),"")))</f>
        <v/>
      </c>
      <c r="L393" s="16" t="str">
        <f>IFERROR(MATCH($B$3*100000+COUNTIFS(tblRegistros[ID],$B$3,tblRegistros[Data],"&lt;"&amp;$B$4)+ROWS($L$10:L393),tblRegistros[Chave do cartão],0),"")</f>
        <v/>
      </c>
    </row>
    <row r="394" spans="1:12">
      <c r="A394" s="2" t="str">
        <f>IF($L394="","",IF(INDEX(tblRegistros[Data],$L394)&gt;$D$4,"",IFERROR(INDEX(tblRegistros[Data],$L394),"")))</f>
        <v/>
      </c>
      <c r="B394" t="str">
        <f>IF($L394="","",IF(INDEX(tblRegistros[Data],$L394)&gt;$D$4,"",IFERROR(INDEX(tblRegistros[Projeto],$L394),"")))</f>
        <v/>
      </c>
      <c r="C394" t="str">
        <f>IF($L394="","",IF(INDEX(tblRegistros[Data],$L394)&gt;$D$4,"",IFERROR(INDEX(tblRegistros[Atividade],$L394),"")))</f>
        <v/>
      </c>
      <c r="D394" s="4" t="str">
        <f>IF($L394="","",IF(INDEX(tblRegistros[Data],$L394)&gt;$D$4,"",IFERROR(INDEX(tblRegistros[Início],$L394),"")))</f>
        <v/>
      </c>
      <c r="E394" s="4" t="str">
        <f>IF($L394="","",IF(INDEX(tblRegistros[Data],$L394)&gt;$D$4,"",IFERROR(IF(INDEX(tblRegistros[Status],$L394)="EM ABERTO","",INDEX(tblRegistros[Fim],$L394)),"")))</f>
        <v/>
      </c>
      <c r="F394" s="14" t="str">
        <f>IF($L394="","",IF(INDEX(tblRegistros[Data],$L394)&gt;$D$4,"",IFERROR(IF(INDEX(tblRegistros[Status],$L394)="EM ABERTO","",INDEX(tblRegistros[Horas],$L394)),"")))</f>
        <v/>
      </c>
      <c r="G394" t="str">
        <f>IF($L394="","",IF(INDEX(tblRegistros[Data],$L394)&gt;$D$4,"",IFERROR(INDEX(tblRegistros[Base],$L394),"")))</f>
        <v/>
      </c>
      <c r="H394" s="3" t="str">
        <f>IF($L394="","",IF(INDEX(tblRegistros[Data],$L394)&gt;$D$4,"",IFERROR(INDEX(tblRegistros[Taxa aplicada],$L394),"")))</f>
        <v/>
      </c>
      <c r="I394" s="3" t="str">
        <f>IF($L394="","",IF(INDEX(tblRegistros[Data],$L394)&gt;$D$4,"",IFERROR(IF(INDEX(tblRegistros[Status],$L394)="EM ABERTO","",INDEX(tblRegistros[Valor],$L394)),"")))</f>
        <v/>
      </c>
      <c r="J394" t="str">
        <f>IF($L394="","",IF(INDEX(tblRegistros[Data],$L394)&gt;$D$4,"",IFERROR(INDEX(tblRegistros[Status],$L394),"")))</f>
        <v/>
      </c>
      <c r="K394" t="str">
        <f>IF($L394="","",IF(INDEX(tblRegistros[Data],$L394)&gt;$D$4,"",IFERROR(INDEX(tblRegistros[Observação],$L394),"")))</f>
        <v/>
      </c>
      <c r="L394" s="16" t="str">
        <f>IFERROR(MATCH($B$3*100000+COUNTIFS(tblRegistros[ID],$B$3,tblRegistros[Data],"&lt;"&amp;$B$4)+ROWS($L$10:L394),tblRegistros[Chave do cartão],0),"")</f>
        <v/>
      </c>
    </row>
    <row r="395" spans="1:12">
      <c r="A395" s="2" t="str">
        <f>IF($L395="","",IF(INDEX(tblRegistros[Data],$L395)&gt;$D$4,"",IFERROR(INDEX(tblRegistros[Data],$L395),"")))</f>
        <v/>
      </c>
      <c r="B395" t="str">
        <f>IF($L395="","",IF(INDEX(tblRegistros[Data],$L395)&gt;$D$4,"",IFERROR(INDEX(tblRegistros[Projeto],$L395),"")))</f>
        <v/>
      </c>
      <c r="C395" t="str">
        <f>IF($L395="","",IF(INDEX(tblRegistros[Data],$L395)&gt;$D$4,"",IFERROR(INDEX(tblRegistros[Atividade],$L395),"")))</f>
        <v/>
      </c>
      <c r="D395" s="4" t="str">
        <f>IF($L395="","",IF(INDEX(tblRegistros[Data],$L395)&gt;$D$4,"",IFERROR(INDEX(tblRegistros[Início],$L395),"")))</f>
        <v/>
      </c>
      <c r="E395" s="4" t="str">
        <f>IF($L395="","",IF(INDEX(tblRegistros[Data],$L395)&gt;$D$4,"",IFERROR(IF(INDEX(tblRegistros[Status],$L395)="EM ABERTO","",INDEX(tblRegistros[Fim],$L395)),"")))</f>
        <v/>
      </c>
      <c r="F395" s="14" t="str">
        <f>IF($L395="","",IF(INDEX(tblRegistros[Data],$L395)&gt;$D$4,"",IFERROR(IF(INDEX(tblRegistros[Status],$L395)="EM ABERTO","",INDEX(tblRegistros[Horas],$L395)),"")))</f>
        <v/>
      </c>
      <c r="G395" t="str">
        <f>IF($L395="","",IF(INDEX(tblRegistros[Data],$L395)&gt;$D$4,"",IFERROR(INDEX(tblRegistros[Base],$L395),"")))</f>
        <v/>
      </c>
      <c r="H395" s="3" t="str">
        <f>IF($L395="","",IF(INDEX(tblRegistros[Data],$L395)&gt;$D$4,"",IFERROR(INDEX(tblRegistros[Taxa aplicada],$L395),"")))</f>
        <v/>
      </c>
      <c r="I395" s="3" t="str">
        <f>IF($L395="","",IF(INDEX(tblRegistros[Data],$L395)&gt;$D$4,"",IFERROR(IF(INDEX(tblRegistros[Status],$L395)="EM ABERTO","",INDEX(tblRegistros[Valor],$L395)),"")))</f>
        <v/>
      </c>
      <c r="J395" t="str">
        <f>IF($L395="","",IF(INDEX(tblRegistros[Data],$L395)&gt;$D$4,"",IFERROR(INDEX(tblRegistros[Status],$L395),"")))</f>
        <v/>
      </c>
      <c r="K395" t="str">
        <f>IF($L395="","",IF(INDEX(tblRegistros[Data],$L395)&gt;$D$4,"",IFERROR(INDEX(tblRegistros[Observação],$L395),"")))</f>
        <v/>
      </c>
      <c r="L395" s="16" t="str">
        <f>IFERROR(MATCH($B$3*100000+COUNTIFS(tblRegistros[ID],$B$3,tblRegistros[Data],"&lt;"&amp;$B$4)+ROWS($L$10:L395),tblRegistros[Chave do cartão],0),"")</f>
        <v/>
      </c>
    </row>
    <row r="396" spans="1:12">
      <c r="A396" s="2" t="str">
        <f>IF($L396="","",IF(INDEX(tblRegistros[Data],$L396)&gt;$D$4,"",IFERROR(INDEX(tblRegistros[Data],$L396),"")))</f>
        <v/>
      </c>
      <c r="B396" t="str">
        <f>IF($L396="","",IF(INDEX(tblRegistros[Data],$L396)&gt;$D$4,"",IFERROR(INDEX(tblRegistros[Projeto],$L396),"")))</f>
        <v/>
      </c>
      <c r="C396" t="str">
        <f>IF($L396="","",IF(INDEX(tblRegistros[Data],$L396)&gt;$D$4,"",IFERROR(INDEX(tblRegistros[Atividade],$L396),"")))</f>
        <v/>
      </c>
      <c r="D396" s="4" t="str">
        <f>IF($L396="","",IF(INDEX(tblRegistros[Data],$L396)&gt;$D$4,"",IFERROR(INDEX(tblRegistros[Início],$L396),"")))</f>
        <v/>
      </c>
      <c r="E396" s="4" t="str">
        <f>IF($L396="","",IF(INDEX(tblRegistros[Data],$L396)&gt;$D$4,"",IFERROR(IF(INDEX(tblRegistros[Status],$L396)="EM ABERTO","",INDEX(tblRegistros[Fim],$L396)),"")))</f>
        <v/>
      </c>
      <c r="F396" s="14" t="str">
        <f>IF($L396="","",IF(INDEX(tblRegistros[Data],$L396)&gt;$D$4,"",IFERROR(IF(INDEX(tblRegistros[Status],$L396)="EM ABERTO","",INDEX(tblRegistros[Horas],$L396)),"")))</f>
        <v/>
      </c>
      <c r="G396" t="str">
        <f>IF($L396="","",IF(INDEX(tblRegistros[Data],$L396)&gt;$D$4,"",IFERROR(INDEX(tblRegistros[Base],$L396),"")))</f>
        <v/>
      </c>
      <c r="H396" s="3" t="str">
        <f>IF($L396="","",IF(INDEX(tblRegistros[Data],$L396)&gt;$D$4,"",IFERROR(INDEX(tblRegistros[Taxa aplicada],$L396),"")))</f>
        <v/>
      </c>
      <c r="I396" s="3" t="str">
        <f>IF($L396="","",IF(INDEX(tblRegistros[Data],$L396)&gt;$D$4,"",IFERROR(IF(INDEX(tblRegistros[Status],$L396)="EM ABERTO","",INDEX(tblRegistros[Valor],$L396)),"")))</f>
        <v/>
      </c>
      <c r="J396" t="str">
        <f>IF($L396="","",IF(INDEX(tblRegistros[Data],$L396)&gt;$D$4,"",IFERROR(INDEX(tblRegistros[Status],$L396),"")))</f>
        <v/>
      </c>
      <c r="K396" t="str">
        <f>IF($L396="","",IF(INDEX(tblRegistros[Data],$L396)&gt;$D$4,"",IFERROR(INDEX(tblRegistros[Observação],$L396),"")))</f>
        <v/>
      </c>
      <c r="L396" s="16" t="str">
        <f>IFERROR(MATCH($B$3*100000+COUNTIFS(tblRegistros[ID],$B$3,tblRegistros[Data],"&lt;"&amp;$B$4)+ROWS($L$10:L396),tblRegistros[Chave do cartão],0),"")</f>
        <v/>
      </c>
    </row>
    <row r="397" spans="1:12">
      <c r="A397" s="2" t="str">
        <f>IF($L397="","",IF(INDEX(tblRegistros[Data],$L397)&gt;$D$4,"",IFERROR(INDEX(tblRegistros[Data],$L397),"")))</f>
        <v/>
      </c>
      <c r="B397" t="str">
        <f>IF($L397="","",IF(INDEX(tblRegistros[Data],$L397)&gt;$D$4,"",IFERROR(INDEX(tblRegistros[Projeto],$L397),"")))</f>
        <v/>
      </c>
      <c r="C397" t="str">
        <f>IF($L397="","",IF(INDEX(tblRegistros[Data],$L397)&gt;$D$4,"",IFERROR(INDEX(tblRegistros[Atividade],$L397),"")))</f>
        <v/>
      </c>
      <c r="D397" s="4" t="str">
        <f>IF($L397="","",IF(INDEX(tblRegistros[Data],$L397)&gt;$D$4,"",IFERROR(INDEX(tblRegistros[Início],$L397),"")))</f>
        <v/>
      </c>
      <c r="E397" s="4" t="str">
        <f>IF($L397="","",IF(INDEX(tblRegistros[Data],$L397)&gt;$D$4,"",IFERROR(IF(INDEX(tblRegistros[Status],$L397)="EM ABERTO","",INDEX(tblRegistros[Fim],$L397)),"")))</f>
        <v/>
      </c>
      <c r="F397" s="14" t="str">
        <f>IF($L397="","",IF(INDEX(tblRegistros[Data],$L397)&gt;$D$4,"",IFERROR(IF(INDEX(tblRegistros[Status],$L397)="EM ABERTO","",INDEX(tblRegistros[Horas],$L397)),"")))</f>
        <v/>
      </c>
      <c r="G397" t="str">
        <f>IF($L397="","",IF(INDEX(tblRegistros[Data],$L397)&gt;$D$4,"",IFERROR(INDEX(tblRegistros[Base],$L397),"")))</f>
        <v/>
      </c>
      <c r="H397" s="3" t="str">
        <f>IF($L397="","",IF(INDEX(tblRegistros[Data],$L397)&gt;$D$4,"",IFERROR(INDEX(tblRegistros[Taxa aplicada],$L397),"")))</f>
        <v/>
      </c>
      <c r="I397" s="3" t="str">
        <f>IF($L397="","",IF(INDEX(tblRegistros[Data],$L397)&gt;$D$4,"",IFERROR(IF(INDEX(tblRegistros[Status],$L397)="EM ABERTO","",INDEX(tblRegistros[Valor],$L397)),"")))</f>
        <v/>
      </c>
      <c r="J397" t="str">
        <f>IF($L397="","",IF(INDEX(tblRegistros[Data],$L397)&gt;$D$4,"",IFERROR(INDEX(tblRegistros[Status],$L397),"")))</f>
        <v/>
      </c>
      <c r="K397" t="str">
        <f>IF($L397="","",IF(INDEX(tblRegistros[Data],$L397)&gt;$D$4,"",IFERROR(INDEX(tblRegistros[Observação],$L397),"")))</f>
        <v/>
      </c>
      <c r="L397" s="16" t="str">
        <f>IFERROR(MATCH($B$3*100000+COUNTIFS(tblRegistros[ID],$B$3,tblRegistros[Data],"&lt;"&amp;$B$4)+ROWS($L$10:L397),tblRegistros[Chave do cartão],0),"")</f>
        <v/>
      </c>
    </row>
    <row r="398" spans="1:12">
      <c r="A398" s="2" t="str">
        <f>IF($L398="","",IF(INDEX(tblRegistros[Data],$L398)&gt;$D$4,"",IFERROR(INDEX(tblRegistros[Data],$L398),"")))</f>
        <v/>
      </c>
      <c r="B398" t="str">
        <f>IF($L398="","",IF(INDEX(tblRegistros[Data],$L398)&gt;$D$4,"",IFERROR(INDEX(tblRegistros[Projeto],$L398),"")))</f>
        <v/>
      </c>
      <c r="C398" t="str">
        <f>IF($L398="","",IF(INDEX(tblRegistros[Data],$L398)&gt;$D$4,"",IFERROR(INDEX(tblRegistros[Atividade],$L398),"")))</f>
        <v/>
      </c>
      <c r="D398" s="4" t="str">
        <f>IF($L398="","",IF(INDEX(tblRegistros[Data],$L398)&gt;$D$4,"",IFERROR(INDEX(tblRegistros[Início],$L398),"")))</f>
        <v/>
      </c>
      <c r="E398" s="4" t="str">
        <f>IF($L398="","",IF(INDEX(tblRegistros[Data],$L398)&gt;$D$4,"",IFERROR(IF(INDEX(tblRegistros[Status],$L398)="EM ABERTO","",INDEX(tblRegistros[Fim],$L398)),"")))</f>
        <v/>
      </c>
      <c r="F398" s="14" t="str">
        <f>IF($L398="","",IF(INDEX(tblRegistros[Data],$L398)&gt;$D$4,"",IFERROR(IF(INDEX(tblRegistros[Status],$L398)="EM ABERTO","",INDEX(tblRegistros[Horas],$L398)),"")))</f>
        <v/>
      </c>
      <c r="G398" t="str">
        <f>IF($L398="","",IF(INDEX(tblRegistros[Data],$L398)&gt;$D$4,"",IFERROR(INDEX(tblRegistros[Base],$L398),"")))</f>
        <v/>
      </c>
      <c r="H398" s="3" t="str">
        <f>IF($L398="","",IF(INDEX(tblRegistros[Data],$L398)&gt;$D$4,"",IFERROR(INDEX(tblRegistros[Taxa aplicada],$L398),"")))</f>
        <v/>
      </c>
      <c r="I398" s="3" t="str">
        <f>IF($L398="","",IF(INDEX(tblRegistros[Data],$L398)&gt;$D$4,"",IFERROR(IF(INDEX(tblRegistros[Status],$L398)="EM ABERTO","",INDEX(tblRegistros[Valor],$L398)),"")))</f>
        <v/>
      </c>
      <c r="J398" t="str">
        <f>IF($L398="","",IF(INDEX(tblRegistros[Data],$L398)&gt;$D$4,"",IFERROR(INDEX(tblRegistros[Status],$L398),"")))</f>
        <v/>
      </c>
      <c r="K398" t="str">
        <f>IF($L398="","",IF(INDEX(tblRegistros[Data],$L398)&gt;$D$4,"",IFERROR(INDEX(tblRegistros[Observação],$L398),"")))</f>
        <v/>
      </c>
      <c r="L398" s="16" t="str">
        <f>IFERROR(MATCH($B$3*100000+COUNTIFS(tblRegistros[ID],$B$3,tblRegistros[Data],"&lt;"&amp;$B$4)+ROWS($L$10:L398),tblRegistros[Chave do cartão],0),"")</f>
        <v/>
      </c>
    </row>
    <row r="399" spans="1:12">
      <c r="A399" s="2" t="str">
        <f>IF($L399="","",IF(INDEX(tblRegistros[Data],$L399)&gt;$D$4,"",IFERROR(INDEX(tblRegistros[Data],$L399),"")))</f>
        <v/>
      </c>
      <c r="B399" t="str">
        <f>IF($L399="","",IF(INDEX(tblRegistros[Data],$L399)&gt;$D$4,"",IFERROR(INDEX(tblRegistros[Projeto],$L399),"")))</f>
        <v/>
      </c>
      <c r="C399" t="str">
        <f>IF($L399="","",IF(INDEX(tblRegistros[Data],$L399)&gt;$D$4,"",IFERROR(INDEX(tblRegistros[Atividade],$L399),"")))</f>
        <v/>
      </c>
      <c r="D399" s="4" t="str">
        <f>IF($L399="","",IF(INDEX(tblRegistros[Data],$L399)&gt;$D$4,"",IFERROR(INDEX(tblRegistros[Início],$L399),"")))</f>
        <v/>
      </c>
      <c r="E399" s="4" t="str">
        <f>IF($L399="","",IF(INDEX(tblRegistros[Data],$L399)&gt;$D$4,"",IFERROR(IF(INDEX(tblRegistros[Status],$L399)="EM ABERTO","",INDEX(tblRegistros[Fim],$L399)),"")))</f>
        <v/>
      </c>
      <c r="F399" s="14" t="str">
        <f>IF($L399="","",IF(INDEX(tblRegistros[Data],$L399)&gt;$D$4,"",IFERROR(IF(INDEX(tblRegistros[Status],$L399)="EM ABERTO","",INDEX(tblRegistros[Horas],$L399)),"")))</f>
        <v/>
      </c>
      <c r="G399" t="str">
        <f>IF($L399="","",IF(INDEX(tblRegistros[Data],$L399)&gt;$D$4,"",IFERROR(INDEX(tblRegistros[Base],$L399),"")))</f>
        <v/>
      </c>
      <c r="H399" s="3" t="str">
        <f>IF($L399="","",IF(INDEX(tblRegistros[Data],$L399)&gt;$D$4,"",IFERROR(INDEX(tblRegistros[Taxa aplicada],$L399),"")))</f>
        <v/>
      </c>
      <c r="I399" s="3" t="str">
        <f>IF($L399="","",IF(INDEX(tblRegistros[Data],$L399)&gt;$D$4,"",IFERROR(IF(INDEX(tblRegistros[Status],$L399)="EM ABERTO","",INDEX(tblRegistros[Valor],$L399)),"")))</f>
        <v/>
      </c>
      <c r="J399" t="str">
        <f>IF($L399="","",IF(INDEX(tblRegistros[Data],$L399)&gt;$D$4,"",IFERROR(INDEX(tblRegistros[Status],$L399),"")))</f>
        <v/>
      </c>
      <c r="K399" t="str">
        <f>IF($L399="","",IF(INDEX(tblRegistros[Data],$L399)&gt;$D$4,"",IFERROR(INDEX(tblRegistros[Observação],$L399),"")))</f>
        <v/>
      </c>
      <c r="L399" s="16" t="str">
        <f>IFERROR(MATCH($B$3*100000+COUNTIFS(tblRegistros[ID],$B$3,tblRegistros[Data],"&lt;"&amp;$B$4)+ROWS($L$10:L399),tblRegistros[Chave do cartão],0),"")</f>
        <v/>
      </c>
    </row>
    <row r="400" spans="1:12">
      <c r="A400" s="2" t="str">
        <f>IF($L400="","",IF(INDEX(tblRegistros[Data],$L400)&gt;$D$4,"",IFERROR(INDEX(tblRegistros[Data],$L400),"")))</f>
        <v/>
      </c>
      <c r="B400" t="str">
        <f>IF($L400="","",IF(INDEX(tblRegistros[Data],$L400)&gt;$D$4,"",IFERROR(INDEX(tblRegistros[Projeto],$L400),"")))</f>
        <v/>
      </c>
      <c r="C400" t="str">
        <f>IF($L400="","",IF(INDEX(tblRegistros[Data],$L400)&gt;$D$4,"",IFERROR(INDEX(tblRegistros[Atividade],$L400),"")))</f>
        <v/>
      </c>
      <c r="D400" s="4" t="str">
        <f>IF($L400="","",IF(INDEX(tblRegistros[Data],$L400)&gt;$D$4,"",IFERROR(INDEX(tblRegistros[Início],$L400),"")))</f>
        <v/>
      </c>
      <c r="E400" s="4" t="str">
        <f>IF($L400="","",IF(INDEX(tblRegistros[Data],$L400)&gt;$D$4,"",IFERROR(IF(INDEX(tblRegistros[Status],$L400)="EM ABERTO","",INDEX(tblRegistros[Fim],$L400)),"")))</f>
        <v/>
      </c>
      <c r="F400" s="14" t="str">
        <f>IF($L400="","",IF(INDEX(tblRegistros[Data],$L400)&gt;$D$4,"",IFERROR(IF(INDEX(tblRegistros[Status],$L400)="EM ABERTO","",INDEX(tblRegistros[Horas],$L400)),"")))</f>
        <v/>
      </c>
      <c r="G400" t="str">
        <f>IF($L400="","",IF(INDEX(tblRegistros[Data],$L400)&gt;$D$4,"",IFERROR(INDEX(tblRegistros[Base],$L400),"")))</f>
        <v/>
      </c>
      <c r="H400" s="3" t="str">
        <f>IF($L400="","",IF(INDEX(tblRegistros[Data],$L400)&gt;$D$4,"",IFERROR(INDEX(tblRegistros[Taxa aplicada],$L400),"")))</f>
        <v/>
      </c>
      <c r="I400" s="3" t="str">
        <f>IF($L400="","",IF(INDEX(tblRegistros[Data],$L400)&gt;$D$4,"",IFERROR(IF(INDEX(tblRegistros[Status],$L400)="EM ABERTO","",INDEX(tblRegistros[Valor],$L400)),"")))</f>
        <v/>
      </c>
      <c r="J400" t="str">
        <f>IF($L400="","",IF(INDEX(tblRegistros[Data],$L400)&gt;$D$4,"",IFERROR(INDEX(tblRegistros[Status],$L400),"")))</f>
        <v/>
      </c>
      <c r="K400" t="str">
        <f>IF($L400="","",IF(INDEX(tblRegistros[Data],$L400)&gt;$D$4,"",IFERROR(INDEX(tblRegistros[Observação],$L400),"")))</f>
        <v/>
      </c>
      <c r="L400" s="16" t="str">
        <f>IFERROR(MATCH($B$3*100000+COUNTIFS(tblRegistros[ID],$B$3,tblRegistros[Data],"&lt;"&amp;$B$4)+ROWS($L$10:L400),tblRegistros[Chave do cartão],0),"")</f>
        <v/>
      </c>
    </row>
    <row r="401" spans="1:12">
      <c r="A401" s="2" t="str">
        <f>IF($L401="","",IF(INDEX(tblRegistros[Data],$L401)&gt;$D$4,"",IFERROR(INDEX(tblRegistros[Data],$L401),"")))</f>
        <v/>
      </c>
      <c r="B401" t="str">
        <f>IF($L401="","",IF(INDEX(tblRegistros[Data],$L401)&gt;$D$4,"",IFERROR(INDEX(tblRegistros[Projeto],$L401),"")))</f>
        <v/>
      </c>
      <c r="C401" t="str">
        <f>IF($L401="","",IF(INDEX(tblRegistros[Data],$L401)&gt;$D$4,"",IFERROR(INDEX(tblRegistros[Atividade],$L401),"")))</f>
        <v/>
      </c>
      <c r="D401" s="4" t="str">
        <f>IF($L401="","",IF(INDEX(tblRegistros[Data],$L401)&gt;$D$4,"",IFERROR(INDEX(tblRegistros[Início],$L401),"")))</f>
        <v/>
      </c>
      <c r="E401" s="4" t="str">
        <f>IF($L401="","",IF(INDEX(tblRegistros[Data],$L401)&gt;$D$4,"",IFERROR(IF(INDEX(tblRegistros[Status],$L401)="EM ABERTO","",INDEX(tblRegistros[Fim],$L401)),"")))</f>
        <v/>
      </c>
      <c r="F401" t="str">
        <f>IF($L401="","",IF(INDEX(tblRegistros[Data],$L401)&gt;$D$4,"",IFERROR(IF(INDEX(tblRegistros[Status],$L401)="EM ABERTO","",INDEX(tblRegistros[Horas],$L401)),"")))</f>
        <v/>
      </c>
      <c r="G401" t="str">
        <f>IF($L401="","",IF(INDEX(tblRegistros[Data],$L401)&gt;$D$4,"",IFERROR(INDEX(tblRegistros[Base],$L401),"")))</f>
        <v/>
      </c>
      <c r="H401" s="3" t="str">
        <f>IF($L401="","",IF(INDEX(tblRegistros[Data],$L401)&gt;$D$4,"",IFERROR(INDEX(tblRegistros[Taxa aplicada],$L401),"")))</f>
        <v/>
      </c>
      <c r="I401" s="3" t="str">
        <f>IF($L401="","",IF(INDEX(tblRegistros[Data],$L401)&gt;$D$4,"",IFERROR(IF(INDEX(tblRegistros[Status],$L401)="EM ABERTO","",INDEX(tblRegistros[Valor],$L401)),"")))</f>
        <v/>
      </c>
      <c r="J401" t="str">
        <f>IF($L401="","",IF(INDEX(tblRegistros[Data],$L401)&gt;$D$4,"",IFERROR(INDEX(tblRegistros[Status],$L401),"")))</f>
        <v/>
      </c>
      <c r="K401" t="str">
        <f>IF($L401="","",IF(INDEX(tblRegistros[Data],$L401)&gt;$D$4,"",IFERROR(INDEX(tblRegistros[Observação],$L401),"")))</f>
        <v/>
      </c>
      <c r="L401" s="16" t="str">
        <f>IFERROR(MATCH($B$3*100000+COUNTIFS(tblRegistros[ID],$B$3,tblRegistros[Data],"&lt;"&amp;$B$4)+ROWS($L$10:L401),tblRegistros[Chave do cartão],0),"")</f>
        <v/>
      </c>
    </row>
    <row r="402" spans="1:12">
      <c r="A402" s="2" t="str">
        <f>IF($L402="","",IF(INDEX(tblRegistros[Data],$L402)&gt;$D$4,"",IFERROR(INDEX(tblRegistros[Data],$L402),"")))</f>
        <v/>
      </c>
      <c r="B402" t="str">
        <f>IF($L402="","",IF(INDEX(tblRegistros[Data],$L402)&gt;$D$4,"",IFERROR(INDEX(tblRegistros[Projeto],$L402),"")))</f>
        <v/>
      </c>
      <c r="C402" t="str">
        <f>IF($L402="","",IF(INDEX(tblRegistros[Data],$L402)&gt;$D$4,"",IFERROR(INDEX(tblRegistros[Atividade],$L402),"")))</f>
        <v/>
      </c>
      <c r="D402" s="4" t="str">
        <f>IF($L402="","",IF(INDEX(tblRegistros[Data],$L402)&gt;$D$4,"",IFERROR(INDEX(tblRegistros[Início],$L402),"")))</f>
        <v/>
      </c>
      <c r="E402" s="4" t="str">
        <f>IF($L402="","",IF(INDEX(tblRegistros[Data],$L402)&gt;$D$4,"",IFERROR(IF(INDEX(tblRegistros[Status],$L402)="EM ABERTO","",INDEX(tblRegistros[Fim],$L402)),"")))</f>
        <v/>
      </c>
      <c r="F402" t="str">
        <f>IF($L402="","",IF(INDEX(tblRegistros[Data],$L402)&gt;$D$4,"",IFERROR(IF(INDEX(tblRegistros[Status],$L402)="EM ABERTO","",INDEX(tblRegistros[Horas],$L402)),"")))</f>
        <v/>
      </c>
      <c r="G402" t="str">
        <f>IF($L402="","",IF(INDEX(tblRegistros[Data],$L402)&gt;$D$4,"",IFERROR(INDEX(tblRegistros[Base],$L402),"")))</f>
        <v/>
      </c>
      <c r="H402" s="3" t="str">
        <f>IF($L402="","",IF(INDEX(tblRegistros[Data],$L402)&gt;$D$4,"",IFERROR(INDEX(tblRegistros[Taxa aplicada],$L402),"")))</f>
        <v/>
      </c>
      <c r="I402" s="3" t="str">
        <f>IF($L402="","",IF(INDEX(tblRegistros[Data],$L402)&gt;$D$4,"",IFERROR(IF(INDEX(tblRegistros[Status],$L402)="EM ABERTO","",INDEX(tblRegistros[Valor],$L402)),"")))</f>
        <v/>
      </c>
      <c r="J402" t="str">
        <f>IF($L402="","",IF(INDEX(tblRegistros[Data],$L402)&gt;$D$4,"",IFERROR(INDEX(tblRegistros[Status],$L402),"")))</f>
        <v/>
      </c>
      <c r="K402" t="str">
        <f>IF($L402="","",IF(INDEX(tblRegistros[Data],$L402)&gt;$D$4,"",IFERROR(INDEX(tblRegistros[Observação],$L402),"")))</f>
        <v/>
      </c>
      <c r="L402" s="16" t="str">
        <f>IFERROR(MATCH($B$3*100000+COUNTIFS(tblRegistros[ID],$B$3,tblRegistros[Data],"&lt;"&amp;$B$4)+ROWS($L$10:L402),tblRegistros[Chave do cartão],0),"")</f>
        <v/>
      </c>
    </row>
    <row r="403" spans="1:12">
      <c r="A403" s="2" t="str">
        <f>IF($L403="","",IF(INDEX(tblRegistros[Data],$L403)&gt;$D$4,"",IFERROR(INDEX(tblRegistros[Data],$L403),"")))</f>
        <v/>
      </c>
      <c r="B403" t="str">
        <f>IF($L403="","",IF(INDEX(tblRegistros[Data],$L403)&gt;$D$4,"",IFERROR(INDEX(tblRegistros[Projeto],$L403),"")))</f>
        <v/>
      </c>
      <c r="C403" t="str">
        <f>IF($L403="","",IF(INDEX(tblRegistros[Data],$L403)&gt;$D$4,"",IFERROR(INDEX(tblRegistros[Atividade],$L403),"")))</f>
        <v/>
      </c>
      <c r="D403" s="4" t="str">
        <f>IF($L403="","",IF(INDEX(tblRegistros[Data],$L403)&gt;$D$4,"",IFERROR(INDEX(tblRegistros[Início],$L403),"")))</f>
        <v/>
      </c>
      <c r="E403" s="4" t="str">
        <f>IF($L403="","",IF(INDEX(tblRegistros[Data],$L403)&gt;$D$4,"",IFERROR(IF(INDEX(tblRegistros[Status],$L403)="EM ABERTO","",INDEX(tblRegistros[Fim],$L403)),"")))</f>
        <v/>
      </c>
      <c r="F403" t="str">
        <f>IF($L403="","",IF(INDEX(tblRegistros[Data],$L403)&gt;$D$4,"",IFERROR(IF(INDEX(tblRegistros[Status],$L403)="EM ABERTO","",INDEX(tblRegistros[Horas],$L403)),"")))</f>
        <v/>
      </c>
      <c r="G403" t="str">
        <f>IF($L403="","",IF(INDEX(tblRegistros[Data],$L403)&gt;$D$4,"",IFERROR(INDEX(tblRegistros[Base],$L403),"")))</f>
        <v/>
      </c>
      <c r="H403" s="3" t="str">
        <f>IF($L403="","",IF(INDEX(tblRegistros[Data],$L403)&gt;$D$4,"",IFERROR(INDEX(tblRegistros[Taxa aplicada],$L403),"")))</f>
        <v/>
      </c>
      <c r="I403" s="3" t="str">
        <f>IF($L403="","",IF(INDEX(tblRegistros[Data],$L403)&gt;$D$4,"",IFERROR(IF(INDEX(tblRegistros[Status],$L403)="EM ABERTO","",INDEX(tblRegistros[Valor],$L403)),"")))</f>
        <v/>
      </c>
      <c r="J403" t="str">
        <f>IF($L403="","",IF(INDEX(tblRegistros[Data],$L403)&gt;$D$4,"",IFERROR(INDEX(tblRegistros[Status],$L403),"")))</f>
        <v/>
      </c>
      <c r="K403" t="str">
        <f>IF($L403="","",IF(INDEX(tblRegistros[Data],$L403)&gt;$D$4,"",IFERROR(INDEX(tblRegistros[Observação],$L403),"")))</f>
        <v/>
      </c>
      <c r="L403" s="16" t="str">
        <f>IFERROR(MATCH($B$3*100000+COUNTIFS(tblRegistros[ID],$B$3,tblRegistros[Data],"&lt;"&amp;$B$4)+ROWS($L$10:L403),tblRegistros[Chave do cartão],0),"")</f>
        <v/>
      </c>
    </row>
    <row r="404" spans="1:12">
      <c r="A404" s="2" t="str">
        <f>IF($L404="","",IF(INDEX(tblRegistros[Data],$L404)&gt;$D$4,"",IFERROR(INDEX(tblRegistros[Data],$L404),"")))</f>
        <v/>
      </c>
      <c r="B404" t="str">
        <f>IF($L404="","",IF(INDEX(tblRegistros[Data],$L404)&gt;$D$4,"",IFERROR(INDEX(tblRegistros[Projeto],$L404),"")))</f>
        <v/>
      </c>
      <c r="C404" t="str">
        <f>IF($L404="","",IF(INDEX(tblRegistros[Data],$L404)&gt;$D$4,"",IFERROR(INDEX(tblRegistros[Atividade],$L404),"")))</f>
        <v/>
      </c>
      <c r="D404" s="4" t="str">
        <f>IF($L404="","",IF(INDEX(tblRegistros[Data],$L404)&gt;$D$4,"",IFERROR(INDEX(tblRegistros[Início],$L404),"")))</f>
        <v/>
      </c>
      <c r="E404" s="4" t="str">
        <f>IF($L404="","",IF(INDEX(tblRegistros[Data],$L404)&gt;$D$4,"",IFERROR(IF(INDEX(tblRegistros[Status],$L404)="EM ABERTO","",INDEX(tblRegistros[Fim],$L404)),"")))</f>
        <v/>
      </c>
      <c r="F404" t="str">
        <f>IF($L404="","",IF(INDEX(tblRegistros[Data],$L404)&gt;$D$4,"",IFERROR(IF(INDEX(tblRegistros[Status],$L404)="EM ABERTO","",INDEX(tblRegistros[Horas],$L404)),"")))</f>
        <v/>
      </c>
      <c r="G404" t="str">
        <f>IF($L404="","",IF(INDEX(tblRegistros[Data],$L404)&gt;$D$4,"",IFERROR(INDEX(tblRegistros[Base],$L404),"")))</f>
        <v/>
      </c>
      <c r="H404" s="3" t="str">
        <f>IF($L404="","",IF(INDEX(tblRegistros[Data],$L404)&gt;$D$4,"",IFERROR(INDEX(tblRegistros[Taxa aplicada],$L404),"")))</f>
        <v/>
      </c>
      <c r="I404" s="3" t="str">
        <f>IF($L404="","",IF(INDEX(tblRegistros[Data],$L404)&gt;$D$4,"",IFERROR(IF(INDEX(tblRegistros[Status],$L404)="EM ABERTO","",INDEX(tblRegistros[Valor],$L404)),"")))</f>
        <v/>
      </c>
      <c r="J404" t="str">
        <f>IF($L404="","",IF(INDEX(tblRegistros[Data],$L404)&gt;$D$4,"",IFERROR(INDEX(tblRegistros[Status],$L404),"")))</f>
        <v/>
      </c>
      <c r="K404" t="str">
        <f>IF($L404="","",IF(INDEX(tblRegistros[Data],$L404)&gt;$D$4,"",IFERROR(INDEX(tblRegistros[Observação],$L404),"")))</f>
        <v/>
      </c>
      <c r="L404" s="16" t="str">
        <f>IFERROR(MATCH($B$3*100000+COUNTIFS(tblRegistros[ID],$B$3,tblRegistros[Data],"&lt;"&amp;$B$4)+ROWS($L$10:L404),tblRegistros[Chave do cartão],0),"")</f>
        <v/>
      </c>
    </row>
    <row r="405" spans="1:12">
      <c r="A405" s="2" t="str">
        <f>IF($L405="","",IF(INDEX(tblRegistros[Data],$L405)&gt;$D$4,"",IFERROR(INDEX(tblRegistros[Data],$L405),"")))</f>
        <v/>
      </c>
      <c r="B405" t="str">
        <f>IF($L405="","",IF(INDEX(tblRegistros[Data],$L405)&gt;$D$4,"",IFERROR(INDEX(tblRegistros[Projeto],$L405),"")))</f>
        <v/>
      </c>
      <c r="C405" t="str">
        <f>IF($L405="","",IF(INDEX(tblRegistros[Data],$L405)&gt;$D$4,"",IFERROR(INDEX(tblRegistros[Atividade],$L405),"")))</f>
        <v/>
      </c>
      <c r="D405" s="4" t="str">
        <f>IF($L405="","",IF(INDEX(tblRegistros[Data],$L405)&gt;$D$4,"",IFERROR(INDEX(tblRegistros[Início],$L405),"")))</f>
        <v/>
      </c>
      <c r="E405" s="4" t="str">
        <f>IF($L405="","",IF(INDEX(tblRegistros[Data],$L405)&gt;$D$4,"",IFERROR(IF(INDEX(tblRegistros[Status],$L405)="EM ABERTO","",INDEX(tblRegistros[Fim],$L405)),"")))</f>
        <v/>
      </c>
      <c r="F405" t="str">
        <f>IF($L405="","",IF(INDEX(tblRegistros[Data],$L405)&gt;$D$4,"",IFERROR(IF(INDEX(tblRegistros[Status],$L405)="EM ABERTO","",INDEX(tblRegistros[Horas],$L405)),"")))</f>
        <v/>
      </c>
      <c r="G405" t="str">
        <f>IF($L405="","",IF(INDEX(tblRegistros[Data],$L405)&gt;$D$4,"",IFERROR(INDEX(tblRegistros[Base],$L405),"")))</f>
        <v/>
      </c>
      <c r="H405" s="3" t="str">
        <f>IF($L405="","",IF(INDEX(tblRegistros[Data],$L405)&gt;$D$4,"",IFERROR(INDEX(tblRegistros[Taxa aplicada],$L405),"")))</f>
        <v/>
      </c>
      <c r="I405" s="3" t="str">
        <f>IF($L405="","",IF(INDEX(tblRegistros[Data],$L405)&gt;$D$4,"",IFERROR(IF(INDEX(tblRegistros[Status],$L405)="EM ABERTO","",INDEX(tblRegistros[Valor],$L405)),"")))</f>
        <v/>
      </c>
      <c r="J405" t="str">
        <f>IF($L405="","",IF(INDEX(tblRegistros[Data],$L405)&gt;$D$4,"",IFERROR(INDEX(tblRegistros[Status],$L405),"")))</f>
        <v/>
      </c>
      <c r="K405" t="str">
        <f>IF($L405="","",IF(INDEX(tblRegistros[Data],$L405)&gt;$D$4,"",IFERROR(INDEX(tblRegistros[Observação],$L405),"")))</f>
        <v/>
      </c>
      <c r="L405" s="16" t="str">
        <f>IFERROR(MATCH($B$3*100000+COUNTIFS(tblRegistros[ID],$B$3,tblRegistros[Data],"&lt;"&amp;$B$4)+ROWS($L$10:L405),tblRegistros[Chave do cartão],0),"")</f>
        <v/>
      </c>
    </row>
    <row r="406" spans="1:12">
      <c r="A406" s="2" t="str">
        <f>IF($L406="","",IF(INDEX(tblRegistros[Data],$L406)&gt;$D$4,"",IFERROR(INDEX(tblRegistros[Data],$L406),"")))</f>
        <v/>
      </c>
      <c r="B406" t="str">
        <f>IF($L406="","",IF(INDEX(tblRegistros[Data],$L406)&gt;$D$4,"",IFERROR(INDEX(tblRegistros[Projeto],$L406),"")))</f>
        <v/>
      </c>
      <c r="C406" t="str">
        <f>IF($L406="","",IF(INDEX(tblRegistros[Data],$L406)&gt;$D$4,"",IFERROR(INDEX(tblRegistros[Atividade],$L406),"")))</f>
        <v/>
      </c>
      <c r="D406" s="4" t="str">
        <f>IF($L406="","",IF(INDEX(tblRegistros[Data],$L406)&gt;$D$4,"",IFERROR(INDEX(tblRegistros[Início],$L406),"")))</f>
        <v/>
      </c>
      <c r="E406" s="4" t="str">
        <f>IF($L406="","",IF(INDEX(tblRegistros[Data],$L406)&gt;$D$4,"",IFERROR(IF(INDEX(tblRegistros[Status],$L406)="EM ABERTO","",INDEX(tblRegistros[Fim],$L406)),"")))</f>
        <v/>
      </c>
      <c r="F406" t="str">
        <f>IF($L406="","",IF(INDEX(tblRegistros[Data],$L406)&gt;$D$4,"",IFERROR(IF(INDEX(tblRegistros[Status],$L406)="EM ABERTO","",INDEX(tblRegistros[Horas],$L406)),"")))</f>
        <v/>
      </c>
      <c r="G406" t="str">
        <f>IF($L406="","",IF(INDEX(tblRegistros[Data],$L406)&gt;$D$4,"",IFERROR(INDEX(tblRegistros[Base],$L406),"")))</f>
        <v/>
      </c>
      <c r="H406" s="3" t="str">
        <f>IF($L406="","",IF(INDEX(tblRegistros[Data],$L406)&gt;$D$4,"",IFERROR(INDEX(tblRegistros[Taxa aplicada],$L406),"")))</f>
        <v/>
      </c>
      <c r="I406" s="3" t="str">
        <f>IF($L406="","",IF(INDEX(tblRegistros[Data],$L406)&gt;$D$4,"",IFERROR(IF(INDEX(tblRegistros[Status],$L406)="EM ABERTO","",INDEX(tblRegistros[Valor],$L406)),"")))</f>
        <v/>
      </c>
      <c r="J406" t="str">
        <f>IF($L406="","",IF(INDEX(tblRegistros[Data],$L406)&gt;$D$4,"",IFERROR(INDEX(tblRegistros[Status],$L406),"")))</f>
        <v/>
      </c>
      <c r="K406" t="str">
        <f>IF($L406="","",IF(INDEX(tblRegistros[Data],$L406)&gt;$D$4,"",IFERROR(INDEX(tblRegistros[Observação],$L406),"")))</f>
        <v/>
      </c>
      <c r="L406" s="16" t="str">
        <f>IFERROR(MATCH($B$3*100000+COUNTIFS(tblRegistros[ID],$B$3,tblRegistros[Data],"&lt;"&amp;$B$4)+ROWS($L$10:L406),tblRegistros[Chave do cartão],0),"")</f>
        <v/>
      </c>
    </row>
    <row r="407" spans="1:12">
      <c r="A407" s="2" t="str">
        <f>IF($L407="","",IF(INDEX(tblRegistros[Data],$L407)&gt;$D$4,"",IFERROR(INDEX(tblRegistros[Data],$L407),"")))</f>
        <v/>
      </c>
      <c r="B407" t="str">
        <f>IF($L407="","",IF(INDEX(tblRegistros[Data],$L407)&gt;$D$4,"",IFERROR(INDEX(tblRegistros[Projeto],$L407),"")))</f>
        <v/>
      </c>
      <c r="C407" t="str">
        <f>IF($L407="","",IF(INDEX(tblRegistros[Data],$L407)&gt;$D$4,"",IFERROR(INDEX(tblRegistros[Atividade],$L407),"")))</f>
        <v/>
      </c>
      <c r="D407" s="4" t="str">
        <f>IF($L407="","",IF(INDEX(tblRegistros[Data],$L407)&gt;$D$4,"",IFERROR(INDEX(tblRegistros[Início],$L407),"")))</f>
        <v/>
      </c>
      <c r="E407" s="4" t="str">
        <f>IF($L407="","",IF(INDEX(tblRegistros[Data],$L407)&gt;$D$4,"",IFERROR(IF(INDEX(tblRegistros[Status],$L407)="EM ABERTO","",INDEX(tblRegistros[Fim],$L407)),"")))</f>
        <v/>
      </c>
      <c r="F407" t="str">
        <f>IF($L407="","",IF(INDEX(tblRegistros[Data],$L407)&gt;$D$4,"",IFERROR(IF(INDEX(tblRegistros[Status],$L407)="EM ABERTO","",INDEX(tblRegistros[Horas],$L407)),"")))</f>
        <v/>
      </c>
      <c r="G407" t="str">
        <f>IF($L407="","",IF(INDEX(tblRegistros[Data],$L407)&gt;$D$4,"",IFERROR(INDEX(tblRegistros[Base],$L407),"")))</f>
        <v/>
      </c>
      <c r="H407" s="3" t="str">
        <f>IF($L407="","",IF(INDEX(tblRegistros[Data],$L407)&gt;$D$4,"",IFERROR(INDEX(tblRegistros[Taxa aplicada],$L407),"")))</f>
        <v/>
      </c>
      <c r="I407" s="3" t="str">
        <f>IF($L407="","",IF(INDEX(tblRegistros[Data],$L407)&gt;$D$4,"",IFERROR(IF(INDEX(tblRegistros[Status],$L407)="EM ABERTO","",INDEX(tblRegistros[Valor],$L407)),"")))</f>
        <v/>
      </c>
      <c r="J407" t="str">
        <f>IF($L407="","",IF(INDEX(tblRegistros[Data],$L407)&gt;$D$4,"",IFERROR(INDEX(tblRegistros[Status],$L407),"")))</f>
        <v/>
      </c>
      <c r="K407" t="str">
        <f>IF($L407="","",IF(INDEX(tblRegistros[Data],$L407)&gt;$D$4,"",IFERROR(INDEX(tblRegistros[Observação],$L407),"")))</f>
        <v/>
      </c>
      <c r="L407" s="16" t="str">
        <f>IFERROR(MATCH($B$3*100000+COUNTIFS(tblRegistros[ID],$B$3,tblRegistros[Data],"&lt;"&amp;$B$4)+ROWS($L$10:L407),tblRegistros[Chave do cartão],0),"")</f>
        <v/>
      </c>
    </row>
    <row r="408" spans="1:12">
      <c r="A408" s="2" t="str">
        <f>IF($L408="","",IF(INDEX(tblRegistros[Data],$L408)&gt;$D$4,"",IFERROR(INDEX(tblRegistros[Data],$L408),"")))</f>
        <v/>
      </c>
      <c r="B408" t="str">
        <f>IF($L408="","",IF(INDEX(tblRegistros[Data],$L408)&gt;$D$4,"",IFERROR(INDEX(tblRegistros[Projeto],$L408),"")))</f>
        <v/>
      </c>
      <c r="C408" t="str">
        <f>IF($L408="","",IF(INDEX(tblRegistros[Data],$L408)&gt;$D$4,"",IFERROR(INDEX(tblRegistros[Atividade],$L408),"")))</f>
        <v/>
      </c>
      <c r="D408" s="4" t="str">
        <f>IF($L408="","",IF(INDEX(tblRegistros[Data],$L408)&gt;$D$4,"",IFERROR(INDEX(tblRegistros[Início],$L408),"")))</f>
        <v/>
      </c>
      <c r="E408" s="4" t="str">
        <f>IF($L408="","",IF(INDEX(tblRegistros[Data],$L408)&gt;$D$4,"",IFERROR(IF(INDEX(tblRegistros[Status],$L408)="EM ABERTO","",INDEX(tblRegistros[Fim],$L408)),"")))</f>
        <v/>
      </c>
      <c r="F408" t="str">
        <f>IF($L408="","",IF(INDEX(tblRegistros[Data],$L408)&gt;$D$4,"",IFERROR(IF(INDEX(tblRegistros[Status],$L408)="EM ABERTO","",INDEX(tblRegistros[Horas],$L408)),"")))</f>
        <v/>
      </c>
      <c r="G408" t="str">
        <f>IF($L408="","",IF(INDEX(tblRegistros[Data],$L408)&gt;$D$4,"",IFERROR(INDEX(tblRegistros[Base],$L408),"")))</f>
        <v/>
      </c>
      <c r="H408" s="3" t="str">
        <f>IF($L408="","",IF(INDEX(tblRegistros[Data],$L408)&gt;$D$4,"",IFERROR(INDEX(tblRegistros[Taxa aplicada],$L408),"")))</f>
        <v/>
      </c>
      <c r="I408" s="3" t="str">
        <f>IF($L408="","",IF(INDEX(tblRegistros[Data],$L408)&gt;$D$4,"",IFERROR(IF(INDEX(tblRegistros[Status],$L408)="EM ABERTO","",INDEX(tblRegistros[Valor],$L408)),"")))</f>
        <v/>
      </c>
      <c r="J408" t="str">
        <f>IF($L408="","",IF(INDEX(tblRegistros[Data],$L408)&gt;$D$4,"",IFERROR(INDEX(tblRegistros[Status],$L408),"")))</f>
        <v/>
      </c>
      <c r="K408" t="str">
        <f>IF($L408="","",IF(INDEX(tblRegistros[Data],$L408)&gt;$D$4,"",IFERROR(INDEX(tblRegistros[Observação],$L408),"")))</f>
        <v/>
      </c>
      <c r="L408" s="16" t="str">
        <f>IFERROR(MATCH($B$3*100000+COUNTIFS(tblRegistros[ID],$B$3,tblRegistros[Data],"&lt;"&amp;$B$4)+ROWS($L$10:L408),tblRegistros[Chave do cartão],0),"")</f>
        <v/>
      </c>
    </row>
    <row r="409" spans="1:12">
      <c r="A409" s="2" t="str">
        <f>IF($L409="","",IF(INDEX(tblRegistros[Data],$L409)&gt;$D$4,"",IFERROR(INDEX(tblRegistros[Data],$L409),"")))</f>
        <v/>
      </c>
      <c r="B409" t="str">
        <f>IF($L409="","",IF(INDEX(tblRegistros[Data],$L409)&gt;$D$4,"",IFERROR(INDEX(tblRegistros[Projeto],$L409),"")))</f>
        <v/>
      </c>
      <c r="C409" t="str">
        <f>IF($L409="","",IF(INDEX(tblRegistros[Data],$L409)&gt;$D$4,"",IFERROR(INDEX(tblRegistros[Atividade],$L409),"")))</f>
        <v/>
      </c>
      <c r="D409" s="4" t="str">
        <f>IF($L409="","",IF(INDEX(tblRegistros[Data],$L409)&gt;$D$4,"",IFERROR(INDEX(tblRegistros[Início],$L409),"")))</f>
        <v/>
      </c>
      <c r="E409" s="4" t="str">
        <f>IF($L409="","",IF(INDEX(tblRegistros[Data],$L409)&gt;$D$4,"",IFERROR(IF(INDEX(tblRegistros[Status],$L409)="EM ABERTO","",INDEX(tblRegistros[Fim],$L409)),"")))</f>
        <v/>
      </c>
      <c r="F409" t="str">
        <f>IF($L409="","",IF(INDEX(tblRegistros[Data],$L409)&gt;$D$4,"",IFERROR(IF(INDEX(tblRegistros[Status],$L409)="EM ABERTO","",INDEX(tblRegistros[Horas],$L409)),"")))</f>
        <v/>
      </c>
      <c r="G409" t="str">
        <f>IF($L409="","",IF(INDEX(tblRegistros[Data],$L409)&gt;$D$4,"",IFERROR(INDEX(tblRegistros[Base],$L409),"")))</f>
        <v/>
      </c>
      <c r="H409" s="3" t="str">
        <f>IF($L409="","",IF(INDEX(tblRegistros[Data],$L409)&gt;$D$4,"",IFERROR(INDEX(tblRegistros[Taxa aplicada],$L409),"")))</f>
        <v/>
      </c>
      <c r="I409" s="3" t="str">
        <f>IF($L409="","",IF(INDEX(tblRegistros[Data],$L409)&gt;$D$4,"",IFERROR(IF(INDEX(tblRegistros[Status],$L409)="EM ABERTO","",INDEX(tblRegistros[Valor],$L409)),"")))</f>
        <v/>
      </c>
      <c r="J409" t="str">
        <f>IF($L409="","",IF(INDEX(tblRegistros[Data],$L409)&gt;$D$4,"",IFERROR(INDEX(tblRegistros[Status],$L409),"")))</f>
        <v/>
      </c>
      <c r="K409" t="str">
        <f>IF($L409="","",IF(INDEX(tblRegistros[Data],$L409)&gt;$D$4,"",IFERROR(INDEX(tblRegistros[Observação],$L409),"")))</f>
        <v/>
      </c>
      <c r="L409" s="16" t="str">
        <f>IFERROR(MATCH($B$3*100000+COUNTIFS(tblRegistros[ID],$B$3,tblRegistros[Data],"&lt;"&amp;$B$4)+ROWS($L$10:L409),tblRegistros[Chave do cartão],0),"")</f>
        <v/>
      </c>
    </row>
    <row r="410" spans="1:12">
      <c r="A410" s="2" t="str">
        <f>IF($L410="","",IF(INDEX(tblRegistros[Data],$L410)&gt;$D$4,"",IFERROR(INDEX(tblRegistros[Data],$L410),"")))</f>
        <v/>
      </c>
      <c r="B410" t="str">
        <f>IF($L410="","",IF(INDEX(tblRegistros[Data],$L410)&gt;$D$4,"",IFERROR(INDEX(tblRegistros[Projeto],$L410),"")))</f>
        <v/>
      </c>
      <c r="C410" t="str">
        <f>IF($L410="","",IF(INDEX(tblRegistros[Data],$L410)&gt;$D$4,"",IFERROR(INDEX(tblRegistros[Atividade],$L410),"")))</f>
        <v/>
      </c>
      <c r="D410" s="4" t="str">
        <f>IF($L410="","",IF(INDEX(tblRegistros[Data],$L410)&gt;$D$4,"",IFERROR(INDEX(tblRegistros[Início],$L410),"")))</f>
        <v/>
      </c>
      <c r="E410" s="4" t="str">
        <f>IF($L410="","",IF(INDEX(tblRegistros[Data],$L410)&gt;$D$4,"",IFERROR(IF(INDEX(tblRegistros[Status],$L410)="EM ABERTO","",INDEX(tblRegistros[Fim],$L410)),"")))</f>
        <v/>
      </c>
      <c r="F410" t="str">
        <f>IF($L410="","",IF(INDEX(tblRegistros[Data],$L410)&gt;$D$4,"",IFERROR(IF(INDEX(tblRegistros[Status],$L410)="EM ABERTO","",INDEX(tblRegistros[Horas],$L410)),"")))</f>
        <v/>
      </c>
      <c r="G410" t="str">
        <f>IF($L410="","",IF(INDEX(tblRegistros[Data],$L410)&gt;$D$4,"",IFERROR(INDEX(tblRegistros[Base],$L410),"")))</f>
        <v/>
      </c>
      <c r="H410" s="3" t="str">
        <f>IF($L410="","",IF(INDEX(tblRegistros[Data],$L410)&gt;$D$4,"",IFERROR(INDEX(tblRegistros[Taxa aplicada],$L410),"")))</f>
        <v/>
      </c>
      <c r="I410" s="3" t="str">
        <f>IF($L410="","",IF(INDEX(tblRegistros[Data],$L410)&gt;$D$4,"",IFERROR(IF(INDEX(tblRegistros[Status],$L410)="EM ABERTO","",INDEX(tblRegistros[Valor],$L410)),"")))</f>
        <v/>
      </c>
      <c r="J410" t="str">
        <f>IF($L410="","",IF(INDEX(tblRegistros[Data],$L410)&gt;$D$4,"",IFERROR(INDEX(tblRegistros[Status],$L410),"")))</f>
        <v/>
      </c>
      <c r="K410" t="str">
        <f>IF($L410="","",IF(INDEX(tblRegistros[Data],$L410)&gt;$D$4,"",IFERROR(INDEX(tblRegistros[Observação],$L410),"")))</f>
        <v/>
      </c>
      <c r="L410" s="16" t="str">
        <f>IFERROR(MATCH($B$3*100000+COUNTIFS(tblRegistros[ID],$B$3,tblRegistros[Data],"&lt;"&amp;$B$4)+ROWS($L$10:L410),tblRegistros[Chave do cartão],0),"")</f>
        <v/>
      </c>
    </row>
    <row r="411" spans="1:12">
      <c r="A411" s="2" t="str">
        <f>IF($L411="","",IF(INDEX(tblRegistros[Data],$L411)&gt;$D$4,"",IFERROR(INDEX(tblRegistros[Data],$L411),"")))</f>
        <v/>
      </c>
      <c r="B411" t="str">
        <f>IF($L411="","",IF(INDEX(tblRegistros[Data],$L411)&gt;$D$4,"",IFERROR(INDEX(tblRegistros[Projeto],$L411),"")))</f>
        <v/>
      </c>
      <c r="C411" t="str">
        <f>IF($L411="","",IF(INDEX(tblRegistros[Data],$L411)&gt;$D$4,"",IFERROR(INDEX(tblRegistros[Atividade],$L411),"")))</f>
        <v/>
      </c>
      <c r="D411" s="4" t="str">
        <f>IF($L411="","",IF(INDEX(tblRegistros[Data],$L411)&gt;$D$4,"",IFERROR(INDEX(tblRegistros[Início],$L411),"")))</f>
        <v/>
      </c>
      <c r="E411" s="4" t="str">
        <f>IF($L411="","",IF(INDEX(tblRegistros[Data],$L411)&gt;$D$4,"",IFERROR(IF(INDEX(tblRegistros[Status],$L411)="EM ABERTO","",INDEX(tblRegistros[Fim],$L411)),"")))</f>
        <v/>
      </c>
      <c r="F411" t="str">
        <f>IF($L411="","",IF(INDEX(tblRegistros[Data],$L411)&gt;$D$4,"",IFERROR(IF(INDEX(tblRegistros[Status],$L411)="EM ABERTO","",INDEX(tblRegistros[Horas],$L411)),"")))</f>
        <v/>
      </c>
      <c r="G411" t="str">
        <f>IF($L411="","",IF(INDEX(tblRegistros[Data],$L411)&gt;$D$4,"",IFERROR(INDEX(tblRegistros[Base],$L411),"")))</f>
        <v/>
      </c>
      <c r="H411" s="3" t="str">
        <f>IF($L411="","",IF(INDEX(tblRegistros[Data],$L411)&gt;$D$4,"",IFERROR(INDEX(tblRegistros[Taxa aplicada],$L411),"")))</f>
        <v/>
      </c>
      <c r="I411" s="3" t="str">
        <f>IF($L411="","",IF(INDEX(tblRegistros[Data],$L411)&gt;$D$4,"",IFERROR(IF(INDEX(tblRegistros[Status],$L411)="EM ABERTO","",INDEX(tblRegistros[Valor],$L411)),"")))</f>
        <v/>
      </c>
      <c r="J411" t="str">
        <f>IF($L411="","",IF(INDEX(tblRegistros[Data],$L411)&gt;$D$4,"",IFERROR(INDEX(tblRegistros[Status],$L411),"")))</f>
        <v/>
      </c>
      <c r="K411" t="str">
        <f>IF($L411="","",IF(INDEX(tblRegistros[Data],$L411)&gt;$D$4,"",IFERROR(INDEX(tblRegistros[Observação],$L411),"")))</f>
        <v/>
      </c>
      <c r="L411" s="16" t="str">
        <f>IFERROR(MATCH($B$3*100000+COUNTIFS(tblRegistros[ID],$B$3,tblRegistros[Data],"&lt;"&amp;$B$4)+ROWS($L$10:L411),tblRegistros[Chave do cartão],0),"")</f>
        <v/>
      </c>
    </row>
    <row r="412" spans="1:12">
      <c r="A412" s="2" t="str">
        <f>IF($L412="","",IF(INDEX(tblRegistros[Data],$L412)&gt;$D$4,"",IFERROR(INDEX(tblRegistros[Data],$L412),"")))</f>
        <v/>
      </c>
      <c r="B412" t="str">
        <f>IF($L412="","",IF(INDEX(tblRegistros[Data],$L412)&gt;$D$4,"",IFERROR(INDEX(tblRegistros[Projeto],$L412),"")))</f>
        <v/>
      </c>
      <c r="C412" t="str">
        <f>IF($L412="","",IF(INDEX(tblRegistros[Data],$L412)&gt;$D$4,"",IFERROR(INDEX(tblRegistros[Atividade],$L412),"")))</f>
        <v/>
      </c>
      <c r="D412" s="4" t="str">
        <f>IF($L412="","",IF(INDEX(tblRegistros[Data],$L412)&gt;$D$4,"",IFERROR(INDEX(tblRegistros[Início],$L412),"")))</f>
        <v/>
      </c>
      <c r="E412" s="4" t="str">
        <f>IF($L412="","",IF(INDEX(tblRegistros[Data],$L412)&gt;$D$4,"",IFERROR(IF(INDEX(tblRegistros[Status],$L412)="EM ABERTO","",INDEX(tblRegistros[Fim],$L412)),"")))</f>
        <v/>
      </c>
      <c r="F412" t="str">
        <f>IF($L412="","",IF(INDEX(tblRegistros[Data],$L412)&gt;$D$4,"",IFERROR(IF(INDEX(tblRegistros[Status],$L412)="EM ABERTO","",INDEX(tblRegistros[Horas],$L412)),"")))</f>
        <v/>
      </c>
      <c r="G412" t="str">
        <f>IF($L412="","",IF(INDEX(tblRegistros[Data],$L412)&gt;$D$4,"",IFERROR(INDEX(tblRegistros[Base],$L412),"")))</f>
        <v/>
      </c>
      <c r="H412" s="3" t="str">
        <f>IF($L412="","",IF(INDEX(tblRegistros[Data],$L412)&gt;$D$4,"",IFERROR(INDEX(tblRegistros[Taxa aplicada],$L412),"")))</f>
        <v/>
      </c>
      <c r="I412" s="3" t="str">
        <f>IF($L412="","",IF(INDEX(tblRegistros[Data],$L412)&gt;$D$4,"",IFERROR(IF(INDEX(tblRegistros[Status],$L412)="EM ABERTO","",INDEX(tblRegistros[Valor],$L412)),"")))</f>
        <v/>
      </c>
      <c r="J412" t="str">
        <f>IF($L412="","",IF(INDEX(tblRegistros[Data],$L412)&gt;$D$4,"",IFERROR(INDEX(tblRegistros[Status],$L412),"")))</f>
        <v/>
      </c>
      <c r="K412" t="str">
        <f>IF($L412="","",IF(INDEX(tblRegistros[Data],$L412)&gt;$D$4,"",IFERROR(INDEX(tblRegistros[Observação],$L412),"")))</f>
        <v/>
      </c>
      <c r="L412" s="16" t="str">
        <f>IFERROR(MATCH($B$3*100000+COUNTIFS(tblRegistros[ID],$B$3,tblRegistros[Data],"&lt;"&amp;$B$4)+ROWS($L$10:L412),tblRegistros[Chave do cartão],0),"")</f>
        <v/>
      </c>
    </row>
    <row r="413" spans="1:12">
      <c r="A413" s="2" t="str">
        <f>IF($L413="","",IF(INDEX(tblRegistros[Data],$L413)&gt;$D$4,"",IFERROR(INDEX(tblRegistros[Data],$L413),"")))</f>
        <v/>
      </c>
      <c r="B413" t="str">
        <f>IF($L413="","",IF(INDEX(tblRegistros[Data],$L413)&gt;$D$4,"",IFERROR(INDEX(tblRegistros[Projeto],$L413),"")))</f>
        <v/>
      </c>
      <c r="C413" t="str">
        <f>IF($L413="","",IF(INDEX(tblRegistros[Data],$L413)&gt;$D$4,"",IFERROR(INDEX(tblRegistros[Atividade],$L413),"")))</f>
        <v/>
      </c>
      <c r="D413" s="4" t="str">
        <f>IF($L413="","",IF(INDEX(tblRegistros[Data],$L413)&gt;$D$4,"",IFERROR(INDEX(tblRegistros[Início],$L413),"")))</f>
        <v/>
      </c>
      <c r="E413" s="4" t="str">
        <f>IF($L413="","",IF(INDEX(tblRegistros[Data],$L413)&gt;$D$4,"",IFERROR(IF(INDEX(tblRegistros[Status],$L413)="EM ABERTO","",INDEX(tblRegistros[Fim],$L413)),"")))</f>
        <v/>
      </c>
      <c r="F413" t="str">
        <f>IF($L413="","",IF(INDEX(tblRegistros[Data],$L413)&gt;$D$4,"",IFERROR(IF(INDEX(tblRegistros[Status],$L413)="EM ABERTO","",INDEX(tblRegistros[Horas],$L413)),"")))</f>
        <v/>
      </c>
      <c r="G413" t="str">
        <f>IF($L413="","",IF(INDEX(tblRegistros[Data],$L413)&gt;$D$4,"",IFERROR(INDEX(tblRegistros[Base],$L413),"")))</f>
        <v/>
      </c>
      <c r="H413" s="3" t="str">
        <f>IF($L413="","",IF(INDEX(tblRegistros[Data],$L413)&gt;$D$4,"",IFERROR(INDEX(tblRegistros[Taxa aplicada],$L413),"")))</f>
        <v/>
      </c>
      <c r="I413" s="3" t="str">
        <f>IF($L413="","",IF(INDEX(tblRegistros[Data],$L413)&gt;$D$4,"",IFERROR(IF(INDEX(tblRegistros[Status],$L413)="EM ABERTO","",INDEX(tblRegistros[Valor],$L413)),"")))</f>
        <v/>
      </c>
      <c r="J413" t="str">
        <f>IF($L413="","",IF(INDEX(tblRegistros[Data],$L413)&gt;$D$4,"",IFERROR(INDEX(tblRegistros[Status],$L413),"")))</f>
        <v/>
      </c>
      <c r="K413" t="str">
        <f>IF($L413="","",IF(INDEX(tblRegistros[Data],$L413)&gt;$D$4,"",IFERROR(INDEX(tblRegistros[Observação],$L413),"")))</f>
        <v/>
      </c>
      <c r="L413" s="16" t="str">
        <f>IFERROR(MATCH($B$3*100000+COUNTIFS(tblRegistros[ID],$B$3,tblRegistros[Data],"&lt;"&amp;$B$4)+ROWS($L$10:L413),tblRegistros[Chave do cartão],0),"")</f>
        <v/>
      </c>
    </row>
    <row r="414" spans="1:12">
      <c r="A414" s="2" t="str">
        <f>IF($L414="","",IF(INDEX(tblRegistros[Data],$L414)&gt;$D$4,"",IFERROR(INDEX(tblRegistros[Data],$L414),"")))</f>
        <v/>
      </c>
      <c r="B414" t="str">
        <f>IF($L414="","",IF(INDEX(tblRegistros[Data],$L414)&gt;$D$4,"",IFERROR(INDEX(tblRegistros[Projeto],$L414),"")))</f>
        <v/>
      </c>
      <c r="C414" t="str">
        <f>IF($L414="","",IF(INDEX(tblRegistros[Data],$L414)&gt;$D$4,"",IFERROR(INDEX(tblRegistros[Atividade],$L414),"")))</f>
        <v/>
      </c>
      <c r="D414" s="4" t="str">
        <f>IF($L414="","",IF(INDEX(tblRegistros[Data],$L414)&gt;$D$4,"",IFERROR(INDEX(tblRegistros[Início],$L414),"")))</f>
        <v/>
      </c>
      <c r="E414" s="4" t="str">
        <f>IF($L414="","",IF(INDEX(tblRegistros[Data],$L414)&gt;$D$4,"",IFERROR(IF(INDEX(tblRegistros[Status],$L414)="EM ABERTO","",INDEX(tblRegistros[Fim],$L414)),"")))</f>
        <v/>
      </c>
      <c r="F414" t="str">
        <f>IF($L414="","",IF(INDEX(tblRegistros[Data],$L414)&gt;$D$4,"",IFERROR(IF(INDEX(tblRegistros[Status],$L414)="EM ABERTO","",INDEX(tblRegistros[Horas],$L414)),"")))</f>
        <v/>
      </c>
      <c r="G414" t="str">
        <f>IF($L414="","",IF(INDEX(tblRegistros[Data],$L414)&gt;$D$4,"",IFERROR(INDEX(tblRegistros[Base],$L414),"")))</f>
        <v/>
      </c>
      <c r="H414" s="3" t="str">
        <f>IF($L414="","",IF(INDEX(tblRegistros[Data],$L414)&gt;$D$4,"",IFERROR(INDEX(tblRegistros[Taxa aplicada],$L414),"")))</f>
        <v/>
      </c>
      <c r="I414" s="3" t="str">
        <f>IF($L414="","",IF(INDEX(tblRegistros[Data],$L414)&gt;$D$4,"",IFERROR(IF(INDEX(tblRegistros[Status],$L414)="EM ABERTO","",INDEX(tblRegistros[Valor],$L414)),"")))</f>
        <v/>
      </c>
      <c r="J414" t="str">
        <f>IF($L414="","",IF(INDEX(tblRegistros[Data],$L414)&gt;$D$4,"",IFERROR(INDEX(tblRegistros[Status],$L414),"")))</f>
        <v/>
      </c>
      <c r="K414" t="str">
        <f>IF($L414="","",IF(INDEX(tblRegistros[Data],$L414)&gt;$D$4,"",IFERROR(INDEX(tblRegistros[Observação],$L414),"")))</f>
        <v/>
      </c>
      <c r="L414" s="16" t="str">
        <f>IFERROR(MATCH($B$3*100000+COUNTIFS(tblRegistros[ID],$B$3,tblRegistros[Data],"&lt;"&amp;$B$4)+ROWS($L$10:L414),tblRegistros[Chave do cartão],0),"")</f>
        <v/>
      </c>
    </row>
    <row r="415" spans="1:12">
      <c r="A415" s="2" t="str">
        <f>IF($L415="","",IF(INDEX(tblRegistros[Data],$L415)&gt;$D$4,"",IFERROR(INDEX(tblRegistros[Data],$L415),"")))</f>
        <v/>
      </c>
      <c r="B415" t="str">
        <f>IF($L415="","",IF(INDEX(tblRegistros[Data],$L415)&gt;$D$4,"",IFERROR(INDEX(tblRegistros[Projeto],$L415),"")))</f>
        <v/>
      </c>
      <c r="C415" t="str">
        <f>IF($L415="","",IF(INDEX(tblRegistros[Data],$L415)&gt;$D$4,"",IFERROR(INDEX(tblRegistros[Atividade],$L415),"")))</f>
        <v/>
      </c>
      <c r="D415" s="4" t="str">
        <f>IF($L415="","",IF(INDEX(tblRegistros[Data],$L415)&gt;$D$4,"",IFERROR(INDEX(tblRegistros[Início],$L415),"")))</f>
        <v/>
      </c>
      <c r="E415" s="4" t="str">
        <f>IF($L415="","",IF(INDEX(tblRegistros[Data],$L415)&gt;$D$4,"",IFERROR(IF(INDEX(tblRegistros[Status],$L415)="EM ABERTO","",INDEX(tblRegistros[Fim],$L415)),"")))</f>
        <v/>
      </c>
      <c r="F415" t="str">
        <f>IF($L415="","",IF(INDEX(tblRegistros[Data],$L415)&gt;$D$4,"",IFERROR(IF(INDEX(tblRegistros[Status],$L415)="EM ABERTO","",INDEX(tblRegistros[Horas],$L415)),"")))</f>
        <v/>
      </c>
      <c r="G415" t="str">
        <f>IF($L415="","",IF(INDEX(tblRegistros[Data],$L415)&gt;$D$4,"",IFERROR(INDEX(tblRegistros[Base],$L415),"")))</f>
        <v/>
      </c>
      <c r="H415" s="3" t="str">
        <f>IF($L415="","",IF(INDEX(tblRegistros[Data],$L415)&gt;$D$4,"",IFERROR(INDEX(tblRegistros[Taxa aplicada],$L415),"")))</f>
        <v/>
      </c>
      <c r="I415" s="3" t="str">
        <f>IF($L415="","",IF(INDEX(tblRegistros[Data],$L415)&gt;$D$4,"",IFERROR(IF(INDEX(tblRegistros[Status],$L415)="EM ABERTO","",INDEX(tblRegistros[Valor],$L415)),"")))</f>
        <v/>
      </c>
      <c r="J415" t="str">
        <f>IF($L415="","",IF(INDEX(tblRegistros[Data],$L415)&gt;$D$4,"",IFERROR(INDEX(tblRegistros[Status],$L415),"")))</f>
        <v/>
      </c>
      <c r="K415" t="str">
        <f>IF($L415="","",IF(INDEX(tblRegistros[Data],$L415)&gt;$D$4,"",IFERROR(INDEX(tblRegistros[Observação],$L415),"")))</f>
        <v/>
      </c>
      <c r="L415" s="16" t="str">
        <f>IFERROR(MATCH($B$3*100000+COUNTIFS(tblRegistros[ID],$B$3,tblRegistros[Data],"&lt;"&amp;$B$4)+ROWS($L$10:L415),tblRegistros[Chave do cartão],0),"")</f>
        <v/>
      </c>
    </row>
    <row r="416" spans="1:12">
      <c r="A416" s="2" t="str">
        <f>IF($L416="","",IF(INDEX(tblRegistros[Data],$L416)&gt;$D$4,"",IFERROR(INDEX(tblRegistros[Data],$L416),"")))</f>
        <v/>
      </c>
      <c r="B416" t="str">
        <f>IF($L416="","",IF(INDEX(tblRegistros[Data],$L416)&gt;$D$4,"",IFERROR(INDEX(tblRegistros[Projeto],$L416),"")))</f>
        <v/>
      </c>
      <c r="C416" t="str">
        <f>IF($L416="","",IF(INDEX(tblRegistros[Data],$L416)&gt;$D$4,"",IFERROR(INDEX(tblRegistros[Atividade],$L416),"")))</f>
        <v/>
      </c>
      <c r="D416" s="4" t="str">
        <f>IF($L416="","",IF(INDEX(tblRegistros[Data],$L416)&gt;$D$4,"",IFERROR(INDEX(tblRegistros[Início],$L416),"")))</f>
        <v/>
      </c>
      <c r="E416" s="4" t="str">
        <f>IF($L416="","",IF(INDEX(tblRegistros[Data],$L416)&gt;$D$4,"",IFERROR(IF(INDEX(tblRegistros[Status],$L416)="EM ABERTO","",INDEX(tblRegistros[Fim],$L416)),"")))</f>
        <v/>
      </c>
      <c r="F416" t="str">
        <f>IF($L416="","",IF(INDEX(tblRegistros[Data],$L416)&gt;$D$4,"",IFERROR(IF(INDEX(tblRegistros[Status],$L416)="EM ABERTO","",INDEX(tblRegistros[Horas],$L416)),"")))</f>
        <v/>
      </c>
      <c r="G416" t="str">
        <f>IF($L416="","",IF(INDEX(tblRegistros[Data],$L416)&gt;$D$4,"",IFERROR(INDEX(tblRegistros[Base],$L416),"")))</f>
        <v/>
      </c>
      <c r="H416" s="3" t="str">
        <f>IF($L416="","",IF(INDEX(tblRegistros[Data],$L416)&gt;$D$4,"",IFERROR(INDEX(tblRegistros[Taxa aplicada],$L416),"")))</f>
        <v/>
      </c>
      <c r="I416" s="3" t="str">
        <f>IF($L416="","",IF(INDEX(tblRegistros[Data],$L416)&gt;$D$4,"",IFERROR(IF(INDEX(tblRegistros[Status],$L416)="EM ABERTO","",INDEX(tblRegistros[Valor],$L416)),"")))</f>
        <v/>
      </c>
      <c r="J416" t="str">
        <f>IF($L416="","",IF(INDEX(tblRegistros[Data],$L416)&gt;$D$4,"",IFERROR(INDEX(tblRegistros[Status],$L416),"")))</f>
        <v/>
      </c>
      <c r="K416" t="str">
        <f>IF($L416="","",IF(INDEX(tblRegistros[Data],$L416)&gt;$D$4,"",IFERROR(INDEX(tblRegistros[Observação],$L416),"")))</f>
        <v/>
      </c>
      <c r="L416" s="16" t="str">
        <f>IFERROR(MATCH($B$3*100000+COUNTIFS(tblRegistros[ID],$B$3,tblRegistros[Data],"&lt;"&amp;$B$4)+ROWS($L$10:L416),tblRegistros[Chave do cartão],0),"")</f>
        <v/>
      </c>
    </row>
    <row r="417" spans="1:12">
      <c r="A417" s="2" t="str">
        <f>IF($L417="","",IF(INDEX(tblRegistros[Data],$L417)&gt;$D$4,"",IFERROR(INDEX(tblRegistros[Data],$L417),"")))</f>
        <v/>
      </c>
      <c r="B417" t="str">
        <f>IF($L417="","",IF(INDEX(tblRegistros[Data],$L417)&gt;$D$4,"",IFERROR(INDEX(tblRegistros[Projeto],$L417),"")))</f>
        <v/>
      </c>
      <c r="C417" t="str">
        <f>IF($L417="","",IF(INDEX(tblRegistros[Data],$L417)&gt;$D$4,"",IFERROR(INDEX(tblRegistros[Atividade],$L417),"")))</f>
        <v/>
      </c>
      <c r="D417" s="4" t="str">
        <f>IF($L417="","",IF(INDEX(tblRegistros[Data],$L417)&gt;$D$4,"",IFERROR(INDEX(tblRegistros[Início],$L417),"")))</f>
        <v/>
      </c>
      <c r="E417" s="4" t="str">
        <f>IF($L417="","",IF(INDEX(tblRegistros[Data],$L417)&gt;$D$4,"",IFERROR(IF(INDEX(tblRegistros[Status],$L417)="EM ABERTO","",INDEX(tblRegistros[Fim],$L417)),"")))</f>
        <v/>
      </c>
      <c r="F417" t="str">
        <f>IF($L417="","",IF(INDEX(tblRegistros[Data],$L417)&gt;$D$4,"",IFERROR(IF(INDEX(tblRegistros[Status],$L417)="EM ABERTO","",INDEX(tblRegistros[Horas],$L417)),"")))</f>
        <v/>
      </c>
      <c r="G417" t="str">
        <f>IF($L417="","",IF(INDEX(tblRegistros[Data],$L417)&gt;$D$4,"",IFERROR(INDEX(tblRegistros[Base],$L417),"")))</f>
        <v/>
      </c>
      <c r="H417" s="3" t="str">
        <f>IF($L417="","",IF(INDEX(tblRegistros[Data],$L417)&gt;$D$4,"",IFERROR(INDEX(tblRegistros[Taxa aplicada],$L417),"")))</f>
        <v/>
      </c>
      <c r="I417" s="3" t="str">
        <f>IF($L417="","",IF(INDEX(tblRegistros[Data],$L417)&gt;$D$4,"",IFERROR(IF(INDEX(tblRegistros[Status],$L417)="EM ABERTO","",INDEX(tblRegistros[Valor],$L417)),"")))</f>
        <v/>
      </c>
      <c r="J417" t="str">
        <f>IF($L417="","",IF(INDEX(tblRegistros[Data],$L417)&gt;$D$4,"",IFERROR(INDEX(tblRegistros[Status],$L417),"")))</f>
        <v/>
      </c>
      <c r="K417" t="str">
        <f>IF($L417="","",IF(INDEX(tblRegistros[Data],$L417)&gt;$D$4,"",IFERROR(INDEX(tblRegistros[Observação],$L417),"")))</f>
        <v/>
      </c>
      <c r="L417" s="16" t="str">
        <f>IFERROR(MATCH($B$3*100000+COUNTIFS(tblRegistros[ID],$B$3,tblRegistros[Data],"&lt;"&amp;$B$4)+ROWS($L$10:L417),tblRegistros[Chave do cartão],0),"")</f>
        <v/>
      </c>
    </row>
    <row r="418" spans="1:12">
      <c r="A418" s="2" t="str">
        <f>IF($L418="","",IF(INDEX(tblRegistros[Data],$L418)&gt;$D$4,"",IFERROR(INDEX(tblRegistros[Data],$L418),"")))</f>
        <v/>
      </c>
      <c r="B418" t="str">
        <f>IF($L418="","",IF(INDEX(tblRegistros[Data],$L418)&gt;$D$4,"",IFERROR(INDEX(tblRegistros[Projeto],$L418),"")))</f>
        <v/>
      </c>
      <c r="C418" t="str">
        <f>IF($L418="","",IF(INDEX(tblRegistros[Data],$L418)&gt;$D$4,"",IFERROR(INDEX(tblRegistros[Atividade],$L418),"")))</f>
        <v/>
      </c>
      <c r="D418" s="4" t="str">
        <f>IF($L418="","",IF(INDEX(tblRegistros[Data],$L418)&gt;$D$4,"",IFERROR(INDEX(tblRegistros[Início],$L418),"")))</f>
        <v/>
      </c>
      <c r="E418" s="4" t="str">
        <f>IF($L418="","",IF(INDEX(tblRegistros[Data],$L418)&gt;$D$4,"",IFERROR(IF(INDEX(tblRegistros[Status],$L418)="EM ABERTO","",INDEX(tblRegistros[Fim],$L418)),"")))</f>
        <v/>
      </c>
      <c r="F418" t="str">
        <f>IF($L418="","",IF(INDEX(tblRegistros[Data],$L418)&gt;$D$4,"",IFERROR(IF(INDEX(tblRegistros[Status],$L418)="EM ABERTO","",INDEX(tblRegistros[Horas],$L418)),"")))</f>
        <v/>
      </c>
      <c r="G418" t="str">
        <f>IF($L418="","",IF(INDEX(tblRegistros[Data],$L418)&gt;$D$4,"",IFERROR(INDEX(tblRegistros[Base],$L418),"")))</f>
        <v/>
      </c>
      <c r="H418" s="3" t="str">
        <f>IF($L418="","",IF(INDEX(tblRegistros[Data],$L418)&gt;$D$4,"",IFERROR(INDEX(tblRegistros[Taxa aplicada],$L418),"")))</f>
        <v/>
      </c>
      <c r="I418" s="3" t="str">
        <f>IF($L418="","",IF(INDEX(tblRegistros[Data],$L418)&gt;$D$4,"",IFERROR(IF(INDEX(tblRegistros[Status],$L418)="EM ABERTO","",INDEX(tblRegistros[Valor],$L418)),"")))</f>
        <v/>
      </c>
      <c r="J418" t="str">
        <f>IF($L418="","",IF(INDEX(tblRegistros[Data],$L418)&gt;$D$4,"",IFERROR(INDEX(tblRegistros[Status],$L418),"")))</f>
        <v/>
      </c>
      <c r="K418" t="str">
        <f>IF($L418="","",IF(INDEX(tblRegistros[Data],$L418)&gt;$D$4,"",IFERROR(INDEX(tblRegistros[Observação],$L418),"")))</f>
        <v/>
      </c>
      <c r="L418" s="16" t="str">
        <f>IFERROR(MATCH($B$3*100000+COUNTIFS(tblRegistros[ID],$B$3,tblRegistros[Data],"&lt;"&amp;$B$4)+ROWS($L$10:L418),tblRegistros[Chave do cartão],0),"")</f>
        <v/>
      </c>
    </row>
    <row r="419" spans="1:12">
      <c r="A419" s="2" t="str">
        <f>IF($L419="","",IF(INDEX(tblRegistros[Data],$L419)&gt;$D$4,"",IFERROR(INDEX(tblRegistros[Data],$L419),"")))</f>
        <v/>
      </c>
      <c r="B419" t="str">
        <f>IF($L419="","",IF(INDEX(tblRegistros[Data],$L419)&gt;$D$4,"",IFERROR(INDEX(tblRegistros[Projeto],$L419),"")))</f>
        <v/>
      </c>
      <c r="C419" t="str">
        <f>IF($L419="","",IF(INDEX(tblRegistros[Data],$L419)&gt;$D$4,"",IFERROR(INDEX(tblRegistros[Atividade],$L419),"")))</f>
        <v/>
      </c>
      <c r="D419" s="4" t="str">
        <f>IF($L419="","",IF(INDEX(tblRegistros[Data],$L419)&gt;$D$4,"",IFERROR(INDEX(tblRegistros[Início],$L419),"")))</f>
        <v/>
      </c>
      <c r="E419" s="4" t="str">
        <f>IF($L419="","",IF(INDEX(tblRegistros[Data],$L419)&gt;$D$4,"",IFERROR(IF(INDEX(tblRegistros[Status],$L419)="EM ABERTO","",INDEX(tblRegistros[Fim],$L419)),"")))</f>
        <v/>
      </c>
      <c r="F419" t="str">
        <f>IF($L419="","",IF(INDEX(tblRegistros[Data],$L419)&gt;$D$4,"",IFERROR(IF(INDEX(tblRegistros[Status],$L419)="EM ABERTO","",INDEX(tblRegistros[Horas],$L419)),"")))</f>
        <v/>
      </c>
      <c r="G419" t="str">
        <f>IF($L419="","",IF(INDEX(tblRegistros[Data],$L419)&gt;$D$4,"",IFERROR(INDEX(tblRegistros[Base],$L419),"")))</f>
        <v/>
      </c>
      <c r="H419" s="3" t="str">
        <f>IF($L419="","",IF(INDEX(tblRegistros[Data],$L419)&gt;$D$4,"",IFERROR(INDEX(tblRegistros[Taxa aplicada],$L419),"")))</f>
        <v/>
      </c>
      <c r="I419" s="3" t="str">
        <f>IF($L419="","",IF(INDEX(tblRegistros[Data],$L419)&gt;$D$4,"",IFERROR(IF(INDEX(tblRegistros[Status],$L419)="EM ABERTO","",INDEX(tblRegistros[Valor],$L419)),"")))</f>
        <v/>
      </c>
      <c r="J419" t="str">
        <f>IF($L419="","",IF(INDEX(tblRegistros[Data],$L419)&gt;$D$4,"",IFERROR(INDEX(tblRegistros[Status],$L419),"")))</f>
        <v/>
      </c>
      <c r="K419" t="str">
        <f>IF($L419="","",IF(INDEX(tblRegistros[Data],$L419)&gt;$D$4,"",IFERROR(INDEX(tblRegistros[Observação],$L419),"")))</f>
        <v/>
      </c>
      <c r="L419" s="16" t="str">
        <f>IFERROR(MATCH($B$3*100000+COUNTIFS(tblRegistros[ID],$B$3,tblRegistros[Data],"&lt;"&amp;$B$4)+ROWS($L$10:L419),tblRegistros[Chave do cartão],0),"")</f>
        <v/>
      </c>
    </row>
    <row r="420" spans="1:12">
      <c r="A420" s="2" t="str">
        <f>IF($L420="","",IF(INDEX(tblRegistros[Data],$L420)&gt;$D$4,"",IFERROR(INDEX(tblRegistros[Data],$L420),"")))</f>
        <v/>
      </c>
      <c r="B420" t="str">
        <f>IF($L420="","",IF(INDEX(tblRegistros[Data],$L420)&gt;$D$4,"",IFERROR(INDEX(tblRegistros[Projeto],$L420),"")))</f>
        <v/>
      </c>
      <c r="C420" t="str">
        <f>IF($L420="","",IF(INDEX(tblRegistros[Data],$L420)&gt;$D$4,"",IFERROR(INDEX(tblRegistros[Atividade],$L420),"")))</f>
        <v/>
      </c>
      <c r="D420" s="4" t="str">
        <f>IF($L420="","",IF(INDEX(tblRegistros[Data],$L420)&gt;$D$4,"",IFERROR(INDEX(tblRegistros[Início],$L420),"")))</f>
        <v/>
      </c>
      <c r="E420" s="4" t="str">
        <f>IF($L420="","",IF(INDEX(tblRegistros[Data],$L420)&gt;$D$4,"",IFERROR(IF(INDEX(tblRegistros[Status],$L420)="EM ABERTO","",INDEX(tblRegistros[Fim],$L420)),"")))</f>
        <v/>
      </c>
      <c r="F420" t="str">
        <f>IF($L420="","",IF(INDEX(tblRegistros[Data],$L420)&gt;$D$4,"",IFERROR(IF(INDEX(tblRegistros[Status],$L420)="EM ABERTO","",INDEX(tblRegistros[Horas],$L420)),"")))</f>
        <v/>
      </c>
      <c r="G420" t="str">
        <f>IF($L420="","",IF(INDEX(tblRegistros[Data],$L420)&gt;$D$4,"",IFERROR(INDEX(tblRegistros[Base],$L420),"")))</f>
        <v/>
      </c>
      <c r="H420" s="3" t="str">
        <f>IF($L420="","",IF(INDEX(tblRegistros[Data],$L420)&gt;$D$4,"",IFERROR(INDEX(tblRegistros[Taxa aplicada],$L420),"")))</f>
        <v/>
      </c>
      <c r="I420" s="3" t="str">
        <f>IF($L420="","",IF(INDEX(tblRegistros[Data],$L420)&gt;$D$4,"",IFERROR(IF(INDEX(tblRegistros[Status],$L420)="EM ABERTO","",INDEX(tblRegistros[Valor],$L420)),"")))</f>
        <v/>
      </c>
      <c r="J420" t="str">
        <f>IF($L420="","",IF(INDEX(tblRegistros[Data],$L420)&gt;$D$4,"",IFERROR(INDEX(tblRegistros[Status],$L420),"")))</f>
        <v/>
      </c>
      <c r="K420" t="str">
        <f>IF($L420="","",IF(INDEX(tblRegistros[Data],$L420)&gt;$D$4,"",IFERROR(INDEX(tblRegistros[Observação],$L420),"")))</f>
        <v/>
      </c>
      <c r="L420" s="16" t="str">
        <f>IFERROR(MATCH($B$3*100000+COUNTIFS(tblRegistros[ID],$B$3,tblRegistros[Data],"&lt;"&amp;$B$4)+ROWS($L$10:L420),tblRegistros[Chave do cartão],0),"")</f>
        <v/>
      </c>
    </row>
    <row r="421" spans="1:12">
      <c r="A421" s="2" t="str">
        <f>IF($L421="","",IF(INDEX(tblRegistros[Data],$L421)&gt;$D$4,"",IFERROR(INDEX(tblRegistros[Data],$L421),"")))</f>
        <v/>
      </c>
      <c r="B421" t="str">
        <f>IF($L421="","",IF(INDEX(tblRegistros[Data],$L421)&gt;$D$4,"",IFERROR(INDEX(tblRegistros[Projeto],$L421),"")))</f>
        <v/>
      </c>
      <c r="C421" t="str">
        <f>IF($L421="","",IF(INDEX(tblRegistros[Data],$L421)&gt;$D$4,"",IFERROR(INDEX(tblRegistros[Atividade],$L421),"")))</f>
        <v/>
      </c>
      <c r="D421" s="4" t="str">
        <f>IF($L421="","",IF(INDEX(tblRegistros[Data],$L421)&gt;$D$4,"",IFERROR(INDEX(tblRegistros[Início],$L421),"")))</f>
        <v/>
      </c>
      <c r="E421" s="4" t="str">
        <f>IF($L421="","",IF(INDEX(tblRegistros[Data],$L421)&gt;$D$4,"",IFERROR(IF(INDEX(tblRegistros[Status],$L421)="EM ABERTO","",INDEX(tblRegistros[Fim],$L421)),"")))</f>
        <v/>
      </c>
      <c r="F421" t="str">
        <f>IF($L421="","",IF(INDEX(tblRegistros[Data],$L421)&gt;$D$4,"",IFERROR(IF(INDEX(tblRegistros[Status],$L421)="EM ABERTO","",INDEX(tblRegistros[Horas],$L421)),"")))</f>
        <v/>
      </c>
      <c r="G421" t="str">
        <f>IF($L421="","",IF(INDEX(tblRegistros[Data],$L421)&gt;$D$4,"",IFERROR(INDEX(tblRegistros[Base],$L421),"")))</f>
        <v/>
      </c>
      <c r="H421" s="3" t="str">
        <f>IF($L421="","",IF(INDEX(tblRegistros[Data],$L421)&gt;$D$4,"",IFERROR(INDEX(tblRegistros[Taxa aplicada],$L421),"")))</f>
        <v/>
      </c>
      <c r="I421" s="3" t="str">
        <f>IF($L421="","",IF(INDEX(tblRegistros[Data],$L421)&gt;$D$4,"",IFERROR(IF(INDEX(tblRegistros[Status],$L421)="EM ABERTO","",INDEX(tblRegistros[Valor],$L421)),"")))</f>
        <v/>
      </c>
      <c r="J421" t="str">
        <f>IF($L421="","",IF(INDEX(tblRegistros[Data],$L421)&gt;$D$4,"",IFERROR(INDEX(tblRegistros[Status],$L421),"")))</f>
        <v/>
      </c>
      <c r="K421" t="str">
        <f>IF($L421="","",IF(INDEX(tblRegistros[Data],$L421)&gt;$D$4,"",IFERROR(INDEX(tblRegistros[Observação],$L421),"")))</f>
        <v/>
      </c>
      <c r="L421" s="16" t="str">
        <f>IFERROR(MATCH($B$3*100000+COUNTIFS(tblRegistros[ID],$B$3,tblRegistros[Data],"&lt;"&amp;$B$4)+ROWS($L$10:L421),tblRegistros[Chave do cartão],0),"")</f>
        <v/>
      </c>
    </row>
    <row r="422" spans="1:12">
      <c r="A422" s="2" t="str">
        <f>IF($L422="","",IF(INDEX(tblRegistros[Data],$L422)&gt;$D$4,"",IFERROR(INDEX(tblRegistros[Data],$L422),"")))</f>
        <v/>
      </c>
      <c r="B422" t="str">
        <f>IF($L422="","",IF(INDEX(tblRegistros[Data],$L422)&gt;$D$4,"",IFERROR(INDEX(tblRegistros[Projeto],$L422),"")))</f>
        <v/>
      </c>
      <c r="C422" t="str">
        <f>IF($L422="","",IF(INDEX(tblRegistros[Data],$L422)&gt;$D$4,"",IFERROR(INDEX(tblRegistros[Atividade],$L422),"")))</f>
        <v/>
      </c>
      <c r="D422" s="4" t="str">
        <f>IF($L422="","",IF(INDEX(tblRegistros[Data],$L422)&gt;$D$4,"",IFERROR(INDEX(tblRegistros[Início],$L422),"")))</f>
        <v/>
      </c>
      <c r="E422" s="4" t="str">
        <f>IF($L422="","",IF(INDEX(tblRegistros[Data],$L422)&gt;$D$4,"",IFERROR(IF(INDEX(tblRegistros[Status],$L422)="EM ABERTO","",INDEX(tblRegistros[Fim],$L422)),"")))</f>
        <v/>
      </c>
      <c r="F422" t="str">
        <f>IF($L422="","",IF(INDEX(tblRegistros[Data],$L422)&gt;$D$4,"",IFERROR(IF(INDEX(tblRegistros[Status],$L422)="EM ABERTO","",INDEX(tblRegistros[Horas],$L422)),"")))</f>
        <v/>
      </c>
      <c r="G422" t="str">
        <f>IF($L422="","",IF(INDEX(tblRegistros[Data],$L422)&gt;$D$4,"",IFERROR(INDEX(tblRegistros[Base],$L422),"")))</f>
        <v/>
      </c>
      <c r="H422" s="3" t="str">
        <f>IF($L422="","",IF(INDEX(tblRegistros[Data],$L422)&gt;$D$4,"",IFERROR(INDEX(tblRegistros[Taxa aplicada],$L422),"")))</f>
        <v/>
      </c>
      <c r="I422" s="3" t="str">
        <f>IF($L422="","",IF(INDEX(tblRegistros[Data],$L422)&gt;$D$4,"",IFERROR(IF(INDEX(tblRegistros[Status],$L422)="EM ABERTO","",INDEX(tblRegistros[Valor],$L422)),"")))</f>
        <v/>
      </c>
      <c r="J422" t="str">
        <f>IF($L422="","",IF(INDEX(tblRegistros[Data],$L422)&gt;$D$4,"",IFERROR(INDEX(tblRegistros[Status],$L422),"")))</f>
        <v/>
      </c>
      <c r="K422" t="str">
        <f>IF($L422="","",IF(INDEX(tblRegistros[Data],$L422)&gt;$D$4,"",IFERROR(INDEX(tblRegistros[Observação],$L422),"")))</f>
        <v/>
      </c>
      <c r="L422" s="16" t="str">
        <f>IFERROR(MATCH($B$3*100000+COUNTIFS(tblRegistros[ID],$B$3,tblRegistros[Data],"&lt;"&amp;$B$4)+ROWS($L$10:L422),tblRegistros[Chave do cartão],0),"")</f>
        <v/>
      </c>
    </row>
    <row r="423" spans="1:12">
      <c r="A423" s="2" t="str">
        <f>IF($L423="","",IF(INDEX(tblRegistros[Data],$L423)&gt;$D$4,"",IFERROR(INDEX(tblRegistros[Data],$L423),"")))</f>
        <v/>
      </c>
      <c r="B423" t="str">
        <f>IF($L423="","",IF(INDEX(tblRegistros[Data],$L423)&gt;$D$4,"",IFERROR(INDEX(tblRegistros[Projeto],$L423),"")))</f>
        <v/>
      </c>
      <c r="C423" t="str">
        <f>IF($L423="","",IF(INDEX(tblRegistros[Data],$L423)&gt;$D$4,"",IFERROR(INDEX(tblRegistros[Atividade],$L423),"")))</f>
        <v/>
      </c>
      <c r="D423" s="4" t="str">
        <f>IF($L423="","",IF(INDEX(tblRegistros[Data],$L423)&gt;$D$4,"",IFERROR(INDEX(tblRegistros[Início],$L423),"")))</f>
        <v/>
      </c>
      <c r="E423" s="4" t="str">
        <f>IF($L423="","",IF(INDEX(tblRegistros[Data],$L423)&gt;$D$4,"",IFERROR(IF(INDEX(tblRegistros[Status],$L423)="EM ABERTO","",INDEX(tblRegistros[Fim],$L423)),"")))</f>
        <v/>
      </c>
      <c r="F423" t="str">
        <f>IF($L423="","",IF(INDEX(tblRegistros[Data],$L423)&gt;$D$4,"",IFERROR(IF(INDEX(tblRegistros[Status],$L423)="EM ABERTO","",INDEX(tblRegistros[Horas],$L423)),"")))</f>
        <v/>
      </c>
      <c r="G423" t="str">
        <f>IF($L423="","",IF(INDEX(tblRegistros[Data],$L423)&gt;$D$4,"",IFERROR(INDEX(tblRegistros[Base],$L423),"")))</f>
        <v/>
      </c>
      <c r="H423" s="3" t="str">
        <f>IF($L423="","",IF(INDEX(tblRegistros[Data],$L423)&gt;$D$4,"",IFERROR(INDEX(tblRegistros[Taxa aplicada],$L423),"")))</f>
        <v/>
      </c>
      <c r="I423" s="3" t="str">
        <f>IF($L423="","",IF(INDEX(tblRegistros[Data],$L423)&gt;$D$4,"",IFERROR(IF(INDEX(tblRegistros[Status],$L423)="EM ABERTO","",INDEX(tblRegistros[Valor],$L423)),"")))</f>
        <v/>
      </c>
      <c r="J423" t="str">
        <f>IF($L423="","",IF(INDEX(tblRegistros[Data],$L423)&gt;$D$4,"",IFERROR(INDEX(tblRegistros[Status],$L423),"")))</f>
        <v/>
      </c>
      <c r="K423" t="str">
        <f>IF($L423="","",IF(INDEX(tblRegistros[Data],$L423)&gt;$D$4,"",IFERROR(INDEX(tblRegistros[Observação],$L423),"")))</f>
        <v/>
      </c>
      <c r="L423" s="16" t="str">
        <f>IFERROR(MATCH($B$3*100000+COUNTIFS(tblRegistros[ID],$B$3,tblRegistros[Data],"&lt;"&amp;$B$4)+ROWS($L$10:L423),tblRegistros[Chave do cartão],0),"")</f>
        <v/>
      </c>
    </row>
    <row r="424" spans="1:12">
      <c r="A424" s="2" t="str">
        <f>IF($L424="","",IF(INDEX(tblRegistros[Data],$L424)&gt;$D$4,"",IFERROR(INDEX(tblRegistros[Data],$L424),"")))</f>
        <v/>
      </c>
      <c r="B424" t="str">
        <f>IF($L424="","",IF(INDEX(tblRegistros[Data],$L424)&gt;$D$4,"",IFERROR(INDEX(tblRegistros[Projeto],$L424),"")))</f>
        <v/>
      </c>
      <c r="C424" t="str">
        <f>IF($L424="","",IF(INDEX(tblRegistros[Data],$L424)&gt;$D$4,"",IFERROR(INDEX(tblRegistros[Atividade],$L424),"")))</f>
        <v/>
      </c>
      <c r="D424" s="4" t="str">
        <f>IF($L424="","",IF(INDEX(tblRegistros[Data],$L424)&gt;$D$4,"",IFERROR(INDEX(tblRegistros[Início],$L424),"")))</f>
        <v/>
      </c>
      <c r="E424" s="4" t="str">
        <f>IF($L424="","",IF(INDEX(tblRegistros[Data],$L424)&gt;$D$4,"",IFERROR(IF(INDEX(tblRegistros[Status],$L424)="EM ABERTO","",INDEX(tblRegistros[Fim],$L424)),"")))</f>
        <v/>
      </c>
      <c r="F424" t="str">
        <f>IF($L424="","",IF(INDEX(tblRegistros[Data],$L424)&gt;$D$4,"",IFERROR(IF(INDEX(tblRegistros[Status],$L424)="EM ABERTO","",INDEX(tblRegistros[Horas],$L424)),"")))</f>
        <v/>
      </c>
      <c r="G424" t="str">
        <f>IF($L424="","",IF(INDEX(tblRegistros[Data],$L424)&gt;$D$4,"",IFERROR(INDEX(tblRegistros[Base],$L424),"")))</f>
        <v/>
      </c>
      <c r="H424" s="3" t="str">
        <f>IF($L424="","",IF(INDEX(tblRegistros[Data],$L424)&gt;$D$4,"",IFERROR(INDEX(tblRegistros[Taxa aplicada],$L424),"")))</f>
        <v/>
      </c>
      <c r="I424" s="3" t="str">
        <f>IF($L424="","",IF(INDEX(tblRegistros[Data],$L424)&gt;$D$4,"",IFERROR(IF(INDEX(tblRegistros[Status],$L424)="EM ABERTO","",INDEX(tblRegistros[Valor],$L424)),"")))</f>
        <v/>
      </c>
      <c r="J424" t="str">
        <f>IF($L424="","",IF(INDEX(tblRegistros[Data],$L424)&gt;$D$4,"",IFERROR(INDEX(tblRegistros[Status],$L424),"")))</f>
        <v/>
      </c>
      <c r="K424" t="str">
        <f>IF($L424="","",IF(INDEX(tblRegistros[Data],$L424)&gt;$D$4,"",IFERROR(INDEX(tblRegistros[Observação],$L424),"")))</f>
        <v/>
      </c>
      <c r="L424" s="16" t="str">
        <f>IFERROR(MATCH($B$3*100000+COUNTIFS(tblRegistros[ID],$B$3,tblRegistros[Data],"&lt;"&amp;$B$4)+ROWS($L$10:L424),tblRegistros[Chave do cartão],0),"")</f>
        <v/>
      </c>
    </row>
    <row r="425" spans="1:12">
      <c r="A425" s="2" t="str">
        <f>IF($L425="","",IF(INDEX(tblRegistros[Data],$L425)&gt;$D$4,"",IFERROR(INDEX(tblRegistros[Data],$L425),"")))</f>
        <v/>
      </c>
      <c r="B425" t="str">
        <f>IF($L425="","",IF(INDEX(tblRegistros[Data],$L425)&gt;$D$4,"",IFERROR(INDEX(tblRegistros[Projeto],$L425),"")))</f>
        <v/>
      </c>
      <c r="C425" t="str">
        <f>IF($L425="","",IF(INDEX(tblRegistros[Data],$L425)&gt;$D$4,"",IFERROR(INDEX(tblRegistros[Atividade],$L425),"")))</f>
        <v/>
      </c>
      <c r="D425" s="4" t="str">
        <f>IF($L425="","",IF(INDEX(tblRegistros[Data],$L425)&gt;$D$4,"",IFERROR(INDEX(tblRegistros[Início],$L425),"")))</f>
        <v/>
      </c>
      <c r="E425" s="4" t="str">
        <f>IF($L425="","",IF(INDEX(tblRegistros[Data],$L425)&gt;$D$4,"",IFERROR(IF(INDEX(tblRegistros[Status],$L425)="EM ABERTO","",INDEX(tblRegistros[Fim],$L425)),"")))</f>
        <v/>
      </c>
      <c r="F425" t="str">
        <f>IF($L425="","",IF(INDEX(tblRegistros[Data],$L425)&gt;$D$4,"",IFERROR(IF(INDEX(tblRegistros[Status],$L425)="EM ABERTO","",INDEX(tblRegistros[Horas],$L425)),"")))</f>
        <v/>
      </c>
      <c r="G425" t="str">
        <f>IF($L425="","",IF(INDEX(tblRegistros[Data],$L425)&gt;$D$4,"",IFERROR(INDEX(tblRegistros[Base],$L425),"")))</f>
        <v/>
      </c>
      <c r="H425" s="3" t="str">
        <f>IF($L425="","",IF(INDEX(tblRegistros[Data],$L425)&gt;$D$4,"",IFERROR(INDEX(tblRegistros[Taxa aplicada],$L425),"")))</f>
        <v/>
      </c>
      <c r="I425" s="3" t="str">
        <f>IF($L425="","",IF(INDEX(tblRegistros[Data],$L425)&gt;$D$4,"",IFERROR(IF(INDEX(tblRegistros[Status],$L425)="EM ABERTO","",INDEX(tblRegistros[Valor],$L425)),"")))</f>
        <v/>
      </c>
      <c r="J425" t="str">
        <f>IF($L425="","",IF(INDEX(tblRegistros[Data],$L425)&gt;$D$4,"",IFERROR(INDEX(tblRegistros[Status],$L425),"")))</f>
        <v/>
      </c>
      <c r="K425" t="str">
        <f>IF($L425="","",IF(INDEX(tblRegistros[Data],$L425)&gt;$D$4,"",IFERROR(INDEX(tblRegistros[Observação],$L425),"")))</f>
        <v/>
      </c>
      <c r="L425" s="16" t="str">
        <f>IFERROR(MATCH($B$3*100000+COUNTIFS(tblRegistros[ID],$B$3,tblRegistros[Data],"&lt;"&amp;$B$4)+ROWS($L$10:L425),tblRegistros[Chave do cartão],0),"")</f>
        <v/>
      </c>
    </row>
    <row r="426" spans="1:12">
      <c r="A426" s="2" t="str">
        <f>IF($L426="","",IF(INDEX(tblRegistros[Data],$L426)&gt;$D$4,"",IFERROR(INDEX(tblRegistros[Data],$L426),"")))</f>
        <v/>
      </c>
      <c r="B426" t="str">
        <f>IF($L426="","",IF(INDEX(tblRegistros[Data],$L426)&gt;$D$4,"",IFERROR(INDEX(tblRegistros[Projeto],$L426),"")))</f>
        <v/>
      </c>
      <c r="C426" t="str">
        <f>IF($L426="","",IF(INDEX(tblRegistros[Data],$L426)&gt;$D$4,"",IFERROR(INDEX(tblRegistros[Atividade],$L426),"")))</f>
        <v/>
      </c>
      <c r="D426" s="4" t="str">
        <f>IF($L426="","",IF(INDEX(tblRegistros[Data],$L426)&gt;$D$4,"",IFERROR(INDEX(tblRegistros[Início],$L426),"")))</f>
        <v/>
      </c>
      <c r="E426" s="4" t="str">
        <f>IF($L426="","",IF(INDEX(tblRegistros[Data],$L426)&gt;$D$4,"",IFERROR(IF(INDEX(tblRegistros[Status],$L426)="EM ABERTO","",INDEX(tblRegistros[Fim],$L426)),"")))</f>
        <v/>
      </c>
      <c r="F426" t="str">
        <f>IF($L426="","",IF(INDEX(tblRegistros[Data],$L426)&gt;$D$4,"",IFERROR(IF(INDEX(tblRegistros[Status],$L426)="EM ABERTO","",INDEX(tblRegistros[Horas],$L426)),"")))</f>
        <v/>
      </c>
      <c r="G426" t="str">
        <f>IF($L426="","",IF(INDEX(tblRegistros[Data],$L426)&gt;$D$4,"",IFERROR(INDEX(tblRegistros[Base],$L426),"")))</f>
        <v/>
      </c>
      <c r="H426" s="3" t="str">
        <f>IF($L426="","",IF(INDEX(tblRegistros[Data],$L426)&gt;$D$4,"",IFERROR(INDEX(tblRegistros[Taxa aplicada],$L426),"")))</f>
        <v/>
      </c>
      <c r="I426" s="3" t="str">
        <f>IF($L426="","",IF(INDEX(tblRegistros[Data],$L426)&gt;$D$4,"",IFERROR(IF(INDEX(tblRegistros[Status],$L426)="EM ABERTO","",INDEX(tblRegistros[Valor],$L426)),"")))</f>
        <v/>
      </c>
      <c r="J426" t="str">
        <f>IF($L426="","",IF(INDEX(tblRegistros[Data],$L426)&gt;$D$4,"",IFERROR(INDEX(tblRegistros[Status],$L426),"")))</f>
        <v/>
      </c>
      <c r="K426" t="str">
        <f>IF($L426="","",IF(INDEX(tblRegistros[Data],$L426)&gt;$D$4,"",IFERROR(INDEX(tblRegistros[Observação],$L426),"")))</f>
        <v/>
      </c>
      <c r="L426" s="16" t="str">
        <f>IFERROR(MATCH($B$3*100000+COUNTIFS(tblRegistros[ID],$B$3,tblRegistros[Data],"&lt;"&amp;$B$4)+ROWS($L$10:L426),tblRegistros[Chave do cartão],0),"")</f>
        <v/>
      </c>
    </row>
    <row r="427" spans="1:12">
      <c r="A427" s="2" t="str">
        <f>IF($L427="","",IF(INDEX(tblRegistros[Data],$L427)&gt;$D$4,"",IFERROR(INDEX(tblRegistros[Data],$L427),"")))</f>
        <v/>
      </c>
      <c r="B427" t="str">
        <f>IF($L427="","",IF(INDEX(tblRegistros[Data],$L427)&gt;$D$4,"",IFERROR(INDEX(tblRegistros[Projeto],$L427),"")))</f>
        <v/>
      </c>
      <c r="C427" t="str">
        <f>IF($L427="","",IF(INDEX(tblRegistros[Data],$L427)&gt;$D$4,"",IFERROR(INDEX(tblRegistros[Atividade],$L427),"")))</f>
        <v/>
      </c>
      <c r="D427" s="4" t="str">
        <f>IF($L427="","",IF(INDEX(tblRegistros[Data],$L427)&gt;$D$4,"",IFERROR(INDEX(tblRegistros[Início],$L427),"")))</f>
        <v/>
      </c>
      <c r="E427" s="4" t="str">
        <f>IF($L427="","",IF(INDEX(tblRegistros[Data],$L427)&gt;$D$4,"",IFERROR(IF(INDEX(tblRegistros[Status],$L427)="EM ABERTO","",INDEX(tblRegistros[Fim],$L427)),"")))</f>
        <v/>
      </c>
      <c r="F427" t="str">
        <f>IF($L427="","",IF(INDEX(tblRegistros[Data],$L427)&gt;$D$4,"",IFERROR(IF(INDEX(tblRegistros[Status],$L427)="EM ABERTO","",INDEX(tblRegistros[Horas],$L427)),"")))</f>
        <v/>
      </c>
      <c r="G427" t="str">
        <f>IF($L427="","",IF(INDEX(tblRegistros[Data],$L427)&gt;$D$4,"",IFERROR(INDEX(tblRegistros[Base],$L427),"")))</f>
        <v/>
      </c>
      <c r="H427" s="3" t="str">
        <f>IF($L427="","",IF(INDEX(tblRegistros[Data],$L427)&gt;$D$4,"",IFERROR(INDEX(tblRegistros[Taxa aplicada],$L427),"")))</f>
        <v/>
      </c>
      <c r="I427" s="3" t="str">
        <f>IF($L427="","",IF(INDEX(tblRegistros[Data],$L427)&gt;$D$4,"",IFERROR(IF(INDEX(tblRegistros[Status],$L427)="EM ABERTO","",INDEX(tblRegistros[Valor],$L427)),"")))</f>
        <v/>
      </c>
      <c r="J427" t="str">
        <f>IF($L427="","",IF(INDEX(tblRegistros[Data],$L427)&gt;$D$4,"",IFERROR(INDEX(tblRegistros[Status],$L427),"")))</f>
        <v/>
      </c>
      <c r="K427" t="str">
        <f>IF($L427="","",IF(INDEX(tblRegistros[Data],$L427)&gt;$D$4,"",IFERROR(INDEX(tblRegistros[Observação],$L427),"")))</f>
        <v/>
      </c>
      <c r="L427" s="16" t="str">
        <f>IFERROR(MATCH($B$3*100000+COUNTIFS(tblRegistros[ID],$B$3,tblRegistros[Data],"&lt;"&amp;$B$4)+ROWS($L$10:L427),tblRegistros[Chave do cartão],0),"")</f>
        <v/>
      </c>
    </row>
    <row r="428" spans="1:12">
      <c r="A428" s="2" t="str">
        <f>IF($L428="","",IF(INDEX(tblRegistros[Data],$L428)&gt;$D$4,"",IFERROR(INDEX(tblRegistros[Data],$L428),"")))</f>
        <v/>
      </c>
      <c r="B428" t="str">
        <f>IF($L428="","",IF(INDEX(tblRegistros[Data],$L428)&gt;$D$4,"",IFERROR(INDEX(tblRegistros[Projeto],$L428),"")))</f>
        <v/>
      </c>
      <c r="C428" t="str">
        <f>IF($L428="","",IF(INDEX(tblRegistros[Data],$L428)&gt;$D$4,"",IFERROR(INDEX(tblRegistros[Atividade],$L428),"")))</f>
        <v/>
      </c>
      <c r="D428" s="4" t="str">
        <f>IF($L428="","",IF(INDEX(tblRegistros[Data],$L428)&gt;$D$4,"",IFERROR(INDEX(tblRegistros[Início],$L428),"")))</f>
        <v/>
      </c>
      <c r="E428" s="4" t="str">
        <f>IF($L428="","",IF(INDEX(tblRegistros[Data],$L428)&gt;$D$4,"",IFERROR(IF(INDEX(tblRegistros[Status],$L428)="EM ABERTO","",INDEX(tblRegistros[Fim],$L428)),"")))</f>
        <v/>
      </c>
      <c r="F428" t="str">
        <f>IF($L428="","",IF(INDEX(tblRegistros[Data],$L428)&gt;$D$4,"",IFERROR(IF(INDEX(tblRegistros[Status],$L428)="EM ABERTO","",INDEX(tblRegistros[Horas],$L428)),"")))</f>
        <v/>
      </c>
      <c r="G428" t="str">
        <f>IF($L428="","",IF(INDEX(tblRegistros[Data],$L428)&gt;$D$4,"",IFERROR(INDEX(tblRegistros[Base],$L428),"")))</f>
        <v/>
      </c>
      <c r="H428" s="3" t="str">
        <f>IF($L428="","",IF(INDEX(tblRegistros[Data],$L428)&gt;$D$4,"",IFERROR(INDEX(tblRegistros[Taxa aplicada],$L428),"")))</f>
        <v/>
      </c>
      <c r="I428" s="3" t="str">
        <f>IF($L428="","",IF(INDEX(tblRegistros[Data],$L428)&gt;$D$4,"",IFERROR(IF(INDEX(tblRegistros[Status],$L428)="EM ABERTO","",INDEX(tblRegistros[Valor],$L428)),"")))</f>
        <v/>
      </c>
      <c r="J428" t="str">
        <f>IF($L428="","",IF(INDEX(tblRegistros[Data],$L428)&gt;$D$4,"",IFERROR(INDEX(tblRegistros[Status],$L428),"")))</f>
        <v/>
      </c>
      <c r="K428" t="str">
        <f>IF($L428="","",IF(INDEX(tblRegistros[Data],$L428)&gt;$D$4,"",IFERROR(INDEX(tblRegistros[Observação],$L428),"")))</f>
        <v/>
      </c>
      <c r="L428" s="16" t="str">
        <f>IFERROR(MATCH($B$3*100000+COUNTIFS(tblRegistros[ID],$B$3,tblRegistros[Data],"&lt;"&amp;$B$4)+ROWS($L$10:L428),tblRegistros[Chave do cartão],0),"")</f>
        <v/>
      </c>
    </row>
    <row r="429" spans="1:12">
      <c r="A429" s="2" t="str">
        <f>IF($L429="","",IF(INDEX(tblRegistros[Data],$L429)&gt;$D$4,"",IFERROR(INDEX(tblRegistros[Data],$L429),"")))</f>
        <v/>
      </c>
      <c r="B429" t="str">
        <f>IF($L429="","",IF(INDEX(tblRegistros[Data],$L429)&gt;$D$4,"",IFERROR(INDEX(tblRegistros[Projeto],$L429),"")))</f>
        <v/>
      </c>
      <c r="C429" t="str">
        <f>IF($L429="","",IF(INDEX(tblRegistros[Data],$L429)&gt;$D$4,"",IFERROR(INDEX(tblRegistros[Atividade],$L429),"")))</f>
        <v/>
      </c>
      <c r="D429" s="4" t="str">
        <f>IF($L429="","",IF(INDEX(tblRegistros[Data],$L429)&gt;$D$4,"",IFERROR(INDEX(tblRegistros[Início],$L429),"")))</f>
        <v/>
      </c>
      <c r="E429" s="4" t="str">
        <f>IF($L429="","",IF(INDEX(tblRegistros[Data],$L429)&gt;$D$4,"",IFERROR(IF(INDEX(tblRegistros[Status],$L429)="EM ABERTO","",INDEX(tblRegistros[Fim],$L429)),"")))</f>
        <v/>
      </c>
      <c r="F429" t="str">
        <f>IF($L429="","",IF(INDEX(tblRegistros[Data],$L429)&gt;$D$4,"",IFERROR(IF(INDEX(tblRegistros[Status],$L429)="EM ABERTO","",INDEX(tblRegistros[Horas],$L429)),"")))</f>
        <v/>
      </c>
      <c r="G429" t="str">
        <f>IF($L429="","",IF(INDEX(tblRegistros[Data],$L429)&gt;$D$4,"",IFERROR(INDEX(tblRegistros[Base],$L429),"")))</f>
        <v/>
      </c>
      <c r="H429" s="3" t="str">
        <f>IF($L429="","",IF(INDEX(tblRegistros[Data],$L429)&gt;$D$4,"",IFERROR(INDEX(tblRegistros[Taxa aplicada],$L429),"")))</f>
        <v/>
      </c>
      <c r="I429" s="3" t="str">
        <f>IF($L429="","",IF(INDEX(tblRegistros[Data],$L429)&gt;$D$4,"",IFERROR(IF(INDEX(tblRegistros[Status],$L429)="EM ABERTO","",INDEX(tblRegistros[Valor],$L429)),"")))</f>
        <v/>
      </c>
      <c r="J429" t="str">
        <f>IF($L429="","",IF(INDEX(tblRegistros[Data],$L429)&gt;$D$4,"",IFERROR(INDEX(tblRegistros[Status],$L429),"")))</f>
        <v/>
      </c>
      <c r="K429" t="str">
        <f>IF($L429="","",IF(INDEX(tblRegistros[Data],$L429)&gt;$D$4,"",IFERROR(INDEX(tblRegistros[Observação],$L429),"")))</f>
        <v/>
      </c>
      <c r="L429" s="16" t="str">
        <f>IFERROR(MATCH($B$3*100000+COUNTIFS(tblRegistros[ID],$B$3,tblRegistros[Data],"&lt;"&amp;$B$4)+ROWS($L$10:L429),tblRegistros[Chave do cartão],0),"")</f>
        <v/>
      </c>
    </row>
    <row r="430" spans="1:12">
      <c r="A430" s="2" t="str">
        <f>IF($L430="","",IF(INDEX(tblRegistros[Data],$L430)&gt;$D$4,"",IFERROR(INDEX(tblRegistros[Data],$L430),"")))</f>
        <v/>
      </c>
      <c r="B430" t="str">
        <f>IF($L430="","",IF(INDEX(tblRegistros[Data],$L430)&gt;$D$4,"",IFERROR(INDEX(tblRegistros[Projeto],$L430),"")))</f>
        <v/>
      </c>
      <c r="C430" t="str">
        <f>IF($L430="","",IF(INDEX(tblRegistros[Data],$L430)&gt;$D$4,"",IFERROR(INDEX(tblRegistros[Atividade],$L430),"")))</f>
        <v/>
      </c>
      <c r="D430" s="4" t="str">
        <f>IF($L430="","",IF(INDEX(tblRegistros[Data],$L430)&gt;$D$4,"",IFERROR(INDEX(tblRegistros[Início],$L430),"")))</f>
        <v/>
      </c>
      <c r="E430" s="4" t="str">
        <f>IF($L430="","",IF(INDEX(tblRegistros[Data],$L430)&gt;$D$4,"",IFERROR(IF(INDEX(tblRegistros[Status],$L430)="EM ABERTO","",INDEX(tblRegistros[Fim],$L430)),"")))</f>
        <v/>
      </c>
      <c r="F430" t="str">
        <f>IF($L430="","",IF(INDEX(tblRegistros[Data],$L430)&gt;$D$4,"",IFERROR(IF(INDEX(tblRegistros[Status],$L430)="EM ABERTO","",INDEX(tblRegistros[Horas],$L430)),"")))</f>
        <v/>
      </c>
      <c r="G430" t="str">
        <f>IF($L430="","",IF(INDEX(tblRegistros[Data],$L430)&gt;$D$4,"",IFERROR(INDEX(tblRegistros[Base],$L430),"")))</f>
        <v/>
      </c>
      <c r="H430" s="3" t="str">
        <f>IF($L430="","",IF(INDEX(tblRegistros[Data],$L430)&gt;$D$4,"",IFERROR(INDEX(tblRegistros[Taxa aplicada],$L430),"")))</f>
        <v/>
      </c>
      <c r="I430" s="3" t="str">
        <f>IF($L430="","",IF(INDEX(tblRegistros[Data],$L430)&gt;$D$4,"",IFERROR(IF(INDEX(tblRegistros[Status],$L430)="EM ABERTO","",INDEX(tblRegistros[Valor],$L430)),"")))</f>
        <v/>
      </c>
      <c r="J430" t="str">
        <f>IF($L430="","",IF(INDEX(tblRegistros[Data],$L430)&gt;$D$4,"",IFERROR(INDEX(tblRegistros[Status],$L430),"")))</f>
        <v/>
      </c>
      <c r="K430" t="str">
        <f>IF($L430="","",IF(INDEX(tblRegistros[Data],$L430)&gt;$D$4,"",IFERROR(INDEX(tblRegistros[Observação],$L430),"")))</f>
        <v/>
      </c>
      <c r="L430" s="16" t="str">
        <f>IFERROR(MATCH($B$3*100000+COUNTIFS(tblRegistros[ID],$B$3,tblRegistros[Data],"&lt;"&amp;$B$4)+ROWS($L$10:L430),tblRegistros[Chave do cartão],0),"")</f>
        <v/>
      </c>
    </row>
    <row r="431" spans="1:12">
      <c r="A431" s="2" t="str">
        <f>IF($L431="","",IF(INDEX(tblRegistros[Data],$L431)&gt;$D$4,"",IFERROR(INDEX(tblRegistros[Data],$L431),"")))</f>
        <v/>
      </c>
      <c r="B431" t="str">
        <f>IF($L431="","",IF(INDEX(tblRegistros[Data],$L431)&gt;$D$4,"",IFERROR(INDEX(tblRegistros[Projeto],$L431),"")))</f>
        <v/>
      </c>
      <c r="C431" t="str">
        <f>IF($L431="","",IF(INDEX(tblRegistros[Data],$L431)&gt;$D$4,"",IFERROR(INDEX(tblRegistros[Atividade],$L431),"")))</f>
        <v/>
      </c>
      <c r="D431" s="4" t="str">
        <f>IF($L431="","",IF(INDEX(tblRegistros[Data],$L431)&gt;$D$4,"",IFERROR(INDEX(tblRegistros[Início],$L431),"")))</f>
        <v/>
      </c>
      <c r="E431" s="4" t="str">
        <f>IF($L431="","",IF(INDEX(tblRegistros[Data],$L431)&gt;$D$4,"",IFERROR(IF(INDEX(tblRegistros[Status],$L431)="EM ABERTO","",INDEX(tblRegistros[Fim],$L431)),"")))</f>
        <v/>
      </c>
      <c r="F431" t="str">
        <f>IF($L431="","",IF(INDEX(tblRegistros[Data],$L431)&gt;$D$4,"",IFERROR(IF(INDEX(tblRegistros[Status],$L431)="EM ABERTO","",INDEX(tblRegistros[Horas],$L431)),"")))</f>
        <v/>
      </c>
      <c r="G431" t="str">
        <f>IF($L431="","",IF(INDEX(tblRegistros[Data],$L431)&gt;$D$4,"",IFERROR(INDEX(tblRegistros[Base],$L431),"")))</f>
        <v/>
      </c>
      <c r="H431" s="3" t="str">
        <f>IF($L431="","",IF(INDEX(tblRegistros[Data],$L431)&gt;$D$4,"",IFERROR(INDEX(tblRegistros[Taxa aplicada],$L431),"")))</f>
        <v/>
      </c>
      <c r="I431" s="3" t="str">
        <f>IF($L431="","",IF(INDEX(tblRegistros[Data],$L431)&gt;$D$4,"",IFERROR(IF(INDEX(tblRegistros[Status],$L431)="EM ABERTO","",INDEX(tblRegistros[Valor],$L431)),"")))</f>
        <v/>
      </c>
      <c r="J431" t="str">
        <f>IF($L431="","",IF(INDEX(tblRegistros[Data],$L431)&gt;$D$4,"",IFERROR(INDEX(tblRegistros[Status],$L431),"")))</f>
        <v/>
      </c>
      <c r="K431" t="str">
        <f>IF($L431="","",IF(INDEX(tblRegistros[Data],$L431)&gt;$D$4,"",IFERROR(INDEX(tblRegistros[Observação],$L431),"")))</f>
        <v/>
      </c>
      <c r="L431" s="16" t="str">
        <f>IFERROR(MATCH($B$3*100000+COUNTIFS(tblRegistros[ID],$B$3,tblRegistros[Data],"&lt;"&amp;$B$4)+ROWS($L$10:L431),tblRegistros[Chave do cartão],0),"")</f>
        <v/>
      </c>
    </row>
    <row r="432" spans="1:12">
      <c r="A432" s="2" t="str">
        <f>IF($L432="","",IF(INDEX(tblRegistros[Data],$L432)&gt;$D$4,"",IFERROR(INDEX(tblRegistros[Data],$L432),"")))</f>
        <v/>
      </c>
      <c r="B432" t="str">
        <f>IF($L432="","",IF(INDEX(tblRegistros[Data],$L432)&gt;$D$4,"",IFERROR(INDEX(tblRegistros[Projeto],$L432),"")))</f>
        <v/>
      </c>
      <c r="C432" t="str">
        <f>IF($L432="","",IF(INDEX(tblRegistros[Data],$L432)&gt;$D$4,"",IFERROR(INDEX(tblRegistros[Atividade],$L432),"")))</f>
        <v/>
      </c>
      <c r="D432" s="4" t="str">
        <f>IF($L432="","",IF(INDEX(tblRegistros[Data],$L432)&gt;$D$4,"",IFERROR(INDEX(tblRegistros[Início],$L432),"")))</f>
        <v/>
      </c>
      <c r="E432" s="4" t="str">
        <f>IF($L432="","",IF(INDEX(tblRegistros[Data],$L432)&gt;$D$4,"",IFERROR(IF(INDEX(tblRegistros[Status],$L432)="EM ABERTO","",INDEX(tblRegistros[Fim],$L432)),"")))</f>
        <v/>
      </c>
      <c r="F432" t="str">
        <f>IF($L432="","",IF(INDEX(tblRegistros[Data],$L432)&gt;$D$4,"",IFERROR(IF(INDEX(tblRegistros[Status],$L432)="EM ABERTO","",INDEX(tblRegistros[Horas],$L432)),"")))</f>
        <v/>
      </c>
      <c r="G432" t="str">
        <f>IF($L432="","",IF(INDEX(tblRegistros[Data],$L432)&gt;$D$4,"",IFERROR(INDEX(tblRegistros[Base],$L432),"")))</f>
        <v/>
      </c>
      <c r="H432" s="3" t="str">
        <f>IF($L432="","",IF(INDEX(tblRegistros[Data],$L432)&gt;$D$4,"",IFERROR(INDEX(tblRegistros[Taxa aplicada],$L432),"")))</f>
        <v/>
      </c>
      <c r="I432" s="3" t="str">
        <f>IF($L432="","",IF(INDEX(tblRegistros[Data],$L432)&gt;$D$4,"",IFERROR(IF(INDEX(tblRegistros[Status],$L432)="EM ABERTO","",INDEX(tblRegistros[Valor],$L432)),"")))</f>
        <v/>
      </c>
      <c r="J432" t="str">
        <f>IF($L432="","",IF(INDEX(tblRegistros[Data],$L432)&gt;$D$4,"",IFERROR(INDEX(tblRegistros[Status],$L432),"")))</f>
        <v/>
      </c>
      <c r="K432" t="str">
        <f>IF($L432="","",IF(INDEX(tblRegistros[Data],$L432)&gt;$D$4,"",IFERROR(INDEX(tblRegistros[Observação],$L432),"")))</f>
        <v/>
      </c>
      <c r="L432" s="16" t="str">
        <f>IFERROR(MATCH($B$3*100000+COUNTIFS(tblRegistros[ID],$B$3,tblRegistros[Data],"&lt;"&amp;$B$4)+ROWS($L$10:L432),tblRegistros[Chave do cartão],0),"")</f>
        <v/>
      </c>
    </row>
    <row r="433" spans="1:12">
      <c r="A433" s="2" t="str">
        <f>IF($L433="","",IF(INDEX(tblRegistros[Data],$L433)&gt;$D$4,"",IFERROR(INDEX(tblRegistros[Data],$L433),"")))</f>
        <v/>
      </c>
      <c r="B433" t="str">
        <f>IF($L433="","",IF(INDEX(tblRegistros[Data],$L433)&gt;$D$4,"",IFERROR(INDEX(tblRegistros[Projeto],$L433),"")))</f>
        <v/>
      </c>
      <c r="C433" t="str">
        <f>IF($L433="","",IF(INDEX(tblRegistros[Data],$L433)&gt;$D$4,"",IFERROR(INDEX(tblRegistros[Atividade],$L433),"")))</f>
        <v/>
      </c>
      <c r="D433" s="4" t="str">
        <f>IF($L433="","",IF(INDEX(tblRegistros[Data],$L433)&gt;$D$4,"",IFERROR(INDEX(tblRegistros[Início],$L433),"")))</f>
        <v/>
      </c>
      <c r="E433" s="4" t="str">
        <f>IF($L433="","",IF(INDEX(tblRegistros[Data],$L433)&gt;$D$4,"",IFERROR(IF(INDEX(tblRegistros[Status],$L433)="EM ABERTO","",INDEX(tblRegistros[Fim],$L433)),"")))</f>
        <v/>
      </c>
      <c r="F433" t="str">
        <f>IF($L433="","",IF(INDEX(tblRegistros[Data],$L433)&gt;$D$4,"",IFERROR(IF(INDEX(tblRegistros[Status],$L433)="EM ABERTO","",INDEX(tblRegistros[Horas],$L433)),"")))</f>
        <v/>
      </c>
      <c r="G433" t="str">
        <f>IF($L433="","",IF(INDEX(tblRegistros[Data],$L433)&gt;$D$4,"",IFERROR(INDEX(tblRegistros[Base],$L433),"")))</f>
        <v/>
      </c>
      <c r="H433" s="3" t="str">
        <f>IF($L433="","",IF(INDEX(tblRegistros[Data],$L433)&gt;$D$4,"",IFERROR(INDEX(tblRegistros[Taxa aplicada],$L433),"")))</f>
        <v/>
      </c>
      <c r="I433" s="3" t="str">
        <f>IF($L433="","",IF(INDEX(tblRegistros[Data],$L433)&gt;$D$4,"",IFERROR(IF(INDEX(tblRegistros[Status],$L433)="EM ABERTO","",INDEX(tblRegistros[Valor],$L433)),"")))</f>
        <v/>
      </c>
      <c r="J433" t="str">
        <f>IF($L433="","",IF(INDEX(tblRegistros[Data],$L433)&gt;$D$4,"",IFERROR(INDEX(tblRegistros[Status],$L433),"")))</f>
        <v/>
      </c>
      <c r="K433" t="str">
        <f>IF($L433="","",IF(INDEX(tblRegistros[Data],$L433)&gt;$D$4,"",IFERROR(INDEX(tblRegistros[Observação],$L433),"")))</f>
        <v/>
      </c>
      <c r="L433" s="16" t="str">
        <f>IFERROR(MATCH($B$3*100000+COUNTIFS(tblRegistros[ID],$B$3,tblRegistros[Data],"&lt;"&amp;$B$4)+ROWS($L$10:L433),tblRegistros[Chave do cartão],0),"")</f>
        <v/>
      </c>
    </row>
    <row r="434" spans="1:12">
      <c r="A434" s="2" t="str">
        <f>IF($L434="","",IF(INDEX(tblRegistros[Data],$L434)&gt;$D$4,"",IFERROR(INDEX(tblRegistros[Data],$L434),"")))</f>
        <v/>
      </c>
      <c r="B434" t="str">
        <f>IF($L434="","",IF(INDEX(tblRegistros[Data],$L434)&gt;$D$4,"",IFERROR(INDEX(tblRegistros[Projeto],$L434),"")))</f>
        <v/>
      </c>
      <c r="C434" t="str">
        <f>IF($L434="","",IF(INDEX(tblRegistros[Data],$L434)&gt;$D$4,"",IFERROR(INDEX(tblRegistros[Atividade],$L434),"")))</f>
        <v/>
      </c>
      <c r="D434" s="4" t="str">
        <f>IF($L434="","",IF(INDEX(tblRegistros[Data],$L434)&gt;$D$4,"",IFERROR(INDEX(tblRegistros[Início],$L434),"")))</f>
        <v/>
      </c>
      <c r="E434" s="4" t="str">
        <f>IF($L434="","",IF(INDEX(tblRegistros[Data],$L434)&gt;$D$4,"",IFERROR(IF(INDEX(tblRegistros[Status],$L434)="EM ABERTO","",INDEX(tblRegistros[Fim],$L434)),"")))</f>
        <v/>
      </c>
      <c r="F434" t="str">
        <f>IF($L434="","",IF(INDEX(tblRegistros[Data],$L434)&gt;$D$4,"",IFERROR(IF(INDEX(tblRegistros[Status],$L434)="EM ABERTO","",INDEX(tblRegistros[Horas],$L434)),"")))</f>
        <v/>
      </c>
      <c r="G434" t="str">
        <f>IF($L434="","",IF(INDEX(tblRegistros[Data],$L434)&gt;$D$4,"",IFERROR(INDEX(tblRegistros[Base],$L434),"")))</f>
        <v/>
      </c>
      <c r="H434" s="3" t="str">
        <f>IF($L434="","",IF(INDEX(tblRegistros[Data],$L434)&gt;$D$4,"",IFERROR(INDEX(tblRegistros[Taxa aplicada],$L434),"")))</f>
        <v/>
      </c>
      <c r="I434" s="3" t="str">
        <f>IF($L434="","",IF(INDEX(tblRegistros[Data],$L434)&gt;$D$4,"",IFERROR(IF(INDEX(tblRegistros[Status],$L434)="EM ABERTO","",INDEX(tblRegistros[Valor],$L434)),"")))</f>
        <v/>
      </c>
      <c r="J434" t="str">
        <f>IF($L434="","",IF(INDEX(tblRegistros[Data],$L434)&gt;$D$4,"",IFERROR(INDEX(tblRegistros[Status],$L434),"")))</f>
        <v/>
      </c>
      <c r="K434" t="str">
        <f>IF($L434="","",IF(INDEX(tblRegistros[Data],$L434)&gt;$D$4,"",IFERROR(INDEX(tblRegistros[Observação],$L434),"")))</f>
        <v/>
      </c>
      <c r="L434" s="16" t="str">
        <f>IFERROR(MATCH($B$3*100000+COUNTIFS(tblRegistros[ID],$B$3,tblRegistros[Data],"&lt;"&amp;$B$4)+ROWS($L$10:L434),tblRegistros[Chave do cartão],0),"")</f>
        <v/>
      </c>
    </row>
    <row r="435" spans="1:12">
      <c r="A435" s="2" t="str">
        <f>IF($L435="","",IF(INDEX(tblRegistros[Data],$L435)&gt;$D$4,"",IFERROR(INDEX(tblRegistros[Data],$L435),"")))</f>
        <v/>
      </c>
      <c r="B435" t="str">
        <f>IF($L435="","",IF(INDEX(tblRegistros[Data],$L435)&gt;$D$4,"",IFERROR(INDEX(tblRegistros[Projeto],$L435),"")))</f>
        <v/>
      </c>
      <c r="C435" t="str">
        <f>IF($L435="","",IF(INDEX(tblRegistros[Data],$L435)&gt;$D$4,"",IFERROR(INDEX(tblRegistros[Atividade],$L435),"")))</f>
        <v/>
      </c>
      <c r="D435" s="4" t="str">
        <f>IF($L435="","",IF(INDEX(tblRegistros[Data],$L435)&gt;$D$4,"",IFERROR(INDEX(tblRegistros[Início],$L435),"")))</f>
        <v/>
      </c>
      <c r="E435" s="4" t="str">
        <f>IF($L435="","",IF(INDEX(tblRegistros[Data],$L435)&gt;$D$4,"",IFERROR(IF(INDEX(tblRegistros[Status],$L435)="EM ABERTO","",INDEX(tblRegistros[Fim],$L435)),"")))</f>
        <v/>
      </c>
      <c r="F435" t="str">
        <f>IF($L435="","",IF(INDEX(tblRegistros[Data],$L435)&gt;$D$4,"",IFERROR(IF(INDEX(tblRegistros[Status],$L435)="EM ABERTO","",INDEX(tblRegistros[Horas],$L435)),"")))</f>
        <v/>
      </c>
      <c r="G435" t="str">
        <f>IF($L435="","",IF(INDEX(tblRegistros[Data],$L435)&gt;$D$4,"",IFERROR(INDEX(tblRegistros[Base],$L435),"")))</f>
        <v/>
      </c>
      <c r="H435" s="3" t="str">
        <f>IF($L435="","",IF(INDEX(tblRegistros[Data],$L435)&gt;$D$4,"",IFERROR(INDEX(tblRegistros[Taxa aplicada],$L435),"")))</f>
        <v/>
      </c>
      <c r="I435" s="3" t="str">
        <f>IF($L435="","",IF(INDEX(tblRegistros[Data],$L435)&gt;$D$4,"",IFERROR(IF(INDEX(tblRegistros[Status],$L435)="EM ABERTO","",INDEX(tblRegistros[Valor],$L435)),"")))</f>
        <v/>
      </c>
      <c r="J435" t="str">
        <f>IF($L435="","",IF(INDEX(tblRegistros[Data],$L435)&gt;$D$4,"",IFERROR(INDEX(tblRegistros[Status],$L435),"")))</f>
        <v/>
      </c>
      <c r="K435" t="str">
        <f>IF($L435="","",IF(INDEX(tblRegistros[Data],$L435)&gt;$D$4,"",IFERROR(INDEX(tblRegistros[Observação],$L435),"")))</f>
        <v/>
      </c>
      <c r="L435" s="16" t="str">
        <f>IFERROR(MATCH($B$3*100000+COUNTIFS(tblRegistros[ID],$B$3,tblRegistros[Data],"&lt;"&amp;$B$4)+ROWS($L$10:L435),tblRegistros[Chave do cartão],0),"")</f>
        <v/>
      </c>
    </row>
    <row r="436" spans="1:12">
      <c r="A436" s="2" t="str">
        <f>IF($L436="","",IF(INDEX(tblRegistros[Data],$L436)&gt;$D$4,"",IFERROR(INDEX(tblRegistros[Data],$L436),"")))</f>
        <v/>
      </c>
      <c r="B436" t="str">
        <f>IF($L436="","",IF(INDEX(tblRegistros[Data],$L436)&gt;$D$4,"",IFERROR(INDEX(tblRegistros[Projeto],$L436),"")))</f>
        <v/>
      </c>
      <c r="C436" t="str">
        <f>IF($L436="","",IF(INDEX(tblRegistros[Data],$L436)&gt;$D$4,"",IFERROR(INDEX(tblRegistros[Atividade],$L436),"")))</f>
        <v/>
      </c>
      <c r="D436" s="4" t="str">
        <f>IF($L436="","",IF(INDEX(tblRegistros[Data],$L436)&gt;$D$4,"",IFERROR(INDEX(tblRegistros[Início],$L436),"")))</f>
        <v/>
      </c>
      <c r="E436" s="4" t="str">
        <f>IF($L436="","",IF(INDEX(tblRegistros[Data],$L436)&gt;$D$4,"",IFERROR(IF(INDEX(tblRegistros[Status],$L436)="EM ABERTO","",INDEX(tblRegistros[Fim],$L436)),"")))</f>
        <v/>
      </c>
      <c r="F436" t="str">
        <f>IF($L436="","",IF(INDEX(tblRegistros[Data],$L436)&gt;$D$4,"",IFERROR(IF(INDEX(tblRegistros[Status],$L436)="EM ABERTO","",INDEX(tblRegistros[Horas],$L436)),"")))</f>
        <v/>
      </c>
      <c r="G436" t="str">
        <f>IF($L436="","",IF(INDEX(tblRegistros[Data],$L436)&gt;$D$4,"",IFERROR(INDEX(tblRegistros[Base],$L436),"")))</f>
        <v/>
      </c>
      <c r="H436" s="3" t="str">
        <f>IF($L436="","",IF(INDEX(tblRegistros[Data],$L436)&gt;$D$4,"",IFERROR(INDEX(tblRegistros[Taxa aplicada],$L436),"")))</f>
        <v/>
      </c>
      <c r="I436" s="3" t="str">
        <f>IF($L436="","",IF(INDEX(tblRegistros[Data],$L436)&gt;$D$4,"",IFERROR(IF(INDEX(tblRegistros[Status],$L436)="EM ABERTO","",INDEX(tblRegistros[Valor],$L436)),"")))</f>
        <v/>
      </c>
      <c r="J436" t="str">
        <f>IF($L436="","",IF(INDEX(tblRegistros[Data],$L436)&gt;$D$4,"",IFERROR(INDEX(tblRegistros[Status],$L436),"")))</f>
        <v/>
      </c>
      <c r="K436" t="str">
        <f>IF($L436="","",IF(INDEX(tblRegistros[Data],$L436)&gt;$D$4,"",IFERROR(INDEX(tblRegistros[Observação],$L436),"")))</f>
        <v/>
      </c>
      <c r="L436" s="16" t="str">
        <f>IFERROR(MATCH($B$3*100000+COUNTIFS(tblRegistros[ID],$B$3,tblRegistros[Data],"&lt;"&amp;$B$4)+ROWS($L$10:L436),tblRegistros[Chave do cartão],0),"")</f>
        <v/>
      </c>
    </row>
    <row r="437" spans="1:12">
      <c r="A437" s="2" t="str">
        <f>IF($L437="","",IF(INDEX(tblRegistros[Data],$L437)&gt;$D$4,"",IFERROR(INDEX(tblRegistros[Data],$L437),"")))</f>
        <v/>
      </c>
      <c r="B437" t="str">
        <f>IF($L437="","",IF(INDEX(tblRegistros[Data],$L437)&gt;$D$4,"",IFERROR(INDEX(tblRegistros[Projeto],$L437),"")))</f>
        <v/>
      </c>
      <c r="C437" t="str">
        <f>IF($L437="","",IF(INDEX(tblRegistros[Data],$L437)&gt;$D$4,"",IFERROR(INDEX(tblRegistros[Atividade],$L437),"")))</f>
        <v/>
      </c>
      <c r="D437" s="4" t="str">
        <f>IF($L437="","",IF(INDEX(tblRegistros[Data],$L437)&gt;$D$4,"",IFERROR(INDEX(tblRegistros[Início],$L437),"")))</f>
        <v/>
      </c>
      <c r="E437" s="4" t="str">
        <f>IF($L437="","",IF(INDEX(tblRegistros[Data],$L437)&gt;$D$4,"",IFERROR(IF(INDEX(tblRegistros[Status],$L437)="EM ABERTO","",INDEX(tblRegistros[Fim],$L437)),"")))</f>
        <v/>
      </c>
      <c r="F437" t="str">
        <f>IF($L437="","",IF(INDEX(tblRegistros[Data],$L437)&gt;$D$4,"",IFERROR(IF(INDEX(tblRegistros[Status],$L437)="EM ABERTO","",INDEX(tblRegistros[Horas],$L437)),"")))</f>
        <v/>
      </c>
      <c r="G437" t="str">
        <f>IF($L437="","",IF(INDEX(tblRegistros[Data],$L437)&gt;$D$4,"",IFERROR(INDEX(tblRegistros[Base],$L437),"")))</f>
        <v/>
      </c>
      <c r="H437" s="3" t="str">
        <f>IF($L437="","",IF(INDEX(tblRegistros[Data],$L437)&gt;$D$4,"",IFERROR(INDEX(tblRegistros[Taxa aplicada],$L437),"")))</f>
        <v/>
      </c>
      <c r="I437" s="3" t="str">
        <f>IF($L437="","",IF(INDEX(tblRegistros[Data],$L437)&gt;$D$4,"",IFERROR(IF(INDEX(tblRegistros[Status],$L437)="EM ABERTO","",INDEX(tblRegistros[Valor],$L437)),"")))</f>
        <v/>
      </c>
      <c r="J437" t="str">
        <f>IF($L437="","",IF(INDEX(tblRegistros[Data],$L437)&gt;$D$4,"",IFERROR(INDEX(tblRegistros[Status],$L437),"")))</f>
        <v/>
      </c>
      <c r="K437" t="str">
        <f>IF($L437="","",IF(INDEX(tblRegistros[Data],$L437)&gt;$D$4,"",IFERROR(INDEX(tblRegistros[Observação],$L437),"")))</f>
        <v/>
      </c>
      <c r="L437" s="16" t="str">
        <f>IFERROR(MATCH($B$3*100000+COUNTIFS(tblRegistros[ID],$B$3,tblRegistros[Data],"&lt;"&amp;$B$4)+ROWS($L$10:L437),tblRegistros[Chave do cartão],0),"")</f>
        <v/>
      </c>
    </row>
    <row r="438" spans="1:12">
      <c r="A438" s="2" t="str">
        <f>IF($L438="","",IF(INDEX(tblRegistros[Data],$L438)&gt;$D$4,"",IFERROR(INDEX(tblRegistros[Data],$L438),"")))</f>
        <v/>
      </c>
      <c r="B438" t="str">
        <f>IF($L438="","",IF(INDEX(tblRegistros[Data],$L438)&gt;$D$4,"",IFERROR(INDEX(tblRegistros[Projeto],$L438),"")))</f>
        <v/>
      </c>
      <c r="C438" t="str">
        <f>IF($L438="","",IF(INDEX(tblRegistros[Data],$L438)&gt;$D$4,"",IFERROR(INDEX(tblRegistros[Atividade],$L438),"")))</f>
        <v/>
      </c>
      <c r="D438" s="4" t="str">
        <f>IF($L438="","",IF(INDEX(tblRegistros[Data],$L438)&gt;$D$4,"",IFERROR(INDEX(tblRegistros[Início],$L438),"")))</f>
        <v/>
      </c>
      <c r="E438" s="4" t="str">
        <f>IF($L438="","",IF(INDEX(tblRegistros[Data],$L438)&gt;$D$4,"",IFERROR(IF(INDEX(tblRegistros[Status],$L438)="EM ABERTO","",INDEX(tblRegistros[Fim],$L438)),"")))</f>
        <v/>
      </c>
      <c r="F438" t="str">
        <f>IF($L438="","",IF(INDEX(tblRegistros[Data],$L438)&gt;$D$4,"",IFERROR(IF(INDEX(tblRegistros[Status],$L438)="EM ABERTO","",INDEX(tblRegistros[Horas],$L438)),"")))</f>
        <v/>
      </c>
      <c r="G438" t="str">
        <f>IF($L438="","",IF(INDEX(tblRegistros[Data],$L438)&gt;$D$4,"",IFERROR(INDEX(tblRegistros[Base],$L438),"")))</f>
        <v/>
      </c>
      <c r="H438" s="3" t="str">
        <f>IF($L438="","",IF(INDEX(tblRegistros[Data],$L438)&gt;$D$4,"",IFERROR(INDEX(tblRegistros[Taxa aplicada],$L438),"")))</f>
        <v/>
      </c>
      <c r="I438" s="3" t="str">
        <f>IF($L438="","",IF(INDEX(tblRegistros[Data],$L438)&gt;$D$4,"",IFERROR(IF(INDEX(tblRegistros[Status],$L438)="EM ABERTO","",INDEX(tblRegistros[Valor],$L438)),"")))</f>
        <v/>
      </c>
      <c r="J438" t="str">
        <f>IF($L438="","",IF(INDEX(tblRegistros[Data],$L438)&gt;$D$4,"",IFERROR(INDEX(tblRegistros[Status],$L438),"")))</f>
        <v/>
      </c>
      <c r="K438" t="str">
        <f>IF($L438="","",IF(INDEX(tblRegistros[Data],$L438)&gt;$D$4,"",IFERROR(INDEX(tblRegistros[Observação],$L438),"")))</f>
        <v/>
      </c>
      <c r="L438" s="16" t="str">
        <f>IFERROR(MATCH($B$3*100000+COUNTIFS(tblRegistros[ID],$B$3,tblRegistros[Data],"&lt;"&amp;$B$4)+ROWS($L$10:L438),tblRegistros[Chave do cartão],0),"")</f>
        <v/>
      </c>
    </row>
    <row r="439" spans="1:12">
      <c r="A439" s="2" t="str">
        <f>IF($L439="","",IF(INDEX(tblRegistros[Data],$L439)&gt;$D$4,"",IFERROR(INDEX(tblRegistros[Data],$L439),"")))</f>
        <v/>
      </c>
      <c r="B439" t="str">
        <f>IF($L439="","",IF(INDEX(tblRegistros[Data],$L439)&gt;$D$4,"",IFERROR(INDEX(tblRegistros[Projeto],$L439),"")))</f>
        <v/>
      </c>
      <c r="C439" t="str">
        <f>IF($L439="","",IF(INDEX(tblRegistros[Data],$L439)&gt;$D$4,"",IFERROR(INDEX(tblRegistros[Atividade],$L439),"")))</f>
        <v/>
      </c>
      <c r="D439" s="4" t="str">
        <f>IF($L439="","",IF(INDEX(tblRegistros[Data],$L439)&gt;$D$4,"",IFERROR(INDEX(tblRegistros[Início],$L439),"")))</f>
        <v/>
      </c>
      <c r="E439" s="4" t="str">
        <f>IF($L439="","",IF(INDEX(tblRegistros[Data],$L439)&gt;$D$4,"",IFERROR(IF(INDEX(tblRegistros[Status],$L439)="EM ABERTO","",INDEX(tblRegistros[Fim],$L439)),"")))</f>
        <v/>
      </c>
      <c r="F439" t="str">
        <f>IF($L439="","",IF(INDEX(tblRegistros[Data],$L439)&gt;$D$4,"",IFERROR(IF(INDEX(tblRegistros[Status],$L439)="EM ABERTO","",INDEX(tblRegistros[Horas],$L439)),"")))</f>
        <v/>
      </c>
      <c r="G439" t="str">
        <f>IF($L439="","",IF(INDEX(tblRegistros[Data],$L439)&gt;$D$4,"",IFERROR(INDEX(tblRegistros[Base],$L439),"")))</f>
        <v/>
      </c>
      <c r="H439" s="3" t="str">
        <f>IF($L439="","",IF(INDEX(tblRegistros[Data],$L439)&gt;$D$4,"",IFERROR(INDEX(tblRegistros[Taxa aplicada],$L439),"")))</f>
        <v/>
      </c>
      <c r="I439" s="3" t="str">
        <f>IF($L439="","",IF(INDEX(tblRegistros[Data],$L439)&gt;$D$4,"",IFERROR(IF(INDEX(tblRegistros[Status],$L439)="EM ABERTO","",INDEX(tblRegistros[Valor],$L439)),"")))</f>
        <v/>
      </c>
      <c r="J439" t="str">
        <f>IF($L439="","",IF(INDEX(tblRegistros[Data],$L439)&gt;$D$4,"",IFERROR(INDEX(tblRegistros[Status],$L439),"")))</f>
        <v/>
      </c>
      <c r="K439" t="str">
        <f>IF($L439="","",IF(INDEX(tblRegistros[Data],$L439)&gt;$D$4,"",IFERROR(INDEX(tblRegistros[Observação],$L439),"")))</f>
        <v/>
      </c>
      <c r="L439" s="16" t="str">
        <f>IFERROR(MATCH($B$3*100000+COUNTIFS(tblRegistros[ID],$B$3,tblRegistros[Data],"&lt;"&amp;$B$4)+ROWS($L$10:L439),tblRegistros[Chave do cartão],0),"")</f>
        <v/>
      </c>
    </row>
    <row r="440" spans="1:12">
      <c r="A440" s="2" t="str">
        <f>IF($L440="","",IF(INDEX(tblRegistros[Data],$L440)&gt;$D$4,"",IFERROR(INDEX(tblRegistros[Data],$L440),"")))</f>
        <v/>
      </c>
      <c r="B440" t="str">
        <f>IF($L440="","",IF(INDEX(tblRegistros[Data],$L440)&gt;$D$4,"",IFERROR(INDEX(tblRegistros[Projeto],$L440),"")))</f>
        <v/>
      </c>
      <c r="C440" t="str">
        <f>IF($L440="","",IF(INDEX(tblRegistros[Data],$L440)&gt;$D$4,"",IFERROR(INDEX(tblRegistros[Atividade],$L440),"")))</f>
        <v/>
      </c>
      <c r="D440" s="4" t="str">
        <f>IF($L440="","",IF(INDEX(tblRegistros[Data],$L440)&gt;$D$4,"",IFERROR(INDEX(tblRegistros[Início],$L440),"")))</f>
        <v/>
      </c>
      <c r="E440" s="4" t="str">
        <f>IF($L440="","",IF(INDEX(tblRegistros[Data],$L440)&gt;$D$4,"",IFERROR(IF(INDEX(tblRegistros[Status],$L440)="EM ABERTO","",INDEX(tblRegistros[Fim],$L440)),"")))</f>
        <v/>
      </c>
      <c r="F440" t="str">
        <f>IF($L440="","",IF(INDEX(tblRegistros[Data],$L440)&gt;$D$4,"",IFERROR(IF(INDEX(tblRegistros[Status],$L440)="EM ABERTO","",INDEX(tblRegistros[Horas],$L440)),"")))</f>
        <v/>
      </c>
      <c r="G440" t="str">
        <f>IF($L440="","",IF(INDEX(tblRegistros[Data],$L440)&gt;$D$4,"",IFERROR(INDEX(tblRegistros[Base],$L440),"")))</f>
        <v/>
      </c>
      <c r="H440" s="3" t="str">
        <f>IF($L440="","",IF(INDEX(tblRegistros[Data],$L440)&gt;$D$4,"",IFERROR(INDEX(tblRegistros[Taxa aplicada],$L440),"")))</f>
        <v/>
      </c>
      <c r="I440" s="3" t="str">
        <f>IF($L440="","",IF(INDEX(tblRegistros[Data],$L440)&gt;$D$4,"",IFERROR(IF(INDEX(tblRegistros[Status],$L440)="EM ABERTO","",INDEX(tblRegistros[Valor],$L440)),"")))</f>
        <v/>
      </c>
      <c r="J440" t="str">
        <f>IF($L440="","",IF(INDEX(tblRegistros[Data],$L440)&gt;$D$4,"",IFERROR(INDEX(tblRegistros[Status],$L440),"")))</f>
        <v/>
      </c>
      <c r="K440" t="str">
        <f>IF($L440="","",IF(INDEX(tblRegistros[Data],$L440)&gt;$D$4,"",IFERROR(INDEX(tblRegistros[Observação],$L440),"")))</f>
        <v/>
      </c>
      <c r="L440" s="16" t="str">
        <f>IFERROR(MATCH($B$3*100000+COUNTIFS(tblRegistros[ID],$B$3,tblRegistros[Data],"&lt;"&amp;$B$4)+ROWS($L$10:L440),tblRegistros[Chave do cartão],0),"")</f>
        <v/>
      </c>
    </row>
    <row r="441" spans="1:12">
      <c r="A441" s="2" t="str">
        <f>IF($L441="","",IF(INDEX(tblRegistros[Data],$L441)&gt;$D$4,"",IFERROR(INDEX(tblRegistros[Data],$L441),"")))</f>
        <v/>
      </c>
      <c r="B441" t="str">
        <f>IF($L441="","",IF(INDEX(tblRegistros[Data],$L441)&gt;$D$4,"",IFERROR(INDEX(tblRegistros[Projeto],$L441),"")))</f>
        <v/>
      </c>
      <c r="C441" t="str">
        <f>IF($L441="","",IF(INDEX(tblRegistros[Data],$L441)&gt;$D$4,"",IFERROR(INDEX(tblRegistros[Atividade],$L441),"")))</f>
        <v/>
      </c>
      <c r="D441" s="4" t="str">
        <f>IF($L441="","",IF(INDEX(tblRegistros[Data],$L441)&gt;$D$4,"",IFERROR(INDEX(tblRegistros[Início],$L441),"")))</f>
        <v/>
      </c>
      <c r="E441" s="4" t="str">
        <f>IF($L441="","",IF(INDEX(tblRegistros[Data],$L441)&gt;$D$4,"",IFERROR(IF(INDEX(tblRegistros[Status],$L441)="EM ABERTO","",INDEX(tblRegistros[Fim],$L441)),"")))</f>
        <v/>
      </c>
      <c r="F441" t="str">
        <f>IF($L441="","",IF(INDEX(tblRegistros[Data],$L441)&gt;$D$4,"",IFERROR(IF(INDEX(tblRegistros[Status],$L441)="EM ABERTO","",INDEX(tblRegistros[Horas],$L441)),"")))</f>
        <v/>
      </c>
      <c r="G441" t="str">
        <f>IF($L441="","",IF(INDEX(tblRegistros[Data],$L441)&gt;$D$4,"",IFERROR(INDEX(tblRegistros[Base],$L441),"")))</f>
        <v/>
      </c>
      <c r="H441" s="3" t="str">
        <f>IF($L441="","",IF(INDEX(tblRegistros[Data],$L441)&gt;$D$4,"",IFERROR(INDEX(tblRegistros[Taxa aplicada],$L441),"")))</f>
        <v/>
      </c>
      <c r="I441" s="3" t="str">
        <f>IF($L441="","",IF(INDEX(tblRegistros[Data],$L441)&gt;$D$4,"",IFERROR(IF(INDEX(tblRegistros[Status],$L441)="EM ABERTO","",INDEX(tblRegistros[Valor],$L441)),"")))</f>
        <v/>
      </c>
      <c r="J441" t="str">
        <f>IF($L441="","",IF(INDEX(tblRegistros[Data],$L441)&gt;$D$4,"",IFERROR(INDEX(tblRegistros[Status],$L441),"")))</f>
        <v/>
      </c>
      <c r="K441" t="str">
        <f>IF($L441="","",IF(INDEX(tblRegistros[Data],$L441)&gt;$D$4,"",IFERROR(INDEX(tblRegistros[Observação],$L441),"")))</f>
        <v/>
      </c>
      <c r="L441" s="16" t="str">
        <f>IFERROR(MATCH($B$3*100000+COUNTIFS(tblRegistros[ID],$B$3,tblRegistros[Data],"&lt;"&amp;$B$4)+ROWS($L$10:L441),tblRegistros[Chave do cartão],0),"")</f>
        <v/>
      </c>
    </row>
    <row r="442" spans="1:12">
      <c r="A442" s="2" t="str">
        <f>IF($L442="","",IF(INDEX(tblRegistros[Data],$L442)&gt;$D$4,"",IFERROR(INDEX(tblRegistros[Data],$L442),"")))</f>
        <v/>
      </c>
      <c r="B442" t="str">
        <f>IF($L442="","",IF(INDEX(tblRegistros[Data],$L442)&gt;$D$4,"",IFERROR(INDEX(tblRegistros[Projeto],$L442),"")))</f>
        <v/>
      </c>
      <c r="C442" t="str">
        <f>IF($L442="","",IF(INDEX(tblRegistros[Data],$L442)&gt;$D$4,"",IFERROR(INDEX(tblRegistros[Atividade],$L442),"")))</f>
        <v/>
      </c>
      <c r="D442" s="4" t="str">
        <f>IF($L442="","",IF(INDEX(tblRegistros[Data],$L442)&gt;$D$4,"",IFERROR(INDEX(tblRegistros[Início],$L442),"")))</f>
        <v/>
      </c>
      <c r="E442" s="4" t="str">
        <f>IF($L442="","",IF(INDEX(tblRegistros[Data],$L442)&gt;$D$4,"",IFERROR(IF(INDEX(tblRegistros[Status],$L442)="EM ABERTO","",INDEX(tblRegistros[Fim],$L442)),"")))</f>
        <v/>
      </c>
      <c r="F442" t="str">
        <f>IF($L442="","",IF(INDEX(tblRegistros[Data],$L442)&gt;$D$4,"",IFERROR(IF(INDEX(tblRegistros[Status],$L442)="EM ABERTO","",INDEX(tblRegistros[Horas],$L442)),"")))</f>
        <v/>
      </c>
      <c r="G442" t="str">
        <f>IF($L442="","",IF(INDEX(tblRegistros[Data],$L442)&gt;$D$4,"",IFERROR(INDEX(tblRegistros[Base],$L442),"")))</f>
        <v/>
      </c>
      <c r="H442" s="3" t="str">
        <f>IF($L442="","",IF(INDEX(tblRegistros[Data],$L442)&gt;$D$4,"",IFERROR(INDEX(tblRegistros[Taxa aplicada],$L442),"")))</f>
        <v/>
      </c>
      <c r="I442" s="3" t="str">
        <f>IF($L442="","",IF(INDEX(tblRegistros[Data],$L442)&gt;$D$4,"",IFERROR(IF(INDEX(tblRegistros[Status],$L442)="EM ABERTO","",INDEX(tblRegistros[Valor],$L442)),"")))</f>
        <v/>
      </c>
      <c r="J442" t="str">
        <f>IF($L442="","",IF(INDEX(tblRegistros[Data],$L442)&gt;$D$4,"",IFERROR(INDEX(tblRegistros[Status],$L442),"")))</f>
        <v/>
      </c>
      <c r="K442" t="str">
        <f>IF($L442="","",IF(INDEX(tblRegistros[Data],$L442)&gt;$D$4,"",IFERROR(INDEX(tblRegistros[Observação],$L442),"")))</f>
        <v/>
      </c>
      <c r="L442" s="16" t="str">
        <f>IFERROR(MATCH($B$3*100000+COUNTIFS(tblRegistros[ID],$B$3,tblRegistros[Data],"&lt;"&amp;$B$4)+ROWS($L$10:L442),tblRegistros[Chave do cartão],0),"")</f>
        <v/>
      </c>
    </row>
    <row r="443" spans="1:12">
      <c r="A443" s="2" t="str">
        <f>IF($L443="","",IF(INDEX(tblRegistros[Data],$L443)&gt;$D$4,"",IFERROR(INDEX(tblRegistros[Data],$L443),"")))</f>
        <v/>
      </c>
      <c r="B443" t="str">
        <f>IF($L443="","",IF(INDEX(tblRegistros[Data],$L443)&gt;$D$4,"",IFERROR(INDEX(tblRegistros[Projeto],$L443),"")))</f>
        <v/>
      </c>
      <c r="C443" t="str">
        <f>IF($L443="","",IF(INDEX(tblRegistros[Data],$L443)&gt;$D$4,"",IFERROR(INDEX(tblRegistros[Atividade],$L443),"")))</f>
        <v/>
      </c>
      <c r="D443" s="4" t="str">
        <f>IF($L443="","",IF(INDEX(tblRegistros[Data],$L443)&gt;$D$4,"",IFERROR(INDEX(tblRegistros[Início],$L443),"")))</f>
        <v/>
      </c>
      <c r="E443" s="4" t="str">
        <f>IF($L443="","",IF(INDEX(tblRegistros[Data],$L443)&gt;$D$4,"",IFERROR(IF(INDEX(tblRegistros[Status],$L443)="EM ABERTO","",INDEX(tblRegistros[Fim],$L443)),"")))</f>
        <v/>
      </c>
      <c r="F443" t="str">
        <f>IF($L443="","",IF(INDEX(tblRegistros[Data],$L443)&gt;$D$4,"",IFERROR(IF(INDEX(tblRegistros[Status],$L443)="EM ABERTO","",INDEX(tblRegistros[Horas],$L443)),"")))</f>
        <v/>
      </c>
      <c r="G443" t="str">
        <f>IF($L443="","",IF(INDEX(tblRegistros[Data],$L443)&gt;$D$4,"",IFERROR(INDEX(tblRegistros[Base],$L443),"")))</f>
        <v/>
      </c>
      <c r="H443" s="3" t="str">
        <f>IF($L443="","",IF(INDEX(tblRegistros[Data],$L443)&gt;$D$4,"",IFERROR(INDEX(tblRegistros[Taxa aplicada],$L443),"")))</f>
        <v/>
      </c>
      <c r="I443" s="3" t="str">
        <f>IF($L443="","",IF(INDEX(tblRegistros[Data],$L443)&gt;$D$4,"",IFERROR(IF(INDEX(tblRegistros[Status],$L443)="EM ABERTO","",INDEX(tblRegistros[Valor],$L443)),"")))</f>
        <v/>
      </c>
      <c r="J443" t="str">
        <f>IF($L443="","",IF(INDEX(tblRegistros[Data],$L443)&gt;$D$4,"",IFERROR(INDEX(tblRegistros[Status],$L443),"")))</f>
        <v/>
      </c>
      <c r="K443" t="str">
        <f>IF($L443="","",IF(INDEX(tblRegistros[Data],$L443)&gt;$D$4,"",IFERROR(INDEX(tblRegistros[Observação],$L443),"")))</f>
        <v/>
      </c>
      <c r="L443" s="16" t="str">
        <f>IFERROR(MATCH($B$3*100000+COUNTIFS(tblRegistros[ID],$B$3,tblRegistros[Data],"&lt;"&amp;$B$4)+ROWS($L$10:L443),tblRegistros[Chave do cartão],0),"")</f>
        <v/>
      </c>
    </row>
    <row r="444" spans="1:12">
      <c r="A444" s="2" t="str">
        <f>IF($L444="","",IF(INDEX(tblRegistros[Data],$L444)&gt;$D$4,"",IFERROR(INDEX(tblRegistros[Data],$L444),"")))</f>
        <v/>
      </c>
      <c r="B444" t="str">
        <f>IF($L444="","",IF(INDEX(tblRegistros[Data],$L444)&gt;$D$4,"",IFERROR(INDEX(tblRegistros[Projeto],$L444),"")))</f>
        <v/>
      </c>
      <c r="C444" t="str">
        <f>IF($L444="","",IF(INDEX(tblRegistros[Data],$L444)&gt;$D$4,"",IFERROR(INDEX(tblRegistros[Atividade],$L444),"")))</f>
        <v/>
      </c>
      <c r="D444" s="4" t="str">
        <f>IF($L444="","",IF(INDEX(tblRegistros[Data],$L444)&gt;$D$4,"",IFERROR(INDEX(tblRegistros[Início],$L444),"")))</f>
        <v/>
      </c>
      <c r="E444" s="4" t="str">
        <f>IF($L444="","",IF(INDEX(tblRegistros[Data],$L444)&gt;$D$4,"",IFERROR(IF(INDEX(tblRegistros[Status],$L444)="EM ABERTO","",INDEX(tblRegistros[Fim],$L444)),"")))</f>
        <v/>
      </c>
      <c r="F444" t="str">
        <f>IF($L444="","",IF(INDEX(tblRegistros[Data],$L444)&gt;$D$4,"",IFERROR(IF(INDEX(tblRegistros[Status],$L444)="EM ABERTO","",INDEX(tblRegistros[Horas],$L444)),"")))</f>
        <v/>
      </c>
      <c r="G444" t="str">
        <f>IF($L444="","",IF(INDEX(tblRegistros[Data],$L444)&gt;$D$4,"",IFERROR(INDEX(tblRegistros[Base],$L444),"")))</f>
        <v/>
      </c>
      <c r="H444" s="3" t="str">
        <f>IF($L444="","",IF(INDEX(tblRegistros[Data],$L444)&gt;$D$4,"",IFERROR(INDEX(tblRegistros[Taxa aplicada],$L444),"")))</f>
        <v/>
      </c>
      <c r="I444" s="3" t="str">
        <f>IF($L444="","",IF(INDEX(tblRegistros[Data],$L444)&gt;$D$4,"",IFERROR(IF(INDEX(tblRegistros[Status],$L444)="EM ABERTO","",INDEX(tblRegistros[Valor],$L444)),"")))</f>
        <v/>
      </c>
      <c r="J444" t="str">
        <f>IF($L444="","",IF(INDEX(tblRegistros[Data],$L444)&gt;$D$4,"",IFERROR(INDEX(tblRegistros[Status],$L444),"")))</f>
        <v/>
      </c>
      <c r="K444" t="str">
        <f>IF($L444="","",IF(INDEX(tblRegistros[Data],$L444)&gt;$D$4,"",IFERROR(INDEX(tblRegistros[Observação],$L444),"")))</f>
        <v/>
      </c>
      <c r="L444" s="16" t="str">
        <f>IFERROR(MATCH($B$3*100000+COUNTIFS(tblRegistros[ID],$B$3,tblRegistros[Data],"&lt;"&amp;$B$4)+ROWS($L$10:L444),tblRegistros[Chave do cartão],0),"")</f>
        <v/>
      </c>
    </row>
    <row r="445" spans="1:12">
      <c r="A445" s="2" t="str">
        <f>IF($L445="","",IF(INDEX(tblRegistros[Data],$L445)&gt;$D$4,"",IFERROR(INDEX(tblRegistros[Data],$L445),"")))</f>
        <v/>
      </c>
      <c r="B445" t="str">
        <f>IF($L445="","",IF(INDEX(tblRegistros[Data],$L445)&gt;$D$4,"",IFERROR(INDEX(tblRegistros[Projeto],$L445),"")))</f>
        <v/>
      </c>
      <c r="C445" t="str">
        <f>IF($L445="","",IF(INDEX(tblRegistros[Data],$L445)&gt;$D$4,"",IFERROR(INDEX(tblRegistros[Atividade],$L445),"")))</f>
        <v/>
      </c>
      <c r="D445" s="4" t="str">
        <f>IF($L445="","",IF(INDEX(tblRegistros[Data],$L445)&gt;$D$4,"",IFERROR(INDEX(tblRegistros[Início],$L445),"")))</f>
        <v/>
      </c>
      <c r="E445" s="4" t="str">
        <f>IF($L445="","",IF(INDEX(tblRegistros[Data],$L445)&gt;$D$4,"",IFERROR(IF(INDEX(tblRegistros[Status],$L445)="EM ABERTO","",INDEX(tblRegistros[Fim],$L445)),"")))</f>
        <v/>
      </c>
      <c r="F445" t="str">
        <f>IF($L445="","",IF(INDEX(tblRegistros[Data],$L445)&gt;$D$4,"",IFERROR(IF(INDEX(tblRegistros[Status],$L445)="EM ABERTO","",INDEX(tblRegistros[Horas],$L445)),"")))</f>
        <v/>
      </c>
      <c r="G445" t="str">
        <f>IF($L445="","",IF(INDEX(tblRegistros[Data],$L445)&gt;$D$4,"",IFERROR(INDEX(tblRegistros[Base],$L445),"")))</f>
        <v/>
      </c>
      <c r="H445" s="3" t="str">
        <f>IF($L445="","",IF(INDEX(tblRegistros[Data],$L445)&gt;$D$4,"",IFERROR(INDEX(tblRegistros[Taxa aplicada],$L445),"")))</f>
        <v/>
      </c>
      <c r="I445" s="3" t="str">
        <f>IF($L445="","",IF(INDEX(tblRegistros[Data],$L445)&gt;$D$4,"",IFERROR(IF(INDEX(tblRegistros[Status],$L445)="EM ABERTO","",INDEX(tblRegistros[Valor],$L445)),"")))</f>
        <v/>
      </c>
      <c r="J445" t="str">
        <f>IF($L445="","",IF(INDEX(tblRegistros[Data],$L445)&gt;$D$4,"",IFERROR(INDEX(tblRegistros[Status],$L445),"")))</f>
        <v/>
      </c>
      <c r="K445" t="str">
        <f>IF($L445="","",IF(INDEX(tblRegistros[Data],$L445)&gt;$D$4,"",IFERROR(INDEX(tblRegistros[Observação],$L445),"")))</f>
        <v/>
      </c>
      <c r="L445" s="16" t="str">
        <f>IFERROR(MATCH($B$3*100000+COUNTIFS(tblRegistros[ID],$B$3,tblRegistros[Data],"&lt;"&amp;$B$4)+ROWS($L$10:L445),tblRegistros[Chave do cartão],0),"")</f>
        <v/>
      </c>
    </row>
    <row r="446" spans="1:12">
      <c r="A446" s="2" t="str">
        <f>IF($L446="","",IF(INDEX(tblRegistros[Data],$L446)&gt;$D$4,"",IFERROR(INDEX(tblRegistros[Data],$L446),"")))</f>
        <v/>
      </c>
      <c r="B446" t="str">
        <f>IF($L446="","",IF(INDEX(tblRegistros[Data],$L446)&gt;$D$4,"",IFERROR(INDEX(tblRegistros[Projeto],$L446),"")))</f>
        <v/>
      </c>
      <c r="C446" t="str">
        <f>IF($L446="","",IF(INDEX(tblRegistros[Data],$L446)&gt;$D$4,"",IFERROR(INDEX(tblRegistros[Atividade],$L446),"")))</f>
        <v/>
      </c>
      <c r="D446" s="4" t="str">
        <f>IF($L446="","",IF(INDEX(tblRegistros[Data],$L446)&gt;$D$4,"",IFERROR(INDEX(tblRegistros[Início],$L446),"")))</f>
        <v/>
      </c>
      <c r="E446" s="4" t="str">
        <f>IF($L446="","",IF(INDEX(tblRegistros[Data],$L446)&gt;$D$4,"",IFERROR(IF(INDEX(tblRegistros[Status],$L446)="EM ABERTO","",INDEX(tblRegistros[Fim],$L446)),"")))</f>
        <v/>
      </c>
      <c r="F446" t="str">
        <f>IF($L446="","",IF(INDEX(tblRegistros[Data],$L446)&gt;$D$4,"",IFERROR(IF(INDEX(tblRegistros[Status],$L446)="EM ABERTO","",INDEX(tblRegistros[Horas],$L446)),"")))</f>
        <v/>
      </c>
      <c r="G446" t="str">
        <f>IF($L446="","",IF(INDEX(tblRegistros[Data],$L446)&gt;$D$4,"",IFERROR(INDEX(tblRegistros[Base],$L446),"")))</f>
        <v/>
      </c>
      <c r="H446" s="3" t="str">
        <f>IF($L446="","",IF(INDEX(tblRegistros[Data],$L446)&gt;$D$4,"",IFERROR(INDEX(tblRegistros[Taxa aplicada],$L446),"")))</f>
        <v/>
      </c>
      <c r="I446" s="3" t="str">
        <f>IF($L446="","",IF(INDEX(tblRegistros[Data],$L446)&gt;$D$4,"",IFERROR(IF(INDEX(tblRegistros[Status],$L446)="EM ABERTO","",INDEX(tblRegistros[Valor],$L446)),"")))</f>
        <v/>
      </c>
      <c r="J446" t="str">
        <f>IF($L446="","",IF(INDEX(tblRegistros[Data],$L446)&gt;$D$4,"",IFERROR(INDEX(tblRegistros[Status],$L446),"")))</f>
        <v/>
      </c>
      <c r="K446" t="str">
        <f>IF($L446="","",IF(INDEX(tblRegistros[Data],$L446)&gt;$D$4,"",IFERROR(INDEX(tblRegistros[Observação],$L446),"")))</f>
        <v/>
      </c>
      <c r="L446" s="16" t="str">
        <f>IFERROR(MATCH($B$3*100000+COUNTIFS(tblRegistros[ID],$B$3,tblRegistros[Data],"&lt;"&amp;$B$4)+ROWS($L$10:L446),tblRegistros[Chave do cartão],0),"")</f>
        <v/>
      </c>
    </row>
    <row r="447" spans="1:12">
      <c r="A447" s="2" t="str">
        <f>IF($L447="","",IF(INDEX(tblRegistros[Data],$L447)&gt;$D$4,"",IFERROR(INDEX(tblRegistros[Data],$L447),"")))</f>
        <v/>
      </c>
      <c r="B447" t="str">
        <f>IF($L447="","",IF(INDEX(tblRegistros[Data],$L447)&gt;$D$4,"",IFERROR(INDEX(tblRegistros[Projeto],$L447),"")))</f>
        <v/>
      </c>
      <c r="C447" t="str">
        <f>IF($L447="","",IF(INDEX(tblRegistros[Data],$L447)&gt;$D$4,"",IFERROR(INDEX(tblRegistros[Atividade],$L447),"")))</f>
        <v/>
      </c>
      <c r="D447" s="4" t="str">
        <f>IF($L447="","",IF(INDEX(tblRegistros[Data],$L447)&gt;$D$4,"",IFERROR(INDEX(tblRegistros[Início],$L447),"")))</f>
        <v/>
      </c>
      <c r="E447" s="4" t="str">
        <f>IF($L447="","",IF(INDEX(tblRegistros[Data],$L447)&gt;$D$4,"",IFERROR(IF(INDEX(tblRegistros[Status],$L447)="EM ABERTO","",INDEX(tblRegistros[Fim],$L447)),"")))</f>
        <v/>
      </c>
      <c r="F447" t="str">
        <f>IF($L447="","",IF(INDEX(tblRegistros[Data],$L447)&gt;$D$4,"",IFERROR(IF(INDEX(tblRegistros[Status],$L447)="EM ABERTO","",INDEX(tblRegistros[Horas],$L447)),"")))</f>
        <v/>
      </c>
      <c r="G447" t="str">
        <f>IF($L447="","",IF(INDEX(tblRegistros[Data],$L447)&gt;$D$4,"",IFERROR(INDEX(tblRegistros[Base],$L447),"")))</f>
        <v/>
      </c>
      <c r="H447" s="3" t="str">
        <f>IF($L447="","",IF(INDEX(tblRegistros[Data],$L447)&gt;$D$4,"",IFERROR(INDEX(tblRegistros[Taxa aplicada],$L447),"")))</f>
        <v/>
      </c>
      <c r="I447" s="3" t="str">
        <f>IF($L447="","",IF(INDEX(tblRegistros[Data],$L447)&gt;$D$4,"",IFERROR(IF(INDEX(tblRegistros[Status],$L447)="EM ABERTO","",INDEX(tblRegistros[Valor],$L447)),"")))</f>
        <v/>
      </c>
      <c r="J447" t="str">
        <f>IF($L447="","",IF(INDEX(tblRegistros[Data],$L447)&gt;$D$4,"",IFERROR(INDEX(tblRegistros[Status],$L447),"")))</f>
        <v/>
      </c>
      <c r="K447" t="str">
        <f>IF($L447="","",IF(INDEX(tblRegistros[Data],$L447)&gt;$D$4,"",IFERROR(INDEX(tblRegistros[Observação],$L447),"")))</f>
        <v/>
      </c>
      <c r="L447" s="16" t="str">
        <f>IFERROR(MATCH($B$3*100000+COUNTIFS(tblRegistros[ID],$B$3,tblRegistros[Data],"&lt;"&amp;$B$4)+ROWS($L$10:L447),tblRegistros[Chave do cartão],0),"")</f>
        <v/>
      </c>
    </row>
    <row r="448" spans="1:12">
      <c r="A448" s="2" t="str">
        <f>IF($L448="","",IF(INDEX(tblRegistros[Data],$L448)&gt;$D$4,"",IFERROR(INDEX(tblRegistros[Data],$L448),"")))</f>
        <v/>
      </c>
      <c r="B448" t="str">
        <f>IF($L448="","",IF(INDEX(tblRegistros[Data],$L448)&gt;$D$4,"",IFERROR(INDEX(tblRegistros[Projeto],$L448),"")))</f>
        <v/>
      </c>
      <c r="C448" t="str">
        <f>IF($L448="","",IF(INDEX(tblRegistros[Data],$L448)&gt;$D$4,"",IFERROR(INDEX(tblRegistros[Atividade],$L448),"")))</f>
        <v/>
      </c>
      <c r="D448" s="4" t="str">
        <f>IF($L448="","",IF(INDEX(tblRegistros[Data],$L448)&gt;$D$4,"",IFERROR(INDEX(tblRegistros[Início],$L448),"")))</f>
        <v/>
      </c>
      <c r="E448" s="4" t="str">
        <f>IF($L448="","",IF(INDEX(tblRegistros[Data],$L448)&gt;$D$4,"",IFERROR(IF(INDEX(tblRegistros[Status],$L448)="EM ABERTO","",INDEX(tblRegistros[Fim],$L448)),"")))</f>
        <v/>
      </c>
      <c r="F448" t="str">
        <f>IF($L448="","",IF(INDEX(tblRegistros[Data],$L448)&gt;$D$4,"",IFERROR(IF(INDEX(tblRegistros[Status],$L448)="EM ABERTO","",INDEX(tblRegistros[Horas],$L448)),"")))</f>
        <v/>
      </c>
      <c r="G448" t="str">
        <f>IF($L448="","",IF(INDEX(tblRegistros[Data],$L448)&gt;$D$4,"",IFERROR(INDEX(tblRegistros[Base],$L448),"")))</f>
        <v/>
      </c>
      <c r="H448" s="3" t="str">
        <f>IF($L448="","",IF(INDEX(tblRegistros[Data],$L448)&gt;$D$4,"",IFERROR(INDEX(tblRegistros[Taxa aplicada],$L448),"")))</f>
        <v/>
      </c>
      <c r="I448" s="3" t="str">
        <f>IF($L448="","",IF(INDEX(tblRegistros[Data],$L448)&gt;$D$4,"",IFERROR(IF(INDEX(tblRegistros[Status],$L448)="EM ABERTO","",INDEX(tblRegistros[Valor],$L448)),"")))</f>
        <v/>
      </c>
      <c r="J448" t="str">
        <f>IF($L448="","",IF(INDEX(tblRegistros[Data],$L448)&gt;$D$4,"",IFERROR(INDEX(tblRegistros[Status],$L448),"")))</f>
        <v/>
      </c>
      <c r="K448" t="str">
        <f>IF($L448="","",IF(INDEX(tblRegistros[Data],$L448)&gt;$D$4,"",IFERROR(INDEX(tblRegistros[Observação],$L448),"")))</f>
        <v/>
      </c>
      <c r="L448" s="16" t="str">
        <f>IFERROR(MATCH($B$3*100000+COUNTIFS(tblRegistros[ID],$B$3,tblRegistros[Data],"&lt;"&amp;$B$4)+ROWS($L$10:L448),tblRegistros[Chave do cartão],0),"")</f>
        <v/>
      </c>
    </row>
    <row r="449" spans="1:12">
      <c r="A449" s="2" t="str">
        <f>IF($L449="","",IF(INDEX(tblRegistros[Data],$L449)&gt;$D$4,"",IFERROR(INDEX(tblRegistros[Data],$L449),"")))</f>
        <v/>
      </c>
      <c r="B449" t="str">
        <f>IF($L449="","",IF(INDEX(tblRegistros[Data],$L449)&gt;$D$4,"",IFERROR(INDEX(tblRegistros[Projeto],$L449),"")))</f>
        <v/>
      </c>
      <c r="C449" t="str">
        <f>IF($L449="","",IF(INDEX(tblRegistros[Data],$L449)&gt;$D$4,"",IFERROR(INDEX(tblRegistros[Atividade],$L449),"")))</f>
        <v/>
      </c>
      <c r="D449" s="4" t="str">
        <f>IF($L449="","",IF(INDEX(tblRegistros[Data],$L449)&gt;$D$4,"",IFERROR(INDEX(tblRegistros[Início],$L449),"")))</f>
        <v/>
      </c>
      <c r="E449" s="4" t="str">
        <f>IF($L449="","",IF(INDEX(tblRegistros[Data],$L449)&gt;$D$4,"",IFERROR(IF(INDEX(tblRegistros[Status],$L449)="EM ABERTO","",INDEX(tblRegistros[Fim],$L449)),"")))</f>
        <v/>
      </c>
      <c r="F449" t="str">
        <f>IF($L449="","",IF(INDEX(tblRegistros[Data],$L449)&gt;$D$4,"",IFERROR(IF(INDEX(tblRegistros[Status],$L449)="EM ABERTO","",INDEX(tblRegistros[Horas],$L449)),"")))</f>
        <v/>
      </c>
      <c r="G449" t="str">
        <f>IF($L449="","",IF(INDEX(tblRegistros[Data],$L449)&gt;$D$4,"",IFERROR(INDEX(tblRegistros[Base],$L449),"")))</f>
        <v/>
      </c>
      <c r="H449" s="3" t="str">
        <f>IF($L449="","",IF(INDEX(tblRegistros[Data],$L449)&gt;$D$4,"",IFERROR(INDEX(tblRegistros[Taxa aplicada],$L449),"")))</f>
        <v/>
      </c>
      <c r="I449" s="3" t="str">
        <f>IF($L449="","",IF(INDEX(tblRegistros[Data],$L449)&gt;$D$4,"",IFERROR(IF(INDEX(tblRegistros[Status],$L449)="EM ABERTO","",INDEX(tblRegistros[Valor],$L449)),"")))</f>
        <v/>
      </c>
      <c r="J449" t="str">
        <f>IF($L449="","",IF(INDEX(tblRegistros[Data],$L449)&gt;$D$4,"",IFERROR(INDEX(tblRegistros[Status],$L449),"")))</f>
        <v/>
      </c>
      <c r="K449" t="str">
        <f>IF($L449="","",IF(INDEX(tblRegistros[Data],$L449)&gt;$D$4,"",IFERROR(INDEX(tblRegistros[Observação],$L449),"")))</f>
        <v/>
      </c>
      <c r="L449" s="16" t="str">
        <f>IFERROR(MATCH($B$3*100000+COUNTIFS(tblRegistros[ID],$B$3,tblRegistros[Data],"&lt;"&amp;$B$4)+ROWS($L$10:L449),tblRegistros[Chave do cartão],0),"")</f>
        <v/>
      </c>
    </row>
    <row r="450" spans="1:12">
      <c r="A450" s="2" t="str">
        <f>IF($L450="","",IF(INDEX(tblRegistros[Data],$L450)&gt;$D$4,"",IFERROR(INDEX(tblRegistros[Data],$L450),"")))</f>
        <v/>
      </c>
      <c r="B450" t="str">
        <f>IF($L450="","",IF(INDEX(tblRegistros[Data],$L450)&gt;$D$4,"",IFERROR(INDEX(tblRegistros[Projeto],$L450),"")))</f>
        <v/>
      </c>
      <c r="C450" t="str">
        <f>IF($L450="","",IF(INDEX(tblRegistros[Data],$L450)&gt;$D$4,"",IFERROR(INDEX(tblRegistros[Atividade],$L450),"")))</f>
        <v/>
      </c>
      <c r="D450" s="4" t="str">
        <f>IF($L450="","",IF(INDEX(tblRegistros[Data],$L450)&gt;$D$4,"",IFERROR(INDEX(tblRegistros[Início],$L450),"")))</f>
        <v/>
      </c>
      <c r="E450" s="4" t="str">
        <f>IF($L450="","",IF(INDEX(tblRegistros[Data],$L450)&gt;$D$4,"",IFERROR(IF(INDEX(tblRegistros[Status],$L450)="EM ABERTO","",INDEX(tblRegistros[Fim],$L450)),"")))</f>
        <v/>
      </c>
      <c r="F450" t="str">
        <f>IF($L450="","",IF(INDEX(tblRegistros[Data],$L450)&gt;$D$4,"",IFERROR(IF(INDEX(tblRegistros[Status],$L450)="EM ABERTO","",INDEX(tblRegistros[Horas],$L450)),"")))</f>
        <v/>
      </c>
      <c r="G450" t="str">
        <f>IF($L450="","",IF(INDEX(tblRegistros[Data],$L450)&gt;$D$4,"",IFERROR(INDEX(tblRegistros[Base],$L450),"")))</f>
        <v/>
      </c>
      <c r="H450" s="3" t="str">
        <f>IF($L450="","",IF(INDEX(tblRegistros[Data],$L450)&gt;$D$4,"",IFERROR(INDEX(tblRegistros[Taxa aplicada],$L450),"")))</f>
        <v/>
      </c>
      <c r="I450" s="3" t="str">
        <f>IF($L450="","",IF(INDEX(tblRegistros[Data],$L450)&gt;$D$4,"",IFERROR(IF(INDEX(tblRegistros[Status],$L450)="EM ABERTO","",INDEX(tblRegistros[Valor],$L450)),"")))</f>
        <v/>
      </c>
      <c r="J450" t="str">
        <f>IF($L450="","",IF(INDEX(tblRegistros[Data],$L450)&gt;$D$4,"",IFERROR(INDEX(tblRegistros[Status],$L450),"")))</f>
        <v/>
      </c>
      <c r="K450" t="str">
        <f>IF($L450="","",IF(INDEX(tblRegistros[Data],$L450)&gt;$D$4,"",IFERROR(INDEX(tblRegistros[Observação],$L450),"")))</f>
        <v/>
      </c>
      <c r="L450" s="16" t="str">
        <f>IFERROR(MATCH($B$3*100000+COUNTIFS(tblRegistros[ID],$B$3,tblRegistros[Data],"&lt;"&amp;$B$4)+ROWS($L$10:L450),tblRegistros[Chave do cartão],0),"")</f>
        <v/>
      </c>
    </row>
    <row r="451" spans="1:12">
      <c r="A451" s="2" t="str">
        <f>IF($L451="","",IF(INDEX(tblRegistros[Data],$L451)&gt;$D$4,"",IFERROR(INDEX(tblRegistros[Data],$L451),"")))</f>
        <v/>
      </c>
      <c r="B451" t="str">
        <f>IF($L451="","",IF(INDEX(tblRegistros[Data],$L451)&gt;$D$4,"",IFERROR(INDEX(tblRegistros[Projeto],$L451),"")))</f>
        <v/>
      </c>
      <c r="C451" t="str">
        <f>IF($L451="","",IF(INDEX(tblRegistros[Data],$L451)&gt;$D$4,"",IFERROR(INDEX(tblRegistros[Atividade],$L451),"")))</f>
        <v/>
      </c>
      <c r="D451" s="4" t="str">
        <f>IF($L451="","",IF(INDEX(tblRegistros[Data],$L451)&gt;$D$4,"",IFERROR(INDEX(tblRegistros[Início],$L451),"")))</f>
        <v/>
      </c>
      <c r="E451" s="4" t="str">
        <f>IF($L451="","",IF(INDEX(tblRegistros[Data],$L451)&gt;$D$4,"",IFERROR(IF(INDEX(tblRegistros[Status],$L451)="EM ABERTO","",INDEX(tblRegistros[Fim],$L451)),"")))</f>
        <v/>
      </c>
      <c r="F451" t="str">
        <f>IF($L451="","",IF(INDEX(tblRegistros[Data],$L451)&gt;$D$4,"",IFERROR(IF(INDEX(tblRegistros[Status],$L451)="EM ABERTO","",INDEX(tblRegistros[Horas],$L451)),"")))</f>
        <v/>
      </c>
      <c r="G451" t="str">
        <f>IF($L451="","",IF(INDEX(tblRegistros[Data],$L451)&gt;$D$4,"",IFERROR(INDEX(tblRegistros[Base],$L451),"")))</f>
        <v/>
      </c>
      <c r="H451" s="3" t="str">
        <f>IF($L451="","",IF(INDEX(tblRegistros[Data],$L451)&gt;$D$4,"",IFERROR(INDEX(tblRegistros[Taxa aplicada],$L451),"")))</f>
        <v/>
      </c>
      <c r="I451" s="3" t="str">
        <f>IF($L451="","",IF(INDEX(tblRegistros[Data],$L451)&gt;$D$4,"",IFERROR(IF(INDEX(tblRegistros[Status],$L451)="EM ABERTO","",INDEX(tblRegistros[Valor],$L451)),"")))</f>
        <v/>
      </c>
      <c r="J451" t="str">
        <f>IF($L451="","",IF(INDEX(tblRegistros[Data],$L451)&gt;$D$4,"",IFERROR(INDEX(tblRegistros[Status],$L451),"")))</f>
        <v/>
      </c>
      <c r="K451" t="str">
        <f>IF($L451="","",IF(INDEX(tblRegistros[Data],$L451)&gt;$D$4,"",IFERROR(INDEX(tblRegistros[Observação],$L451),"")))</f>
        <v/>
      </c>
      <c r="L451" s="16" t="str">
        <f>IFERROR(MATCH($B$3*100000+COUNTIFS(tblRegistros[ID],$B$3,tblRegistros[Data],"&lt;"&amp;$B$4)+ROWS($L$10:L451),tblRegistros[Chave do cartão],0),"")</f>
        <v/>
      </c>
    </row>
    <row r="452" spans="1:12">
      <c r="A452" s="2" t="str">
        <f>IF($L452="","",IF(INDEX(tblRegistros[Data],$L452)&gt;$D$4,"",IFERROR(INDEX(tblRegistros[Data],$L452),"")))</f>
        <v/>
      </c>
      <c r="B452" t="str">
        <f>IF($L452="","",IF(INDEX(tblRegistros[Data],$L452)&gt;$D$4,"",IFERROR(INDEX(tblRegistros[Projeto],$L452),"")))</f>
        <v/>
      </c>
      <c r="C452" t="str">
        <f>IF($L452="","",IF(INDEX(tblRegistros[Data],$L452)&gt;$D$4,"",IFERROR(INDEX(tblRegistros[Atividade],$L452),"")))</f>
        <v/>
      </c>
      <c r="D452" s="4" t="str">
        <f>IF($L452="","",IF(INDEX(tblRegistros[Data],$L452)&gt;$D$4,"",IFERROR(INDEX(tblRegistros[Início],$L452),"")))</f>
        <v/>
      </c>
      <c r="E452" s="4" t="str">
        <f>IF($L452="","",IF(INDEX(tblRegistros[Data],$L452)&gt;$D$4,"",IFERROR(IF(INDEX(tblRegistros[Status],$L452)="EM ABERTO","",INDEX(tblRegistros[Fim],$L452)),"")))</f>
        <v/>
      </c>
      <c r="F452" t="str">
        <f>IF($L452="","",IF(INDEX(tblRegistros[Data],$L452)&gt;$D$4,"",IFERROR(IF(INDEX(tblRegistros[Status],$L452)="EM ABERTO","",INDEX(tblRegistros[Horas],$L452)),"")))</f>
        <v/>
      </c>
      <c r="G452" t="str">
        <f>IF($L452="","",IF(INDEX(tblRegistros[Data],$L452)&gt;$D$4,"",IFERROR(INDEX(tblRegistros[Base],$L452),"")))</f>
        <v/>
      </c>
      <c r="H452" s="3" t="str">
        <f>IF($L452="","",IF(INDEX(tblRegistros[Data],$L452)&gt;$D$4,"",IFERROR(INDEX(tblRegistros[Taxa aplicada],$L452),"")))</f>
        <v/>
      </c>
      <c r="I452" s="3" t="str">
        <f>IF($L452="","",IF(INDEX(tblRegistros[Data],$L452)&gt;$D$4,"",IFERROR(IF(INDEX(tblRegistros[Status],$L452)="EM ABERTO","",INDEX(tblRegistros[Valor],$L452)),"")))</f>
        <v/>
      </c>
      <c r="J452" t="str">
        <f>IF($L452="","",IF(INDEX(tblRegistros[Data],$L452)&gt;$D$4,"",IFERROR(INDEX(tblRegistros[Status],$L452),"")))</f>
        <v/>
      </c>
      <c r="K452" t="str">
        <f>IF($L452="","",IF(INDEX(tblRegistros[Data],$L452)&gt;$D$4,"",IFERROR(INDEX(tblRegistros[Observação],$L452),"")))</f>
        <v/>
      </c>
      <c r="L452" s="16" t="str">
        <f>IFERROR(MATCH($B$3*100000+COUNTIFS(tblRegistros[ID],$B$3,tblRegistros[Data],"&lt;"&amp;$B$4)+ROWS($L$10:L452),tblRegistros[Chave do cartão],0),"")</f>
        <v/>
      </c>
    </row>
    <row r="453" spans="1:12">
      <c r="A453" s="2" t="str">
        <f>IF($L453="","",IF(INDEX(tblRegistros[Data],$L453)&gt;$D$4,"",IFERROR(INDEX(tblRegistros[Data],$L453),"")))</f>
        <v/>
      </c>
      <c r="B453" t="str">
        <f>IF($L453="","",IF(INDEX(tblRegistros[Data],$L453)&gt;$D$4,"",IFERROR(INDEX(tblRegistros[Projeto],$L453),"")))</f>
        <v/>
      </c>
      <c r="C453" t="str">
        <f>IF($L453="","",IF(INDEX(tblRegistros[Data],$L453)&gt;$D$4,"",IFERROR(INDEX(tblRegistros[Atividade],$L453),"")))</f>
        <v/>
      </c>
      <c r="D453" s="4" t="str">
        <f>IF($L453="","",IF(INDEX(tblRegistros[Data],$L453)&gt;$D$4,"",IFERROR(INDEX(tblRegistros[Início],$L453),"")))</f>
        <v/>
      </c>
      <c r="E453" s="4" t="str">
        <f>IF($L453="","",IF(INDEX(tblRegistros[Data],$L453)&gt;$D$4,"",IFERROR(IF(INDEX(tblRegistros[Status],$L453)="EM ABERTO","",INDEX(tblRegistros[Fim],$L453)),"")))</f>
        <v/>
      </c>
      <c r="F453" t="str">
        <f>IF($L453="","",IF(INDEX(tblRegistros[Data],$L453)&gt;$D$4,"",IFERROR(IF(INDEX(tblRegistros[Status],$L453)="EM ABERTO","",INDEX(tblRegistros[Horas],$L453)),"")))</f>
        <v/>
      </c>
      <c r="G453" t="str">
        <f>IF($L453="","",IF(INDEX(tblRegistros[Data],$L453)&gt;$D$4,"",IFERROR(INDEX(tblRegistros[Base],$L453),"")))</f>
        <v/>
      </c>
      <c r="H453" s="3" t="str">
        <f>IF($L453="","",IF(INDEX(tblRegistros[Data],$L453)&gt;$D$4,"",IFERROR(INDEX(tblRegistros[Taxa aplicada],$L453),"")))</f>
        <v/>
      </c>
      <c r="I453" s="3" t="str">
        <f>IF($L453="","",IF(INDEX(tblRegistros[Data],$L453)&gt;$D$4,"",IFERROR(IF(INDEX(tblRegistros[Status],$L453)="EM ABERTO","",INDEX(tblRegistros[Valor],$L453)),"")))</f>
        <v/>
      </c>
      <c r="J453" t="str">
        <f>IF($L453="","",IF(INDEX(tblRegistros[Data],$L453)&gt;$D$4,"",IFERROR(INDEX(tblRegistros[Status],$L453),"")))</f>
        <v/>
      </c>
      <c r="K453" t="str">
        <f>IF($L453="","",IF(INDEX(tblRegistros[Data],$L453)&gt;$D$4,"",IFERROR(INDEX(tblRegistros[Observação],$L453),"")))</f>
        <v/>
      </c>
      <c r="L453" s="16" t="str">
        <f>IFERROR(MATCH($B$3*100000+COUNTIFS(tblRegistros[ID],$B$3,tblRegistros[Data],"&lt;"&amp;$B$4)+ROWS($L$10:L453),tblRegistros[Chave do cartão],0),"")</f>
        <v/>
      </c>
    </row>
    <row r="454" spans="1:12">
      <c r="A454" s="2" t="str">
        <f>IF($L454="","",IF(INDEX(tblRegistros[Data],$L454)&gt;$D$4,"",IFERROR(INDEX(tblRegistros[Data],$L454),"")))</f>
        <v/>
      </c>
      <c r="B454" t="str">
        <f>IF($L454="","",IF(INDEX(tblRegistros[Data],$L454)&gt;$D$4,"",IFERROR(INDEX(tblRegistros[Projeto],$L454),"")))</f>
        <v/>
      </c>
      <c r="C454" t="str">
        <f>IF($L454="","",IF(INDEX(tblRegistros[Data],$L454)&gt;$D$4,"",IFERROR(INDEX(tblRegistros[Atividade],$L454),"")))</f>
        <v/>
      </c>
      <c r="D454" s="4" t="str">
        <f>IF($L454="","",IF(INDEX(tblRegistros[Data],$L454)&gt;$D$4,"",IFERROR(INDEX(tblRegistros[Início],$L454),"")))</f>
        <v/>
      </c>
      <c r="E454" s="4" t="str">
        <f>IF($L454="","",IF(INDEX(tblRegistros[Data],$L454)&gt;$D$4,"",IFERROR(IF(INDEX(tblRegistros[Status],$L454)="EM ABERTO","",INDEX(tblRegistros[Fim],$L454)),"")))</f>
        <v/>
      </c>
      <c r="F454" t="str">
        <f>IF($L454="","",IF(INDEX(tblRegistros[Data],$L454)&gt;$D$4,"",IFERROR(IF(INDEX(tblRegistros[Status],$L454)="EM ABERTO","",INDEX(tblRegistros[Horas],$L454)),"")))</f>
        <v/>
      </c>
      <c r="G454" t="str">
        <f>IF($L454="","",IF(INDEX(tblRegistros[Data],$L454)&gt;$D$4,"",IFERROR(INDEX(tblRegistros[Base],$L454),"")))</f>
        <v/>
      </c>
      <c r="H454" s="3" t="str">
        <f>IF($L454="","",IF(INDEX(tblRegistros[Data],$L454)&gt;$D$4,"",IFERROR(INDEX(tblRegistros[Taxa aplicada],$L454),"")))</f>
        <v/>
      </c>
      <c r="I454" s="3" t="str">
        <f>IF($L454="","",IF(INDEX(tblRegistros[Data],$L454)&gt;$D$4,"",IFERROR(IF(INDEX(tblRegistros[Status],$L454)="EM ABERTO","",INDEX(tblRegistros[Valor],$L454)),"")))</f>
        <v/>
      </c>
      <c r="J454" t="str">
        <f>IF($L454="","",IF(INDEX(tblRegistros[Data],$L454)&gt;$D$4,"",IFERROR(INDEX(tblRegistros[Status],$L454),"")))</f>
        <v/>
      </c>
      <c r="K454" t="str">
        <f>IF($L454="","",IF(INDEX(tblRegistros[Data],$L454)&gt;$D$4,"",IFERROR(INDEX(tblRegistros[Observação],$L454),"")))</f>
        <v/>
      </c>
      <c r="L454" s="16" t="str">
        <f>IFERROR(MATCH($B$3*100000+COUNTIFS(tblRegistros[ID],$B$3,tblRegistros[Data],"&lt;"&amp;$B$4)+ROWS($L$10:L454),tblRegistros[Chave do cartão],0),"")</f>
        <v/>
      </c>
    </row>
    <row r="455" spans="1:12">
      <c r="A455" s="2" t="str">
        <f>IF($L455="","",IF(INDEX(tblRegistros[Data],$L455)&gt;$D$4,"",IFERROR(INDEX(tblRegistros[Data],$L455),"")))</f>
        <v/>
      </c>
      <c r="B455" t="str">
        <f>IF($L455="","",IF(INDEX(tblRegistros[Data],$L455)&gt;$D$4,"",IFERROR(INDEX(tblRegistros[Projeto],$L455),"")))</f>
        <v/>
      </c>
      <c r="C455" t="str">
        <f>IF($L455="","",IF(INDEX(tblRegistros[Data],$L455)&gt;$D$4,"",IFERROR(INDEX(tblRegistros[Atividade],$L455),"")))</f>
        <v/>
      </c>
      <c r="D455" s="4" t="str">
        <f>IF($L455="","",IF(INDEX(tblRegistros[Data],$L455)&gt;$D$4,"",IFERROR(INDEX(tblRegistros[Início],$L455),"")))</f>
        <v/>
      </c>
      <c r="E455" s="4" t="str">
        <f>IF($L455="","",IF(INDEX(tblRegistros[Data],$L455)&gt;$D$4,"",IFERROR(IF(INDEX(tblRegistros[Status],$L455)="EM ABERTO","",INDEX(tblRegistros[Fim],$L455)),"")))</f>
        <v/>
      </c>
      <c r="F455" t="str">
        <f>IF($L455="","",IF(INDEX(tblRegistros[Data],$L455)&gt;$D$4,"",IFERROR(IF(INDEX(tblRegistros[Status],$L455)="EM ABERTO","",INDEX(tblRegistros[Horas],$L455)),"")))</f>
        <v/>
      </c>
      <c r="G455" t="str">
        <f>IF($L455="","",IF(INDEX(tblRegistros[Data],$L455)&gt;$D$4,"",IFERROR(INDEX(tblRegistros[Base],$L455),"")))</f>
        <v/>
      </c>
      <c r="H455" s="3" t="str">
        <f>IF($L455="","",IF(INDEX(tblRegistros[Data],$L455)&gt;$D$4,"",IFERROR(INDEX(tblRegistros[Taxa aplicada],$L455),"")))</f>
        <v/>
      </c>
      <c r="I455" s="3" t="str">
        <f>IF($L455="","",IF(INDEX(tblRegistros[Data],$L455)&gt;$D$4,"",IFERROR(IF(INDEX(tblRegistros[Status],$L455)="EM ABERTO","",INDEX(tblRegistros[Valor],$L455)),"")))</f>
        <v/>
      </c>
      <c r="J455" t="str">
        <f>IF($L455="","",IF(INDEX(tblRegistros[Data],$L455)&gt;$D$4,"",IFERROR(INDEX(tblRegistros[Status],$L455),"")))</f>
        <v/>
      </c>
      <c r="K455" t="str">
        <f>IF($L455="","",IF(INDEX(tblRegistros[Data],$L455)&gt;$D$4,"",IFERROR(INDEX(tblRegistros[Observação],$L455),"")))</f>
        <v/>
      </c>
      <c r="L455" s="16" t="str">
        <f>IFERROR(MATCH($B$3*100000+COUNTIFS(tblRegistros[ID],$B$3,tblRegistros[Data],"&lt;"&amp;$B$4)+ROWS($L$10:L455),tblRegistros[Chave do cartão],0),"")</f>
        <v/>
      </c>
    </row>
    <row r="456" spans="1:12">
      <c r="A456" s="2" t="str">
        <f>IF($L456="","",IF(INDEX(tblRegistros[Data],$L456)&gt;$D$4,"",IFERROR(INDEX(tblRegistros[Data],$L456),"")))</f>
        <v/>
      </c>
      <c r="B456" t="str">
        <f>IF($L456="","",IF(INDEX(tblRegistros[Data],$L456)&gt;$D$4,"",IFERROR(INDEX(tblRegistros[Projeto],$L456),"")))</f>
        <v/>
      </c>
      <c r="C456" t="str">
        <f>IF($L456="","",IF(INDEX(tblRegistros[Data],$L456)&gt;$D$4,"",IFERROR(INDEX(tblRegistros[Atividade],$L456),"")))</f>
        <v/>
      </c>
      <c r="D456" s="4" t="str">
        <f>IF($L456="","",IF(INDEX(tblRegistros[Data],$L456)&gt;$D$4,"",IFERROR(INDEX(tblRegistros[Início],$L456),"")))</f>
        <v/>
      </c>
      <c r="E456" s="4" t="str">
        <f>IF($L456="","",IF(INDEX(tblRegistros[Data],$L456)&gt;$D$4,"",IFERROR(IF(INDEX(tblRegistros[Status],$L456)="EM ABERTO","",INDEX(tblRegistros[Fim],$L456)),"")))</f>
        <v/>
      </c>
      <c r="F456" t="str">
        <f>IF($L456="","",IF(INDEX(tblRegistros[Data],$L456)&gt;$D$4,"",IFERROR(IF(INDEX(tblRegistros[Status],$L456)="EM ABERTO","",INDEX(tblRegistros[Horas],$L456)),"")))</f>
        <v/>
      </c>
      <c r="G456" t="str">
        <f>IF($L456="","",IF(INDEX(tblRegistros[Data],$L456)&gt;$D$4,"",IFERROR(INDEX(tblRegistros[Base],$L456),"")))</f>
        <v/>
      </c>
      <c r="H456" s="3" t="str">
        <f>IF($L456="","",IF(INDEX(tblRegistros[Data],$L456)&gt;$D$4,"",IFERROR(INDEX(tblRegistros[Taxa aplicada],$L456),"")))</f>
        <v/>
      </c>
      <c r="I456" s="3" t="str">
        <f>IF($L456="","",IF(INDEX(tblRegistros[Data],$L456)&gt;$D$4,"",IFERROR(IF(INDEX(tblRegistros[Status],$L456)="EM ABERTO","",INDEX(tblRegistros[Valor],$L456)),"")))</f>
        <v/>
      </c>
      <c r="J456" t="str">
        <f>IF($L456="","",IF(INDEX(tblRegistros[Data],$L456)&gt;$D$4,"",IFERROR(INDEX(tblRegistros[Status],$L456),"")))</f>
        <v/>
      </c>
      <c r="K456" t="str">
        <f>IF($L456="","",IF(INDEX(tblRegistros[Data],$L456)&gt;$D$4,"",IFERROR(INDEX(tblRegistros[Observação],$L456),"")))</f>
        <v/>
      </c>
      <c r="L456" s="16" t="str">
        <f>IFERROR(MATCH($B$3*100000+COUNTIFS(tblRegistros[ID],$B$3,tblRegistros[Data],"&lt;"&amp;$B$4)+ROWS($L$10:L456),tblRegistros[Chave do cartão],0),"")</f>
        <v/>
      </c>
    </row>
    <row r="457" spans="1:12">
      <c r="A457" s="2" t="str">
        <f>IF($L457="","",IF(INDEX(tblRegistros[Data],$L457)&gt;$D$4,"",IFERROR(INDEX(tblRegistros[Data],$L457),"")))</f>
        <v/>
      </c>
      <c r="B457" t="str">
        <f>IF($L457="","",IF(INDEX(tblRegistros[Data],$L457)&gt;$D$4,"",IFERROR(INDEX(tblRegistros[Projeto],$L457),"")))</f>
        <v/>
      </c>
      <c r="C457" t="str">
        <f>IF($L457="","",IF(INDEX(tblRegistros[Data],$L457)&gt;$D$4,"",IFERROR(INDEX(tblRegistros[Atividade],$L457),"")))</f>
        <v/>
      </c>
      <c r="D457" s="4" t="str">
        <f>IF($L457="","",IF(INDEX(tblRegistros[Data],$L457)&gt;$D$4,"",IFERROR(INDEX(tblRegistros[Início],$L457),"")))</f>
        <v/>
      </c>
      <c r="E457" s="4" t="str">
        <f>IF($L457="","",IF(INDEX(tblRegistros[Data],$L457)&gt;$D$4,"",IFERROR(IF(INDEX(tblRegistros[Status],$L457)="EM ABERTO","",INDEX(tblRegistros[Fim],$L457)),"")))</f>
        <v/>
      </c>
      <c r="F457" t="str">
        <f>IF($L457="","",IF(INDEX(tblRegistros[Data],$L457)&gt;$D$4,"",IFERROR(IF(INDEX(tblRegistros[Status],$L457)="EM ABERTO","",INDEX(tblRegistros[Horas],$L457)),"")))</f>
        <v/>
      </c>
      <c r="G457" t="str">
        <f>IF($L457="","",IF(INDEX(tblRegistros[Data],$L457)&gt;$D$4,"",IFERROR(INDEX(tblRegistros[Base],$L457),"")))</f>
        <v/>
      </c>
      <c r="H457" s="3" t="str">
        <f>IF($L457="","",IF(INDEX(tblRegistros[Data],$L457)&gt;$D$4,"",IFERROR(INDEX(tblRegistros[Taxa aplicada],$L457),"")))</f>
        <v/>
      </c>
      <c r="I457" s="3" t="str">
        <f>IF($L457="","",IF(INDEX(tblRegistros[Data],$L457)&gt;$D$4,"",IFERROR(IF(INDEX(tblRegistros[Status],$L457)="EM ABERTO","",INDEX(tblRegistros[Valor],$L457)),"")))</f>
        <v/>
      </c>
      <c r="J457" t="str">
        <f>IF($L457="","",IF(INDEX(tblRegistros[Data],$L457)&gt;$D$4,"",IFERROR(INDEX(tblRegistros[Status],$L457),"")))</f>
        <v/>
      </c>
      <c r="K457" t="str">
        <f>IF($L457="","",IF(INDEX(tblRegistros[Data],$L457)&gt;$D$4,"",IFERROR(INDEX(tblRegistros[Observação],$L457),"")))</f>
        <v/>
      </c>
      <c r="L457" s="16" t="str">
        <f>IFERROR(MATCH($B$3*100000+COUNTIFS(tblRegistros[ID],$B$3,tblRegistros[Data],"&lt;"&amp;$B$4)+ROWS($L$10:L457),tblRegistros[Chave do cartão],0),"")</f>
        <v/>
      </c>
    </row>
    <row r="458" spans="1:12">
      <c r="A458" s="2" t="str">
        <f>IF($L458="","",IF(INDEX(tblRegistros[Data],$L458)&gt;$D$4,"",IFERROR(INDEX(tblRegistros[Data],$L458),"")))</f>
        <v/>
      </c>
      <c r="B458" t="str">
        <f>IF($L458="","",IF(INDEX(tblRegistros[Data],$L458)&gt;$D$4,"",IFERROR(INDEX(tblRegistros[Projeto],$L458),"")))</f>
        <v/>
      </c>
      <c r="C458" t="str">
        <f>IF($L458="","",IF(INDEX(tblRegistros[Data],$L458)&gt;$D$4,"",IFERROR(INDEX(tblRegistros[Atividade],$L458),"")))</f>
        <v/>
      </c>
      <c r="D458" s="4" t="str">
        <f>IF($L458="","",IF(INDEX(tblRegistros[Data],$L458)&gt;$D$4,"",IFERROR(INDEX(tblRegistros[Início],$L458),"")))</f>
        <v/>
      </c>
      <c r="E458" s="4" t="str">
        <f>IF($L458="","",IF(INDEX(tblRegistros[Data],$L458)&gt;$D$4,"",IFERROR(IF(INDEX(tblRegistros[Status],$L458)="EM ABERTO","",INDEX(tblRegistros[Fim],$L458)),"")))</f>
        <v/>
      </c>
      <c r="F458" t="str">
        <f>IF($L458="","",IF(INDEX(tblRegistros[Data],$L458)&gt;$D$4,"",IFERROR(IF(INDEX(tblRegistros[Status],$L458)="EM ABERTO","",INDEX(tblRegistros[Horas],$L458)),"")))</f>
        <v/>
      </c>
      <c r="G458" t="str">
        <f>IF($L458="","",IF(INDEX(tblRegistros[Data],$L458)&gt;$D$4,"",IFERROR(INDEX(tblRegistros[Base],$L458),"")))</f>
        <v/>
      </c>
      <c r="H458" s="3" t="str">
        <f>IF($L458="","",IF(INDEX(tblRegistros[Data],$L458)&gt;$D$4,"",IFERROR(INDEX(tblRegistros[Taxa aplicada],$L458),"")))</f>
        <v/>
      </c>
      <c r="I458" s="3" t="str">
        <f>IF($L458="","",IF(INDEX(tblRegistros[Data],$L458)&gt;$D$4,"",IFERROR(IF(INDEX(tblRegistros[Status],$L458)="EM ABERTO","",INDEX(tblRegistros[Valor],$L458)),"")))</f>
        <v/>
      </c>
      <c r="J458" t="str">
        <f>IF($L458="","",IF(INDEX(tblRegistros[Data],$L458)&gt;$D$4,"",IFERROR(INDEX(tblRegistros[Status],$L458),"")))</f>
        <v/>
      </c>
      <c r="K458" t="str">
        <f>IF($L458="","",IF(INDEX(tblRegistros[Data],$L458)&gt;$D$4,"",IFERROR(INDEX(tblRegistros[Observação],$L458),"")))</f>
        <v/>
      </c>
      <c r="L458" s="16" t="str">
        <f>IFERROR(MATCH($B$3*100000+COUNTIFS(tblRegistros[ID],$B$3,tblRegistros[Data],"&lt;"&amp;$B$4)+ROWS($L$10:L458),tblRegistros[Chave do cartão],0),"")</f>
        <v/>
      </c>
    </row>
    <row r="459" spans="1:12">
      <c r="A459" s="2" t="str">
        <f>IF($L459="","",IF(INDEX(tblRegistros[Data],$L459)&gt;$D$4,"",IFERROR(INDEX(tblRegistros[Data],$L459),"")))</f>
        <v/>
      </c>
      <c r="B459" t="str">
        <f>IF($L459="","",IF(INDEX(tblRegistros[Data],$L459)&gt;$D$4,"",IFERROR(INDEX(tblRegistros[Projeto],$L459),"")))</f>
        <v/>
      </c>
      <c r="C459" t="str">
        <f>IF($L459="","",IF(INDEX(tblRegistros[Data],$L459)&gt;$D$4,"",IFERROR(INDEX(tblRegistros[Atividade],$L459),"")))</f>
        <v/>
      </c>
      <c r="D459" s="4" t="str">
        <f>IF($L459="","",IF(INDEX(tblRegistros[Data],$L459)&gt;$D$4,"",IFERROR(INDEX(tblRegistros[Início],$L459),"")))</f>
        <v/>
      </c>
      <c r="E459" s="4" t="str">
        <f>IF($L459="","",IF(INDEX(tblRegistros[Data],$L459)&gt;$D$4,"",IFERROR(IF(INDEX(tblRegistros[Status],$L459)="EM ABERTO","",INDEX(tblRegistros[Fim],$L459)),"")))</f>
        <v/>
      </c>
      <c r="F459" t="str">
        <f>IF($L459="","",IF(INDEX(tblRegistros[Data],$L459)&gt;$D$4,"",IFERROR(IF(INDEX(tblRegistros[Status],$L459)="EM ABERTO","",INDEX(tblRegistros[Horas],$L459)),"")))</f>
        <v/>
      </c>
      <c r="G459" t="str">
        <f>IF($L459="","",IF(INDEX(tblRegistros[Data],$L459)&gt;$D$4,"",IFERROR(INDEX(tblRegistros[Base],$L459),"")))</f>
        <v/>
      </c>
      <c r="H459" s="3" t="str">
        <f>IF($L459="","",IF(INDEX(tblRegistros[Data],$L459)&gt;$D$4,"",IFERROR(INDEX(tblRegistros[Taxa aplicada],$L459),"")))</f>
        <v/>
      </c>
      <c r="I459" s="3" t="str">
        <f>IF($L459="","",IF(INDEX(tblRegistros[Data],$L459)&gt;$D$4,"",IFERROR(IF(INDEX(tblRegistros[Status],$L459)="EM ABERTO","",INDEX(tblRegistros[Valor],$L459)),"")))</f>
        <v/>
      </c>
      <c r="J459" t="str">
        <f>IF($L459="","",IF(INDEX(tblRegistros[Data],$L459)&gt;$D$4,"",IFERROR(INDEX(tblRegistros[Status],$L459),"")))</f>
        <v/>
      </c>
      <c r="K459" t="str">
        <f>IF($L459="","",IF(INDEX(tblRegistros[Data],$L459)&gt;$D$4,"",IFERROR(INDEX(tblRegistros[Observação],$L459),"")))</f>
        <v/>
      </c>
      <c r="L459" s="16" t="str">
        <f>IFERROR(MATCH($B$3*100000+COUNTIFS(tblRegistros[ID],$B$3,tblRegistros[Data],"&lt;"&amp;$B$4)+ROWS($L$10:L459),tblRegistros[Chave do cartão],0),"")</f>
        <v/>
      </c>
    </row>
    <row r="460" spans="1:12">
      <c r="A460" s="2" t="str">
        <f>IF($L460="","",IF(INDEX(tblRegistros[Data],$L460)&gt;$D$4,"",IFERROR(INDEX(tblRegistros[Data],$L460),"")))</f>
        <v/>
      </c>
      <c r="B460" t="str">
        <f>IF($L460="","",IF(INDEX(tblRegistros[Data],$L460)&gt;$D$4,"",IFERROR(INDEX(tblRegistros[Projeto],$L460),"")))</f>
        <v/>
      </c>
      <c r="C460" t="str">
        <f>IF($L460="","",IF(INDEX(tblRegistros[Data],$L460)&gt;$D$4,"",IFERROR(INDEX(tblRegistros[Atividade],$L460),"")))</f>
        <v/>
      </c>
      <c r="D460" s="4" t="str">
        <f>IF($L460="","",IF(INDEX(tblRegistros[Data],$L460)&gt;$D$4,"",IFERROR(INDEX(tblRegistros[Início],$L460),"")))</f>
        <v/>
      </c>
      <c r="E460" s="4" t="str">
        <f>IF($L460="","",IF(INDEX(tblRegistros[Data],$L460)&gt;$D$4,"",IFERROR(IF(INDEX(tblRegistros[Status],$L460)="EM ABERTO","",INDEX(tblRegistros[Fim],$L460)),"")))</f>
        <v/>
      </c>
      <c r="F460" t="str">
        <f>IF($L460="","",IF(INDEX(tblRegistros[Data],$L460)&gt;$D$4,"",IFERROR(IF(INDEX(tblRegistros[Status],$L460)="EM ABERTO","",INDEX(tblRegistros[Horas],$L460)),"")))</f>
        <v/>
      </c>
      <c r="G460" t="str">
        <f>IF($L460="","",IF(INDEX(tblRegistros[Data],$L460)&gt;$D$4,"",IFERROR(INDEX(tblRegistros[Base],$L460),"")))</f>
        <v/>
      </c>
      <c r="H460" s="3" t="str">
        <f>IF($L460="","",IF(INDEX(tblRegistros[Data],$L460)&gt;$D$4,"",IFERROR(INDEX(tblRegistros[Taxa aplicada],$L460),"")))</f>
        <v/>
      </c>
      <c r="I460" s="3" t="str">
        <f>IF($L460="","",IF(INDEX(tblRegistros[Data],$L460)&gt;$D$4,"",IFERROR(IF(INDEX(tblRegistros[Status],$L460)="EM ABERTO","",INDEX(tblRegistros[Valor],$L460)),"")))</f>
        <v/>
      </c>
      <c r="J460" t="str">
        <f>IF($L460="","",IF(INDEX(tblRegistros[Data],$L460)&gt;$D$4,"",IFERROR(INDEX(tblRegistros[Status],$L460),"")))</f>
        <v/>
      </c>
      <c r="K460" t="str">
        <f>IF($L460="","",IF(INDEX(tblRegistros[Data],$L460)&gt;$D$4,"",IFERROR(INDEX(tblRegistros[Observação],$L460),"")))</f>
        <v/>
      </c>
      <c r="L460" s="16" t="str">
        <f>IFERROR(MATCH($B$3*100000+COUNTIFS(tblRegistros[ID],$B$3,tblRegistros[Data],"&lt;"&amp;$B$4)+ROWS($L$10:L460),tblRegistros[Chave do cartão],0),"")</f>
        <v/>
      </c>
    </row>
    <row r="461" spans="1:12">
      <c r="A461" s="2" t="str">
        <f>IF($L461="","",IF(INDEX(tblRegistros[Data],$L461)&gt;$D$4,"",IFERROR(INDEX(tblRegistros[Data],$L461),"")))</f>
        <v/>
      </c>
      <c r="B461" t="str">
        <f>IF($L461="","",IF(INDEX(tblRegistros[Data],$L461)&gt;$D$4,"",IFERROR(INDEX(tblRegistros[Projeto],$L461),"")))</f>
        <v/>
      </c>
      <c r="C461" t="str">
        <f>IF($L461="","",IF(INDEX(tblRegistros[Data],$L461)&gt;$D$4,"",IFERROR(INDEX(tblRegistros[Atividade],$L461),"")))</f>
        <v/>
      </c>
      <c r="D461" s="4" t="str">
        <f>IF($L461="","",IF(INDEX(tblRegistros[Data],$L461)&gt;$D$4,"",IFERROR(INDEX(tblRegistros[Início],$L461),"")))</f>
        <v/>
      </c>
      <c r="E461" s="4" t="str">
        <f>IF($L461="","",IF(INDEX(tblRegistros[Data],$L461)&gt;$D$4,"",IFERROR(IF(INDEX(tblRegistros[Status],$L461)="EM ABERTO","",INDEX(tblRegistros[Fim],$L461)),"")))</f>
        <v/>
      </c>
      <c r="F461" t="str">
        <f>IF($L461="","",IF(INDEX(tblRegistros[Data],$L461)&gt;$D$4,"",IFERROR(IF(INDEX(tblRegistros[Status],$L461)="EM ABERTO","",INDEX(tblRegistros[Horas],$L461)),"")))</f>
        <v/>
      </c>
      <c r="G461" t="str">
        <f>IF($L461="","",IF(INDEX(tblRegistros[Data],$L461)&gt;$D$4,"",IFERROR(INDEX(tblRegistros[Base],$L461),"")))</f>
        <v/>
      </c>
      <c r="H461" s="3" t="str">
        <f>IF($L461="","",IF(INDEX(tblRegistros[Data],$L461)&gt;$D$4,"",IFERROR(INDEX(tblRegistros[Taxa aplicada],$L461),"")))</f>
        <v/>
      </c>
      <c r="I461" s="3" t="str">
        <f>IF($L461="","",IF(INDEX(tblRegistros[Data],$L461)&gt;$D$4,"",IFERROR(IF(INDEX(tblRegistros[Status],$L461)="EM ABERTO","",INDEX(tblRegistros[Valor],$L461)),"")))</f>
        <v/>
      </c>
      <c r="J461" t="str">
        <f>IF($L461="","",IF(INDEX(tblRegistros[Data],$L461)&gt;$D$4,"",IFERROR(INDEX(tblRegistros[Status],$L461),"")))</f>
        <v/>
      </c>
      <c r="K461" t="str">
        <f>IF($L461="","",IF(INDEX(tblRegistros[Data],$L461)&gt;$D$4,"",IFERROR(INDEX(tblRegistros[Observação],$L461),"")))</f>
        <v/>
      </c>
      <c r="L461" s="16" t="str">
        <f>IFERROR(MATCH($B$3*100000+COUNTIFS(tblRegistros[ID],$B$3,tblRegistros[Data],"&lt;"&amp;$B$4)+ROWS($L$10:L461),tblRegistros[Chave do cartão],0),"")</f>
        <v/>
      </c>
    </row>
    <row r="462" spans="1:12">
      <c r="A462" s="2" t="str">
        <f>IF($L462="","",IF(INDEX(tblRegistros[Data],$L462)&gt;$D$4,"",IFERROR(INDEX(tblRegistros[Data],$L462),"")))</f>
        <v/>
      </c>
      <c r="B462" t="str">
        <f>IF($L462="","",IF(INDEX(tblRegistros[Data],$L462)&gt;$D$4,"",IFERROR(INDEX(tblRegistros[Projeto],$L462),"")))</f>
        <v/>
      </c>
      <c r="C462" t="str">
        <f>IF($L462="","",IF(INDEX(tblRegistros[Data],$L462)&gt;$D$4,"",IFERROR(INDEX(tblRegistros[Atividade],$L462),"")))</f>
        <v/>
      </c>
      <c r="D462" s="4" t="str">
        <f>IF($L462="","",IF(INDEX(tblRegistros[Data],$L462)&gt;$D$4,"",IFERROR(INDEX(tblRegistros[Início],$L462),"")))</f>
        <v/>
      </c>
      <c r="E462" s="4" t="str">
        <f>IF($L462="","",IF(INDEX(tblRegistros[Data],$L462)&gt;$D$4,"",IFERROR(IF(INDEX(tblRegistros[Status],$L462)="EM ABERTO","",INDEX(tblRegistros[Fim],$L462)),"")))</f>
        <v/>
      </c>
      <c r="F462" t="str">
        <f>IF($L462="","",IF(INDEX(tblRegistros[Data],$L462)&gt;$D$4,"",IFERROR(IF(INDEX(tblRegistros[Status],$L462)="EM ABERTO","",INDEX(tblRegistros[Horas],$L462)),"")))</f>
        <v/>
      </c>
      <c r="G462" t="str">
        <f>IF($L462="","",IF(INDEX(tblRegistros[Data],$L462)&gt;$D$4,"",IFERROR(INDEX(tblRegistros[Base],$L462),"")))</f>
        <v/>
      </c>
      <c r="H462" s="3" t="str">
        <f>IF($L462="","",IF(INDEX(tblRegistros[Data],$L462)&gt;$D$4,"",IFERROR(INDEX(tblRegistros[Taxa aplicada],$L462),"")))</f>
        <v/>
      </c>
      <c r="I462" s="3" t="str">
        <f>IF($L462="","",IF(INDEX(tblRegistros[Data],$L462)&gt;$D$4,"",IFERROR(IF(INDEX(tblRegistros[Status],$L462)="EM ABERTO","",INDEX(tblRegistros[Valor],$L462)),"")))</f>
        <v/>
      </c>
      <c r="J462" t="str">
        <f>IF($L462="","",IF(INDEX(tblRegistros[Data],$L462)&gt;$D$4,"",IFERROR(INDEX(tblRegistros[Status],$L462),"")))</f>
        <v/>
      </c>
      <c r="K462" t="str">
        <f>IF($L462="","",IF(INDEX(tblRegistros[Data],$L462)&gt;$D$4,"",IFERROR(INDEX(tblRegistros[Observação],$L462),"")))</f>
        <v/>
      </c>
      <c r="L462" s="16" t="str">
        <f>IFERROR(MATCH($B$3*100000+COUNTIFS(tblRegistros[ID],$B$3,tblRegistros[Data],"&lt;"&amp;$B$4)+ROWS($L$10:L462),tblRegistros[Chave do cartão],0),"")</f>
        <v/>
      </c>
    </row>
    <row r="463" spans="1:12">
      <c r="A463" s="2" t="str">
        <f>IF($L463="","",IF(INDEX(tblRegistros[Data],$L463)&gt;$D$4,"",IFERROR(INDEX(tblRegistros[Data],$L463),"")))</f>
        <v/>
      </c>
      <c r="B463" t="str">
        <f>IF($L463="","",IF(INDEX(tblRegistros[Data],$L463)&gt;$D$4,"",IFERROR(INDEX(tblRegistros[Projeto],$L463),"")))</f>
        <v/>
      </c>
      <c r="C463" t="str">
        <f>IF($L463="","",IF(INDEX(tblRegistros[Data],$L463)&gt;$D$4,"",IFERROR(INDEX(tblRegistros[Atividade],$L463),"")))</f>
        <v/>
      </c>
      <c r="D463" s="4" t="str">
        <f>IF($L463="","",IF(INDEX(tblRegistros[Data],$L463)&gt;$D$4,"",IFERROR(INDEX(tblRegistros[Início],$L463),"")))</f>
        <v/>
      </c>
      <c r="E463" s="4" t="str">
        <f>IF($L463="","",IF(INDEX(tblRegistros[Data],$L463)&gt;$D$4,"",IFERROR(IF(INDEX(tblRegistros[Status],$L463)="EM ABERTO","",INDEX(tblRegistros[Fim],$L463)),"")))</f>
        <v/>
      </c>
      <c r="F463" t="str">
        <f>IF($L463="","",IF(INDEX(tblRegistros[Data],$L463)&gt;$D$4,"",IFERROR(IF(INDEX(tblRegistros[Status],$L463)="EM ABERTO","",INDEX(tblRegistros[Horas],$L463)),"")))</f>
        <v/>
      </c>
      <c r="G463" t="str">
        <f>IF($L463="","",IF(INDEX(tblRegistros[Data],$L463)&gt;$D$4,"",IFERROR(INDEX(tblRegistros[Base],$L463),"")))</f>
        <v/>
      </c>
      <c r="H463" s="3" t="str">
        <f>IF($L463="","",IF(INDEX(tblRegistros[Data],$L463)&gt;$D$4,"",IFERROR(INDEX(tblRegistros[Taxa aplicada],$L463),"")))</f>
        <v/>
      </c>
      <c r="I463" s="3" t="str">
        <f>IF($L463="","",IF(INDEX(tblRegistros[Data],$L463)&gt;$D$4,"",IFERROR(IF(INDEX(tblRegistros[Status],$L463)="EM ABERTO","",INDEX(tblRegistros[Valor],$L463)),"")))</f>
        <v/>
      </c>
      <c r="J463" t="str">
        <f>IF($L463="","",IF(INDEX(tblRegistros[Data],$L463)&gt;$D$4,"",IFERROR(INDEX(tblRegistros[Status],$L463),"")))</f>
        <v/>
      </c>
      <c r="K463" t="str">
        <f>IF($L463="","",IF(INDEX(tblRegistros[Data],$L463)&gt;$D$4,"",IFERROR(INDEX(tblRegistros[Observação],$L463),"")))</f>
        <v/>
      </c>
      <c r="L463" s="16" t="str">
        <f>IFERROR(MATCH($B$3*100000+COUNTIFS(tblRegistros[ID],$B$3,tblRegistros[Data],"&lt;"&amp;$B$4)+ROWS($L$10:L463),tblRegistros[Chave do cartão],0),"")</f>
        <v/>
      </c>
    </row>
    <row r="464" spans="1:12">
      <c r="A464" s="2" t="str">
        <f>IF($L464="","",IF(INDEX(tblRegistros[Data],$L464)&gt;$D$4,"",IFERROR(INDEX(tblRegistros[Data],$L464),"")))</f>
        <v/>
      </c>
      <c r="B464" t="str">
        <f>IF($L464="","",IF(INDEX(tblRegistros[Data],$L464)&gt;$D$4,"",IFERROR(INDEX(tblRegistros[Projeto],$L464),"")))</f>
        <v/>
      </c>
      <c r="C464" t="str">
        <f>IF($L464="","",IF(INDEX(tblRegistros[Data],$L464)&gt;$D$4,"",IFERROR(INDEX(tblRegistros[Atividade],$L464),"")))</f>
        <v/>
      </c>
      <c r="D464" s="4" t="str">
        <f>IF($L464="","",IF(INDEX(tblRegistros[Data],$L464)&gt;$D$4,"",IFERROR(INDEX(tblRegistros[Início],$L464),"")))</f>
        <v/>
      </c>
      <c r="E464" s="4" t="str">
        <f>IF($L464="","",IF(INDEX(tblRegistros[Data],$L464)&gt;$D$4,"",IFERROR(IF(INDEX(tblRegistros[Status],$L464)="EM ABERTO","",INDEX(tblRegistros[Fim],$L464)),"")))</f>
        <v/>
      </c>
      <c r="F464" t="str">
        <f>IF($L464="","",IF(INDEX(tblRegistros[Data],$L464)&gt;$D$4,"",IFERROR(IF(INDEX(tblRegistros[Status],$L464)="EM ABERTO","",INDEX(tblRegistros[Horas],$L464)),"")))</f>
        <v/>
      </c>
      <c r="G464" t="str">
        <f>IF($L464="","",IF(INDEX(tblRegistros[Data],$L464)&gt;$D$4,"",IFERROR(INDEX(tblRegistros[Base],$L464),"")))</f>
        <v/>
      </c>
      <c r="H464" s="3" t="str">
        <f>IF($L464="","",IF(INDEX(tblRegistros[Data],$L464)&gt;$D$4,"",IFERROR(INDEX(tblRegistros[Taxa aplicada],$L464),"")))</f>
        <v/>
      </c>
      <c r="I464" s="3" t="str">
        <f>IF($L464="","",IF(INDEX(tblRegistros[Data],$L464)&gt;$D$4,"",IFERROR(IF(INDEX(tblRegistros[Status],$L464)="EM ABERTO","",INDEX(tblRegistros[Valor],$L464)),"")))</f>
        <v/>
      </c>
      <c r="J464" t="str">
        <f>IF($L464="","",IF(INDEX(tblRegistros[Data],$L464)&gt;$D$4,"",IFERROR(INDEX(tblRegistros[Status],$L464),"")))</f>
        <v/>
      </c>
      <c r="K464" t="str">
        <f>IF($L464="","",IF(INDEX(tblRegistros[Data],$L464)&gt;$D$4,"",IFERROR(INDEX(tblRegistros[Observação],$L464),"")))</f>
        <v/>
      </c>
      <c r="L464" s="16" t="str">
        <f>IFERROR(MATCH($B$3*100000+COUNTIFS(tblRegistros[ID],$B$3,tblRegistros[Data],"&lt;"&amp;$B$4)+ROWS($L$10:L464),tblRegistros[Chave do cartão],0),"")</f>
        <v/>
      </c>
    </row>
    <row r="465" spans="1:12">
      <c r="A465" s="2" t="str">
        <f>IF($L465="","",IF(INDEX(tblRegistros[Data],$L465)&gt;$D$4,"",IFERROR(INDEX(tblRegistros[Data],$L465),"")))</f>
        <v/>
      </c>
      <c r="B465" t="str">
        <f>IF($L465="","",IF(INDEX(tblRegistros[Data],$L465)&gt;$D$4,"",IFERROR(INDEX(tblRegistros[Projeto],$L465),"")))</f>
        <v/>
      </c>
      <c r="C465" t="str">
        <f>IF($L465="","",IF(INDEX(tblRegistros[Data],$L465)&gt;$D$4,"",IFERROR(INDEX(tblRegistros[Atividade],$L465),"")))</f>
        <v/>
      </c>
      <c r="D465" s="4" t="str">
        <f>IF($L465="","",IF(INDEX(tblRegistros[Data],$L465)&gt;$D$4,"",IFERROR(INDEX(tblRegistros[Início],$L465),"")))</f>
        <v/>
      </c>
      <c r="E465" s="4" t="str">
        <f>IF($L465="","",IF(INDEX(tblRegistros[Data],$L465)&gt;$D$4,"",IFERROR(IF(INDEX(tblRegistros[Status],$L465)="EM ABERTO","",INDEX(tblRegistros[Fim],$L465)),"")))</f>
        <v/>
      </c>
      <c r="F465" t="str">
        <f>IF($L465="","",IF(INDEX(tblRegistros[Data],$L465)&gt;$D$4,"",IFERROR(IF(INDEX(tblRegistros[Status],$L465)="EM ABERTO","",INDEX(tblRegistros[Horas],$L465)),"")))</f>
        <v/>
      </c>
      <c r="G465" t="str">
        <f>IF($L465="","",IF(INDEX(tblRegistros[Data],$L465)&gt;$D$4,"",IFERROR(INDEX(tblRegistros[Base],$L465),"")))</f>
        <v/>
      </c>
      <c r="H465" s="3" t="str">
        <f>IF($L465="","",IF(INDEX(tblRegistros[Data],$L465)&gt;$D$4,"",IFERROR(INDEX(tblRegistros[Taxa aplicada],$L465),"")))</f>
        <v/>
      </c>
      <c r="I465" s="3" t="str">
        <f>IF($L465="","",IF(INDEX(tblRegistros[Data],$L465)&gt;$D$4,"",IFERROR(IF(INDEX(tblRegistros[Status],$L465)="EM ABERTO","",INDEX(tblRegistros[Valor],$L465)),"")))</f>
        <v/>
      </c>
      <c r="J465" t="str">
        <f>IF($L465="","",IF(INDEX(tblRegistros[Data],$L465)&gt;$D$4,"",IFERROR(INDEX(tblRegistros[Status],$L465),"")))</f>
        <v/>
      </c>
      <c r="K465" t="str">
        <f>IF($L465="","",IF(INDEX(tblRegistros[Data],$L465)&gt;$D$4,"",IFERROR(INDEX(tblRegistros[Observação],$L465),"")))</f>
        <v/>
      </c>
      <c r="L465" s="16" t="str">
        <f>IFERROR(MATCH($B$3*100000+COUNTIFS(tblRegistros[ID],$B$3,tblRegistros[Data],"&lt;"&amp;$B$4)+ROWS($L$10:L465),tblRegistros[Chave do cartão],0),"")</f>
        <v/>
      </c>
    </row>
    <row r="466" spans="1:12">
      <c r="A466" s="2" t="str">
        <f>IF($L466="","",IF(INDEX(tblRegistros[Data],$L466)&gt;$D$4,"",IFERROR(INDEX(tblRegistros[Data],$L466),"")))</f>
        <v/>
      </c>
      <c r="B466" t="str">
        <f>IF($L466="","",IF(INDEX(tblRegistros[Data],$L466)&gt;$D$4,"",IFERROR(INDEX(tblRegistros[Projeto],$L466),"")))</f>
        <v/>
      </c>
      <c r="C466" t="str">
        <f>IF($L466="","",IF(INDEX(tblRegistros[Data],$L466)&gt;$D$4,"",IFERROR(INDEX(tblRegistros[Atividade],$L466),"")))</f>
        <v/>
      </c>
      <c r="D466" s="4" t="str">
        <f>IF($L466="","",IF(INDEX(tblRegistros[Data],$L466)&gt;$D$4,"",IFERROR(INDEX(tblRegistros[Início],$L466),"")))</f>
        <v/>
      </c>
      <c r="E466" s="4" t="str">
        <f>IF($L466="","",IF(INDEX(tblRegistros[Data],$L466)&gt;$D$4,"",IFERROR(IF(INDEX(tblRegistros[Status],$L466)="EM ABERTO","",INDEX(tblRegistros[Fim],$L466)),"")))</f>
        <v/>
      </c>
      <c r="F466" t="str">
        <f>IF($L466="","",IF(INDEX(tblRegistros[Data],$L466)&gt;$D$4,"",IFERROR(IF(INDEX(tblRegistros[Status],$L466)="EM ABERTO","",INDEX(tblRegistros[Horas],$L466)),"")))</f>
        <v/>
      </c>
      <c r="G466" t="str">
        <f>IF($L466="","",IF(INDEX(tblRegistros[Data],$L466)&gt;$D$4,"",IFERROR(INDEX(tblRegistros[Base],$L466),"")))</f>
        <v/>
      </c>
      <c r="H466" s="3" t="str">
        <f>IF($L466="","",IF(INDEX(tblRegistros[Data],$L466)&gt;$D$4,"",IFERROR(INDEX(tblRegistros[Taxa aplicada],$L466),"")))</f>
        <v/>
      </c>
      <c r="I466" s="3" t="str">
        <f>IF($L466="","",IF(INDEX(tblRegistros[Data],$L466)&gt;$D$4,"",IFERROR(IF(INDEX(tblRegistros[Status],$L466)="EM ABERTO","",INDEX(tblRegistros[Valor],$L466)),"")))</f>
        <v/>
      </c>
      <c r="J466" t="str">
        <f>IF($L466="","",IF(INDEX(tblRegistros[Data],$L466)&gt;$D$4,"",IFERROR(INDEX(tblRegistros[Status],$L466),"")))</f>
        <v/>
      </c>
      <c r="K466" t="str">
        <f>IF($L466="","",IF(INDEX(tblRegistros[Data],$L466)&gt;$D$4,"",IFERROR(INDEX(tblRegistros[Observação],$L466),"")))</f>
        <v/>
      </c>
      <c r="L466" s="16" t="str">
        <f>IFERROR(MATCH($B$3*100000+COUNTIFS(tblRegistros[ID],$B$3,tblRegistros[Data],"&lt;"&amp;$B$4)+ROWS($L$10:L466),tblRegistros[Chave do cartão],0),"")</f>
        <v/>
      </c>
    </row>
    <row r="467" spans="1:12">
      <c r="A467" s="2" t="str">
        <f>IF($L467="","",IF(INDEX(tblRegistros[Data],$L467)&gt;$D$4,"",IFERROR(INDEX(tblRegistros[Data],$L467),"")))</f>
        <v/>
      </c>
      <c r="B467" t="str">
        <f>IF($L467="","",IF(INDEX(tblRegistros[Data],$L467)&gt;$D$4,"",IFERROR(INDEX(tblRegistros[Projeto],$L467),"")))</f>
        <v/>
      </c>
      <c r="C467" t="str">
        <f>IF($L467="","",IF(INDEX(tblRegistros[Data],$L467)&gt;$D$4,"",IFERROR(INDEX(tblRegistros[Atividade],$L467),"")))</f>
        <v/>
      </c>
      <c r="D467" s="4" t="str">
        <f>IF($L467="","",IF(INDEX(tblRegistros[Data],$L467)&gt;$D$4,"",IFERROR(INDEX(tblRegistros[Início],$L467),"")))</f>
        <v/>
      </c>
      <c r="E467" s="4" t="str">
        <f>IF($L467="","",IF(INDEX(tblRegistros[Data],$L467)&gt;$D$4,"",IFERROR(IF(INDEX(tblRegistros[Status],$L467)="EM ABERTO","",INDEX(tblRegistros[Fim],$L467)),"")))</f>
        <v/>
      </c>
      <c r="F467" t="str">
        <f>IF($L467="","",IF(INDEX(tblRegistros[Data],$L467)&gt;$D$4,"",IFERROR(IF(INDEX(tblRegistros[Status],$L467)="EM ABERTO","",INDEX(tblRegistros[Horas],$L467)),"")))</f>
        <v/>
      </c>
      <c r="G467" t="str">
        <f>IF($L467="","",IF(INDEX(tblRegistros[Data],$L467)&gt;$D$4,"",IFERROR(INDEX(tblRegistros[Base],$L467),"")))</f>
        <v/>
      </c>
      <c r="H467" s="3" t="str">
        <f>IF($L467="","",IF(INDEX(tblRegistros[Data],$L467)&gt;$D$4,"",IFERROR(INDEX(tblRegistros[Taxa aplicada],$L467),"")))</f>
        <v/>
      </c>
      <c r="I467" s="3" t="str">
        <f>IF($L467="","",IF(INDEX(tblRegistros[Data],$L467)&gt;$D$4,"",IFERROR(IF(INDEX(tblRegistros[Status],$L467)="EM ABERTO","",INDEX(tblRegistros[Valor],$L467)),"")))</f>
        <v/>
      </c>
      <c r="J467" t="str">
        <f>IF($L467="","",IF(INDEX(tblRegistros[Data],$L467)&gt;$D$4,"",IFERROR(INDEX(tblRegistros[Status],$L467),"")))</f>
        <v/>
      </c>
      <c r="K467" t="str">
        <f>IF($L467="","",IF(INDEX(tblRegistros[Data],$L467)&gt;$D$4,"",IFERROR(INDEX(tblRegistros[Observação],$L467),"")))</f>
        <v/>
      </c>
      <c r="L467" s="16" t="str">
        <f>IFERROR(MATCH($B$3*100000+COUNTIFS(tblRegistros[ID],$B$3,tblRegistros[Data],"&lt;"&amp;$B$4)+ROWS($L$10:L467),tblRegistros[Chave do cartão],0),"")</f>
        <v/>
      </c>
    </row>
    <row r="468" spans="1:12">
      <c r="A468" s="2" t="str">
        <f>IF($L468="","",IF(INDEX(tblRegistros[Data],$L468)&gt;$D$4,"",IFERROR(INDEX(tblRegistros[Data],$L468),"")))</f>
        <v/>
      </c>
      <c r="B468" t="str">
        <f>IF($L468="","",IF(INDEX(tblRegistros[Data],$L468)&gt;$D$4,"",IFERROR(INDEX(tblRegistros[Projeto],$L468),"")))</f>
        <v/>
      </c>
      <c r="C468" t="str">
        <f>IF($L468="","",IF(INDEX(tblRegistros[Data],$L468)&gt;$D$4,"",IFERROR(INDEX(tblRegistros[Atividade],$L468),"")))</f>
        <v/>
      </c>
      <c r="D468" s="4" t="str">
        <f>IF($L468="","",IF(INDEX(tblRegistros[Data],$L468)&gt;$D$4,"",IFERROR(INDEX(tblRegistros[Início],$L468),"")))</f>
        <v/>
      </c>
      <c r="E468" s="4" t="str">
        <f>IF($L468="","",IF(INDEX(tblRegistros[Data],$L468)&gt;$D$4,"",IFERROR(IF(INDEX(tblRegistros[Status],$L468)="EM ABERTO","",INDEX(tblRegistros[Fim],$L468)),"")))</f>
        <v/>
      </c>
      <c r="F468" t="str">
        <f>IF($L468="","",IF(INDEX(tblRegistros[Data],$L468)&gt;$D$4,"",IFERROR(IF(INDEX(tblRegistros[Status],$L468)="EM ABERTO","",INDEX(tblRegistros[Horas],$L468)),"")))</f>
        <v/>
      </c>
      <c r="G468" t="str">
        <f>IF($L468="","",IF(INDEX(tblRegistros[Data],$L468)&gt;$D$4,"",IFERROR(INDEX(tblRegistros[Base],$L468),"")))</f>
        <v/>
      </c>
      <c r="H468" s="3" t="str">
        <f>IF($L468="","",IF(INDEX(tblRegistros[Data],$L468)&gt;$D$4,"",IFERROR(INDEX(tblRegistros[Taxa aplicada],$L468),"")))</f>
        <v/>
      </c>
      <c r="I468" s="3" t="str">
        <f>IF($L468="","",IF(INDEX(tblRegistros[Data],$L468)&gt;$D$4,"",IFERROR(IF(INDEX(tblRegistros[Status],$L468)="EM ABERTO","",INDEX(tblRegistros[Valor],$L468)),"")))</f>
        <v/>
      </c>
      <c r="J468" t="str">
        <f>IF($L468="","",IF(INDEX(tblRegistros[Data],$L468)&gt;$D$4,"",IFERROR(INDEX(tblRegistros[Status],$L468),"")))</f>
        <v/>
      </c>
      <c r="K468" t="str">
        <f>IF($L468="","",IF(INDEX(tblRegistros[Data],$L468)&gt;$D$4,"",IFERROR(INDEX(tblRegistros[Observação],$L468),"")))</f>
        <v/>
      </c>
      <c r="L468" s="16" t="str">
        <f>IFERROR(MATCH($B$3*100000+COUNTIFS(tblRegistros[ID],$B$3,tblRegistros[Data],"&lt;"&amp;$B$4)+ROWS($L$10:L468),tblRegistros[Chave do cartão],0),"")</f>
        <v/>
      </c>
    </row>
    <row r="469" spans="1:12">
      <c r="A469" s="2" t="str">
        <f>IF($L469="","",IF(INDEX(tblRegistros[Data],$L469)&gt;$D$4,"",IFERROR(INDEX(tblRegistros[Data],$L469),"")))</f>
        <v/>
      </c>
      <c r="B469" t="str">
        <f>IF($L469="","",IF(INDEX(tblRegistros[Data],$L469)&gt;$D$4,"",IFERROR(INDEX(tblRegistros[Projeto],$L469),"")))</f>
        <v/>
      </c>
      <c r="C469" t="str">
        <f>IF($L469="","",IF(INDEX(tblRegistros[Data],$L469)&gt;$D$4,"",IFERROR(INDEX(tblRegistros[Atividade],$L469),"")))</f>
        <v/>
      </c>
      <c r="D469" s="4" t="str">
        <f>IF($L469="","",IF(INDEX(tblRegistros[Data],$L469)&gt;$D$4,"",IFERROR(INDEX(tblRegistros[Início],$L469),"")))</f>
        <v/>
      </c>
      <c r="E469" s="4" t="str">
        <f>IF($L469="","",IF(INDEX(tblRegistros[Data],$L469)&gt;$D$4,"",IFERROR(IF(INDEX(tblRegistros[Status],$L469)="EM ABERTO","",INDEX(tblRegistros[Fim],$L469)),"")))</f>
        <v/>
      </c>
      <c r="F469" t="str">
        <f>IF($L469="","",IF(INDEX(tblRegistros[Data],$L469)&gt;$D$4,"",IFERROR(IF(INDEX(tblRegistros[Status],$L469)="EM ABERTO","",INDEX(tblRegistros[Horas],$L469)),"")))</f>
        <v/>
      </c>
      <c r="G469" t="str">
        <f>IF($L469="","",IF(INDEX(tblRegistros[Data],$L469)&gt;$D$4,"",IFERROR(INDEX(tblRegistros[Base],$L469),"")))</f>
        <v/>
      </c>
      <c r="H469" s="3" t="str">
        <f>IF($L469="","",IF(INDEX(tblRegistros[Data],$L469)&gt;$D$4,"",IFERROR(INDEX(tblRegistros[Taxa aplicada],$L469),"")))</f>
        <v/>
      </c>
      <c r="I469" s="3" t="str">
        <f>IF($L469="","",IF(INDEX(tblRegistros[Data],$L469)&gt;$D$4,"",IFERROR(IF(INDEX(tblRegistros[Status],$L469)="EM ABERTO","",INDEX(tblRegistros[Valor],$L469)),"")))</f>
        <v/>
      </c>
      <c r="J469" t="str">
        <f>IF($L469="","",IF(INDEX(tblRegistros[Data],$L469)&gt;$D$4,"",IFERROR(INDEX(tblRegistros[Status],$L469),"")))</f>
        <v/>
      </c>
      <c r="K469" t="str">
        <f>IF($L469="","",IF(INDEX(tblRegistros[Data],$L469)&gt;$D$4,"",IFERROR(INDEX(tblRegistros[Observação],$L469),"")))</f>
        <v/>
      </c>
      <c r="L469" s="16" t="str">
        <f>IFERROR(MATCH($B$3*100000+COUNTIFS(tblRegistros[ID],$B$3,tblRegistros[Data],"&lt;"&amp;$B$4)+ROWS($L$10:L469),tblRegistros[Chave do cartão],0),"")</f>
        <v/>
      </c>
    </row>
    <row r="470" spans="1:12">
      <c r="A470" s="2" t="str">
        <f>IF($L470="","",IF(INDEX(tblRegistros[Data],$L470)&gt;$D$4,"",IFERROR(INDEX(tblRegistros[Data],$L470),"")))</f>
        <v/>
      </c>
      <c r="B470" t="str">
        <f>IF($L470="","",IF(INDEX(tblRegistros[Data],$L470)&gt;$D$4,"",IFERROR(INDEX(tblRegistros[Projeto],$L470),"")))</f>
        <v/>
      </c>
      <c r="C470" t="str">
        <f>IF($L470="","",IF(INDEX(tblRegistros[Data],$L470)&gt;$D$4,"",IFERROR(INDEX(tblRegistros[Atividade],$L470),"")))</f>
        <v/>
      </c>
      <c r="D470" s="4" t="str">
        <f>IF($L470="","",IF(INDEX(tblRegistros[Data],$L470)&gt;$D$4,"",IFERROR(INDEX(tblRegistros[Início],$L470),"")))</f>
        <v/>
      </c>
      <c r="E470" s="4" t="str">
        <f>IF($L470="","",IF(INDEX(tblRegistros[Data],$L470)&gt;$D$4,"",IFERROR(IF(INDEX(tblRegistros[Status],$L470)="EM ABERTO","",INDEX(tblRegistros[Fim],$L470)),"")))</f>
        <v/>
      </c>
      <c r="F470" t="str">
        <f>IF($L470="","",IF(INDEX(tblRegistros[Data],$L470)&gt;$D$4,"",IFERROR(IF(INDEX(tblRegistros[Status],$L470)="EM ABERTO","",INDEX(tblRegistros[Horas],$L470)),"")))</f>
        <v/>
      </c>
      <c r="G470" t="str">
        <f>IF($L470="","",IF(INDEX(tblRegistros[Data],$L470)&gt;$D$4,"",IFERROR(INDEX(tblRegistros[Base],$L470),"")))</f>
        <v/>
      </c>
      <c r="H470" s="3" t="str">
        <f>IF($L470="","",IF(INDEX(tblRegistros[Data],$L470)&gt;$D$4,"",IFERROR(INDEX(tblRegistros[Taxa aplicada],$L470),"")))</f>
        <v/>
      </c>
      <c r="I470" s="3" t="str">
        <f>IF($L470="","",IF(INDEX(tblRegistros[Data],$L470)&gt;$D$4,"",IFERROR(IF(INDEX(tblRegistros[Status],$L470)="EM ABERTO","",INDEX(tblRegistros[Valor],$L470)),"")))</f>
        <v/>
      </c>
      <c r="J470" t="str">
        <f>IF($L470="","",IF(INDEX(tblRegistros[Data],$L470)&gt;$D$4,"",IFERROR(INDEX(tblRegistros[Status],$L470),"")))</f>
        <v/>
      </c>
      <c r="K470" t="str">
        <f>IF($L470="","",IF(INDEX(tblRegistros[Data],$L470)&gt;$D$4,"",IFERROR(INDEX(tblRegistros[Observação],$L470),"")))</f>
        <v/>
      </c>
      <c r="L470" s="16" t="str">
        <f>IFERROR(MATCH($B$3*100000+COUNTIFS(tblRegistros[ID],$B$3,tblRegistros[Data],"&lt;"&amp;$B$4)+ROWS($L$10:L470),tblRegistros[Chave do cartão],0),"")</f>
        <v/>
      </c>
    </row>
    <row r="471" spans="1:12">
      <c r="A471" s="2" t="str">
        <f>IF($L471="","",IF(INDEX(tblRegistros[Data],$L471)&gt;$D$4,"",IFERROR(INDEX(tblRegistros[Data],$L471),"")))</f>
        <v/>
      </c>
      <c r="B471" t="str">
        <f>IF($L471="","",IF(INDEX(tblRegistros[Data],$L471)&gt;$D$4,"",IFERROR(INDEX(tblRegistros[Projeto],$L471),"")))</f>
        <v/>
      </c>
      <c r="C471" t="str">
        <f>IF($L471="","",IF(INDEX(tblRegistros[Data],$L471)&gt;$D$4,"",IFERROR(INDEX(tblRegistros[Atividade],$L471),"")))</f>
        <v/>
      </c>
      <c r="D471" s="4" t="str">
        <f>IF($L471="","",IF(INDEX(tblRegistros[Data],$L471)&gt;$D$4,"",IFERROR(INDEX(tblRegistros[Início],$L471),"")))</f>
        <v/>
      </c>
      <c r="E471" s="4" t="str">
        <f>IF($L471="","",IF(INDEX(tblRegistros[Data],$L471)&gt;$D$4,"",IFERROR(IF(INDEX(tblRegistros[Status],$L471)="EM ABERTO","",INDEX(tblRegistros[Fim],$L471)),"")))</f>
        <v/>
      </c>
      <c r="F471" t="str">
        <f>IF($L471="","",IF(INDEX(tblRegistros[Data],$L471)&gt;$D$4,"",IFERROR(IF(INDEX(tblRegistros[Status],$L471)="EM ABERTO","",INDEX(tblRegistros[Horas],$L471)),"")))</f>
        <v/>
      </c>
      <c r="G471" t="str">
        <f>IF($L471="","",IF(INDEX(tblRegistros[Data],$L471)&gt;$D$4,"",IFERROR(INDEX(tblRegistros[Base],$L471),"")))</f>
        <v/>
      </c>
      <c r="H471" s="3" t="str">
        <f>IF($L471="","",IF(INDEX(tblRegistros[Data],$L471)&gt;$D$4,"",IFERROR(INDEX(tblRegistros[Taxa aplicada],$L471),"")))</f>
        <v/>
      </c>
      <c r="I471" s="3" t="str">
        <f>IF($L471="","",IF(INDEX(tblRegistros[Data],$L471)&gt;$D$4,"",IFERROR(IF(INDEX(tblRegistros[Status],$L471)="EM ABERTO","",INDEX(tblRegistros[Valor],$L471)),"")))</f>
        <v/>
      </c>
      <c r="J471" t="str">
        <f>IF($L471="","",IF(INDEX(tblRegistros[Data],$L471)&gt;$D$4,"",IFERROR(INDEX(tblRegistros[Status],$L471),"")))</f>
        <v/>
      </c>
      <c r="K471" t="str">
        <f>IF($L471="","",IF(INDEX(tblRegistros[Data],$L471)&gt;$D$4,"",IFERROR(INDEX(tblRegistros[Observação],$L471),"")))</f>
        <v/>
      </c>
      <c r="L471" s="16" t="str">
        <f>IFERROR(MATCH($B$3*100000+COUNTIFS(tblRegistros[ID],$B$3,tblRegistros[Data],"&lt;"&amp;$B$4)+ROWS($L$10:L471),tblRegistros[Chave do cartão],0),"")</f>
        <v/>
      </c>
    </row>
    <row r="472" spans="1:12">
      <c r="A472" s="2" t="str">
        <f>IF($L472="","",IF(INDEX(tblRegistros[Data],$L472)&gt;$D$4,"",IFERROR(INDEX(tblRegistros[Data],$L472),"")))</f>
        <v/>
      </c>
      <c r="B472" t="str">
        <f>IF($L472="","",IF(INDEX(tblRegistros[Data],$L472)&gt;$D$4,"",IFERROR(INDEX(tblRegistros[Projeto],$L472),"")))</f>
        <v/>
      </c>
      <c r="C472" t="str">
        <f>IF($L472="","",IF(INDEX(tblRegistros[Data],$L472)&gt;$D$4,"",IFERROR(INDEX(tblRegistros[Atividade],$L472),"")))</f>
        <v/>
      </c>
      <c r="D472" s="4" t="str">
        <f>IF($L472="","",IF(INDEX(tblRegistros[Data],$L472)&gt;$D$4,"",IFERROR(INDEX(tblRegistros[Início],$L472),"")))</f>
        <v/>
      </c>
      <c r="E472" s="4" t="str">
        <f>IF($L472="","",IF(INDEX(tblRegistros[Data],$L472)&gt;$D$4,"",IFERROR(IF(INDEX(tblRegistros[Status],$L472)="EM ABERTO","",INDEX(tblRegistros[Fim],$L472)),"")))</f>
        <v/>
      </c>
      <c r="F472" t="str">
        <f>IF($L472="","",IF(INDEX(tblRegistros[Data],$L472)&gt;$D$4,"",IFERROR(IF(INDEX(tblRegistros[Status],$L472)="EM ABERTO","",INDEX(tblRegistros[Horas],$L472)),"")))</f>
        <v/>
      </c>
      <c r="G472" t="str">
        <f>IF($L472="","",IF(INDEX(tblRegistros[Data],$L472)&gt;$D$4,"",IFERROR(INDEX(tblRegistros[Base],$L472),"")))</f>
        <v/>
      </c>
      <c r="H472" s="3" t="str">
        <f>IF($L472="","",IF(INDEX(tblRegistros[Data],$L472)&gt;$D$4,"",IFERROR(INDEX(tblRegistros[Taxa aplicada],$L472),"")))</f>
        <v/>
      </c>
      <c r="I472" s="3" t="str">
        <f>IF($L472="","",IF(INDEX(tblRegistros[Data],$L472)&gt;$D$4,"",IFERROR(IF(INDEX(tblRegistros[Status],$L472)="EM ABERTO","",INDEX(tblRegistros[Valor],$L472)),"")))</f>
        <v/>
      </c>
      <c r="J472" t="str">
        <f>IF($L472="","",IF(INDEX(tblRegistros[Data],$L472)&gt;$D$4,"",IFERROR(INDEX(tblRegistros[Status],$L472),"")))</f>
        <v/>
      </c>
      <c r="K472" t="str">
        <f>IF($L472="","",IF(INDEX(tblRegistros[Data],$L472)&gt;$D$4,"",IFERROR(INDEX(tblRegistros[Observação],$L472),"")))</f>
        <v/>
      </c>
      <c r="L472" s="16" t="str">
        <f>IFERROR(MATCH($B$3*100000+COUNTIFS(tblRegistros[ID],$B$3,tblRegistros[Data],"&lt;"&amp;$B$4)+ROWS($L$10:L472),tblRegistros[Chave do cartão],0),"")</f>
        <v/>
      </c>
    </row>
    <row r="473" spans="1:12">
      <c r="A473" s="2" t="str">
        <f>IF($L473="","",IF(INDEX(tblRegistros[Data],$L473)&gt;$D$4,"",IFERROR(INDEX(tblRegistros[Data],$L473),"")))</f>
        <v/>
      </c>
      <c r="B473" t="str">
        <f>IF($L473="","",IF(INDEX(tblRegistros[Data],$L473)&gt;$D$4,"",IFERROR(INDEX(tblRegistros[Projeto],$L473),"")))</f>
        <v/>
      </c>
      <c r="C473" t="str">
        <f>IF($L473="","",IF(INDEX(tblRegistros[Data],$L473)&gt;$D$4,"",IFERROR(INDEX(tblRegistros[Atividade],$L473),"")))</f>
        <v/>
      </c>
      <c r="D473" s="4" t="str">
        <f>IF($L473="","",IF(INDEX(tblRegistros[Data],$L473)&gt;$D$4,"",IFERROR(INDEX(tblRegistros[Início],$L473),"")))</f>
        <v/>
      </c>
      <c r="E473" s="4" t="str">
        <f>IF($L473="","",IF(INDEX(tblRegistros[Data],$L473)&gt;$D$4,"",IFERROR(IF(INDEX(tblRegistros[Status],$L473)="EM ABERTO","",INDEX(tblRegistros[Fim],$L473)),"")))</f>
        <v/>
      </c>
      <c r="F473" t="str">
        <f>IF($L473="","",IF(INDEX(tblRegistros[Data],$L473)&gt;$D$4,"",IFERROR(IF(INDEX(tblRegistros[Status],$L473)="EM ABERTO","",INDEX(tblRegistros[Horas],$L473)),"")))</f>
        <v/>
      </c>
      <c r="G473" t="str">
        <f>IF($L473="","",IF(INDEX(tblRegistros[Data],$L473)&gt;$D$4,"",IFERROR(INDEX(tblRegistros[Base],$L473),"")))</f>
        <v/>
      </c>
      <c r="H473" s="3" t="str">
        <f>IF($L473="","",IF(INDEX(tblRegistros[Data],$L473)&gt;$D$4,"",IFERROR(INDEX(tblRegistros[Taxa aplicada],$L473),"")))</f>
        <v/>
      </c>
      <c r="I473" s="3" t="str">
        <f>IF($L473="","",IF(INDEX(tblRegistros[Data],$L473)&gt;$D$4,"",IFERROR(IF(INDEX(tblRegistros[Status],$L473)="EM ABERTO","",INDEX(tblRegistros[Valor],$L473)),"")))</f>
        <v/>
      </c>
      <c r="J473" t="str">
        <f>IF($L473="","",IF(INDEX(tblRegistros[Data],$L473)&gt;$D$4,"",IFERROR(INDEX(tblRegistros[Status],$L473),"")))</f>
        <v/>
      </c>
      <c r="K473" t="str">
        <f>IF($L473="","",IF(INDEX(tblRegistros[Data],$L473)&gt;$D$4,"",IFERROR(INDEX(tblRegistros[Observação],$L473),"")))</f>
        <v/>
      </c>
      <c r="L473" s="16" t="str">
        <f>IFERROR(MATCH($B$3*100000+COUNTIFS(tblRegistros[ID],$B$3,tblRegistros[Data],"&lt;"&amp;$B$4)+ROWS($L$10:L473),tblRegistros[Chave do cartão],0),"")</f>
        <v/>
      </c>
    </row>
    <row r="474" spans="1:12">
      <c r="A474" s="2" t="str">
        <f>IF($L474="","",IF(INDEX(tblRegistros[Data],$L474)&gt;$D$4,"",IFERROR(INDEX(tblRegistros[Data],$L474),"")))</f>
        <v/>
      </c>
      <c r="B474" t="str">
        <f>IF($L474="","",IF(INDEX(tblRegistros[Data],$L474)&gt;$D$4,"",IFERROR(INDEX(tblRegistros[Projeto],$L474),"")))</f>
        <v/>
      </c>
      <c r="C474" t="str">
        <f>IF($L474="","",IF(INDEX(tblRegistros[Data],$L474)&gt;$D$4,"",IFERROR(INDEX(tblRegistros[Atividade],$L474),"")))</f>
        <v/>
      </c>
      <c r="D474" s="4" t="str">
        <f>IF($L474="","",IF(INDEX(tblRegistros[Data],$L474)&gt;$D$4,"",IFERROR(INDEX(tblRegistros[Início],$L474),"")))</f>
        <v/>
      </c>
      <c r="E474" s="4" t="str">
        <f>IF($L474="","",IF(INDEX(tblRegistros[Data],$L474)&gt;$D$4,"",IFERROR(IF(INDEX(tblRegistros[Status],$L474)="EM ABERTO","",INDEX(tblRegistros[Fim],$L474)),"")))</f>
        <v/>
      </c>
      <c r="F474" t="str">
        <f>IF($L474="","",IF(INDEX(tblRegistros[Data],$L474)&gt;$D$4,"",IFERROR(IF(INDEX(tblRegistros[Status],$L474)="EM ABERTO","",INDEX(tblRegistros[Horas],$L474)),"")))</f>
        <v/>
      </c>
      <c r="G474" t="str">
        <f>IF($L474="","",IF(INDEX(tblRegistros[Data],$L474)&gt;$D$4,"",IFERROR(INDEX(tblRegistros[Base],$L474),"")))</f>
        <v/>
      </c>
      <c r="H474" s="3" t="str">
        <f>IF($L474="","",IF(INDEX(tblRegistros[Data],$L474)&gt;$D$4,"",IFERROR(INDEX(tblRegistros[Taxa aplicada],$L474),"")))</f>
        <v/>
      </c>
      <c r="I474" s="3" t="str">
        <f>IF($L474="","",IF(INDEX(tblRegistros[Data],$L474)&gt;$D$4,"",IFERROR(IF(INDEX(tblRegistros[Status],$L474)="EM ABERTO","",INDEX(tblRegistros[Valor],$L474)),"")))</f>
        <v/>
      </c>
      <c r="J474" t="str">
        <f>IF($L474="","",IF(INDEX(tblRegistros[Data],$L474)&gt;$D$4,"",IFERROR(INDEX(tblRegistros[Status],$L474),"")))</f>
        <v/>
      </c>
      <c r="K474" t="str">
        <f>IF($L474="","",IF(INDEX(tblRegistros[Data],$L474)&gt;$D$4,"",IFERROR(INDEX(tblRegistros[Observação],$L474),"")))</f>
        <v/>
      </c>
      <c r="L474" s="16" t="str">
        <f>IFERROR(MATCH($B$3*100000+COUNTIFS(tblRegistros[ID],$B$3,tblRegistros[Data],"&lt;"&amp;$B$4)+ROWS($L$10:L474),tblRegistros[Chave do cartão],0),"")</f>
        <v/>
      </c>
    </row>
    <row r="475" spans="1:12">
      <c r="A475" s="2" t="str">
        <f>IF($L475="","",IF(INDEX(tblRegistros[Data],$L475)&gt;$D$4,"",IFERROR(INDEX(tblRegistros[Data],$L475),"")))</f>
        <v/>
      </c>
      <c r="B475" t="str">
        <f>IF($L475="","",IF(INDEX(tblRegistros[Data],$L475)&gt;$D$4,"",IFERROR(INDEX(tblRegistros[Projeto],$L475),"")))</f>
        <v/>
      </c>
      <c r="C475" t="str">
        <f>IF($L475="","",IF(INDEX(tblRegistros[Data],$L475)&gt;$D$4,"",IFERROR(INDEX(tblRegistros[Atividade],$L475),"")))</f>
        <v/>
      </c>
      <c r="D475" s="4" t="str">
        <f>IF($L475="","",IF(INDEX(tblRegistros[Data],$L475)&gt;$D$4,"",IFERROR(INDEX(tblRegistros[Início],$L475),"")))</f>
        <v/>
      </c>
      <c r="E475" s="4" t="str">
        <f>IF($L475="","",IF(INDEX(tblRegistros[Data],$L475)&gt;$D$4,"",IFERROR(IF(INDEX(tblRegistros[Status],$L475)="EM ABERTO","",INDEX(tblRegistros[Fim],$L475)),"")))</f>
        <v/>
      </c>
      <c r="F475" t="str">
        <f>IF($L475="","",IF(INDEX(tblRegistros[Data],$L475)&gt;$D$4,"",IFERROR(IF(INDEX(tblRegistros[Status],$L475)="EM ABERTO","",INDEX(tblRegistros[Horas],$L475)),"")))</f>
        <v/>
      </c>
      <c r="G475" t="str">
        <f>IF($L475="","",IF(INDEX(tblRegistros[Data],$L475)&gt;$D$4,"",IFERROR(INDEX(tblRegistros[Base],$L475),"")))</f>
        <v/>
      </c>
      <c r="H475" s="3" t="str">
        <f>IF($L475="","",IF(INDEX(tblRegistros[Data],$L475)&gt;$D$4,"",IFERROR(INDEX(tblRegistros[Taxa aplicada],$L475),"")))</f>
        <v/>
      </c>
      <c r="I475" s="3" t="str">
        <f>IF($L475="","",IF(INDEX(tblRegistros[Data],$L475)&gt;$D$4,"",IFERROR(IF(INDEX(tblRegistros[Status],$L475)="EM ABERTO","",INDEX(tblRegistros[Valor],$L475)),"")))</f>
        <v/>
      </c>
      <c r="J475" t="str">
        <f>IF($L475="","",IF(INDEX(tblRegistros[Data],$L475)&gt;$D$4,"",IFERROR(INDEX(tblRegistros[Status],$L475),"")))</f>
        <v/>
      </c>
      <c r="K475" t="str">
        <f>IF($L475="","",IF(INDEX(tblRegistros[Data],$L475)&gt;$D$4,"",IFERROR(INDEX(tblRegistros[Observação],$L475),"")))</f>
        <v/>
      </c>
      <c r="L475" s="16" t="str">
        <f>IFERROR(MATCH($B$3*100000+COUNTIFS(tblRegistros[ID],$B$3,tblRegistros[Data],"&lt;"&amp;$B$4)+ROWS($L$10:L475),tblRegistros[Chave do cartão],0),"")</f>
        <v/>
      </c>
    </row>
    <row r="476" spans="1:12">
      <c r="A476" s="2" t="str">
        <f>IF($L476="","",IF(INDEX(tblRegistros[Data],$L476)&gt;$D$4,"",IFERROR(INDEX(tblRegistros[Data],$L476),"")))</f>
        <v/>
      </c>
      <c r="B476" t="str">
        <f>IF($L476="","",IF(INDEX(tblRegistros[Data],$L476)&gt;$D$4,"",IFERROR(INDEX(tblRegistros[Projeto],$L476),"")))</f>
        <v/>
      </c>
      <c r="C476" t="str">
        <f>IF($L476="","",IF(INDEX(tblRegistros[Data],$L476)&gt;$D$4,"",IFERROR(INDEX(tblRegistros[Atividade],$L476),"")))</f>
        <v/>
      </c>
      <c r="D476" s="4" t="str">
        <f>IF($L476="","",IF(INDEX(tblRegistros[Data],$L476)&gt;$D$4,"",IFERROR(INDEX(tblRegistros[Início],$L476),"")))</f>
        <v/>
      </c>
      <c r="E476" s="4" t="str">
        <f>IF($L476="","",IF(INDEX(tblRegistros[Data],$L476)&gt;$D$4,"",IFERROR(IF(INDEX(tblRegistros[Status],$L476)="EM ABERTO","",INDEX(tblRegistros[Fim],$L476)),"")))</f>
        <v/>
      </c>
      <c r="F476" t="str">
        <f>IF($L476="","",IF(INDEX(tblRegistros[Data],$L476)&gt;$D$4,"",IFERROR(IF(INDEX(tblRegistros[Status],$L476)="EM ABERTO","",INDEX(tblRegistros[Horas],$L476)),"")))</f>
        <v/>
      </c>
      <c r="G476" t="str">
        <f>IF($L476="","",IF(INDEX(tblRegistros[Data],$L476)&gt;$D$4,"",IFERROR(INDEX(tblRegistros[Base],$L476),"")))</f>
        <v/>
      </c>
      <c r="H476" s="3" t="str">
        <f>IF($L476="","",IF(INDEX(tblRegistros[Data],$L476)&gt;$D$4,"",IFERROR(INDEX(tblRegistros[Taxa aplicada],$L476),"")))</f>
        <v/>
      </c>
      <c r="I476" s="3" t="str">
        <f>IF($L476="","",IF(INDEX(tblRegistros[Data],$L476)&gt;$D$4,"",IFERROR(IF(INDEX(tblRegistros[Status],$L476)="EM ABERTO","",INDEX(tblRegistros[Valor],$L476)),"")))</f>
        <v/>
      </c>
      <c r="J476" t="str">
        <f>IF($L476="","",IF(INDEX(tblRegistros[Data],$L476)&gt;$D$4,"",IFERROR(INDEX(tblRegistros[Status],$L476),"")))</f>
        <v/>
      </c>
      <c r="K476" t="str">
        <f>IF($L476="","",IF(INDEX(tblRegistros[Data],$L476)&gt;$D$4,"",IFERROR(INDEX(tblRegistros[Observação],$L476),"")))</f>
        <v/>
      </c>
      <c r="L476" s="16" t="str">
        <f>IFERROR(MATCH($B$3*100000+COUNTIFS(tblRegistros[ID],$B$3,tblRegistros[Data],"&lt;"&amp;$B$4)+ROWS($L$10:L476),tblRegistros[Chave do cartão],0),"")</f>
        <v/>
      </c>
    </row>
    <row r="477" spans="1:12">
      <c r="A477" s="2" t="str">
        <f>IF($L477="","",IF(INDEX(tblRegistros[Data],$L477)&gt;$D$4,"",IFERROR(INDEX(tblRegistros[Data],$L477),"")))</f>
        <v/>
      </c>
      <c r="B477" t="str">
        <f>IF($L477="","",IF(INDEX(tblRegistros[Data],$L477)&gt;$D$4,"",IFERROR(INDEX(tblRegistros[Projeto],$L477),"")))</f>
        <v/>
      </c>
      <c r="C477" t="str">
        <f>IF($L477="","",IF(INDEX(tblRegistros[Data],$L477)&gt;$D$4,"",IFERROR(INDEX(tblRegistros[Atividade],$L477),"")))</f>
        <v/>
      </c>
      <c r="D477" s="4" t="str">
        <f>IF($L477="","",IF(INDEX(tblRegistros[Data],$L477)&gt;$D$4,"",IFERROR(INDEX(tblRegistros[Início],$L477),"")))</f>
        <v/>
      </c>
      <c r="E477" s="4" t="str">
        <f>IF($L477="","",IF(INDEX(tblRegistros[Data],$L477)&gt;$D$4,"",IFERROR(IF(INDEX(tblRegistros[Status],$L477)="EM ABERTO","",INDEX(tblRegistros[Fim],$L477)),"")))</f>
        <v/>
      </c>
      <c r="F477" t="str">
        <f>IF($L477="","",IF(INDEX(tblRegistros[Data],$L477)&gt;$D$4,"",IFERROR(IF(INDEX(tblRegistros[Status],$L477)="EM ABERTO","",INDEX(tblRegistros[Horas],$L477)),"")))</f>
        <v/>
      </c>
      <c r="G477" t="str">
        <f>IF($L477="","",IF(INDEX(tblRegistros[Data],$L477)&gt;$D$4,"",IFERROR(INDEX(tblRegistros[Base],$L477),"")))</f>
        <v/>
      </c>
      <c r="H477" s="3" t="str">
        <f>IF($L477="","",IF(INDEX(tblRegistros[Data],$L477)&gt;$D$4,"",IFERROR(INDEX(tblRegistros[Taxa aplicada],$L477),"")))</f>
        <v/>
      </c>
      <c r="I477" s="3" t="str">
        <f>IF($L477="","",IF(INDEX(tblRegistros[Data],$L477)&gt;$D$4,"",IFERROR(IF(INDEX(tblRegistros[Status],$L477)="EM ABERTO","",INDEX(tblRegistros[Valor],$L477)),"")))</f>
        <v/>
      </c>
      <c r="J477" t="str">
        <f>IF($L477="","",IF(INDEX(tblRegistros[Data],$L477)&gt;$D$4,"",IFERROR(INDEX(tblRegistros[Status],$L477),"")))</f>
        <v/>
      </c>
      <c r="K477" t="str">
        <f>IF($L477="","",IF(INDEX(tblRegistros[Data],$L477)&gt;$D$4,"",IFERROR(INDEX(tblRegistros[Observação],$L477),"")))</f>
        <v/>
      </c>
      <c r="L477" s="16" t="str">
        <f>IFERROR(MATCH($B$3*100000+COUNTIFS(tblRegistros[ID],$B$3,tblRegistros[Data],"&lt;"&amp;$B$4)+ROWS($L$10:L477),tblRegistros[Chave do cartão],0),"")</f>
        <v/>
      </c>
    </row>
    <row r="478" spans="1:12">
      <c r="A478" s="2" t="str">
        <f>IF($L478="","",IF(INDEX(tblRegistros[Data],$L478)&gt;$D$4,"",IFERROR(INDEX(tblRegistros[Data],$L478),"")))</f>
        <v/>
      </c>
      <c r="B478" t="str">
        <f>IF($L478="","",IF(INDEX(tblRegistros[Data],$L478)&gt;$D$4,"",IFERROR(INDEX(tblRegistros[Projeto],$L478),"")))</f>
        <v/>
      </c>
      <c r="C478" t="str">
        <f>IF($L478="","",IF(INDEX(tblRegistros[Data],$L478)&gt;$D$4,"",IFERROR(INDEX(tblRegistros[Atividade],$L478),"")))</f>
        <v/>
      </c>
      <c r="D478" s="4" t="str">
        <f>IF($L478="","",IF(INDEX(tblRegistros[Data],$L478)&gt;$D$4,"",IFERROR(INDEX(tblRegistros[Início],$L478),"")))</f>
        <v/>
      </c>
      <c r="E478" s="4" t="str">
        <f>IF($L478="","",IF(INDEX(tblRegistros[Data],$L478)&gt;$D$4,"",IFERROR(IF(INDEX(tblRegistros[Status],$L478)="EM ABERTO","",INDEX(tblRegistros[Fim],$L478)),"")))</f>
        <v/>
      </c>
      <c r="F478" t="str">
        <f>IF($L478="","",IF(INDEX(tblRegistros[Data],$L478)&gt;$D$4,"",IFERROR(IF(INDEX(tblRegistros[Status],$L478)="EM ABERTO","",INDEX(tblRegistros[Horas],$L478)),"")))</f>
        <v/>
      </c>
      <c r="G478" t="str">
        <f>IF($L478="","",IF(INDEX(tblRegistros[Data],$L478)&gt;$D$4,"",IFERROR(INDEX(tblRegistros[Base],$L478),"")))</f>
        <v/>
      </c>
      <c r="H478" s="3" t="str">
        <f>IF($L478="","",IF(INDEX(tblRegistros[Data],$L478)&gt;$D$4,"",IFERROR(INDEX(tblRegistros[Taxa aplicada],$L478),"")))</f>
        <v/>
      </c>
      <c r="I478" s="3" t="str">
        <f>IF($L478="","",IF(INDEX(tblRegistros[Data],$L478)&gt;$D$4,"",IFERROR(IF(INDEX(tblRegistros[Status],$L478)="EM ABERTO","",INDEX(tblRegistros[Valor],$L478)),"")))</f>
        <v/>
      </c>
      <c r="J478" t="str">
        <f>IF($L478="","",IF(INDEX(tblRegistros[Data],$L478)&gt;$D$4,"",IFERROR(INDEX(tblRegistros[Status],$L478),"")))</f>
        <v/>
      </c>
      <c r="K478" t="str">
        <f>IF($L478="","",IF(INDEX(tblRegistros[Data],$L478)&gt;$D$4,"",IFERROR(INDEX(tblRegistros[Observação],$L478),"")))</f>
        <v/>
      </c>
      <c r="L478" s="16" t="str">
        <f>IFERROR(MATCH($B$3*100000+COUNTIFS(tblRegistros[ID],$B$3,tblRegistros[Data],"&lt;"&amp;$B$4)+ROWS($L$10:L478),tblRegistros[Chave do cartão],0),"")</f>
        <v/>
      </c>
    </row>
    <row r="479" spans="1:12">
      <c r="A479" s="2" t="str">
        <f>IF($L479="","",IF(INDEX(tblRegistros[Data],$L479)&gt;$D$4,"",IFERROR(INDEX(tblRegistros[Data],$L479),"")))</f>
        <v/>
      </c>
      <c r="B479" t="str">
        <f>IF($L479="","",IF(INDEX(tblRegistros[Data],$L479)&gt;$D$4,"",IFERROR(INDEX(tblRegistros[Projeto],$L479),"")))</f>
        <v/>
      </c>
      <c r="C479" t="str">
        <f>IF($L479="","",IF(INDEX(tblRegistros[Data],$L479)&gt;$D$4,"",IFERROR(INDEX(tblRegistros[Atividade],$L479),"")))</f>
        <v/>
      </c>
      <c r="D479" s="4" t="str">
        <f>IF($L479="","",IF(INDEX(tblRegistros[Data],$L479)&gt;$D$4,"",IFERROR(INDEX(tblRegistros[Início],$L479),"")))</f>
        <v/>
      </c>
      <c r="E479" s="4" t="str">
        <f>IF($L479="","",IF(INDEX(tblRegistros[Data],$L479)&gt;$D$4,"",IFERROR(IF(INDEX(tblRegistros[Status],$L479)="EM ABERTO","",INDEX(tblRegistros[Fim],$L479)),"")))</f>
        <v/>
      </c>
      <c r="F479" t="str">
        <f>IF($L479="","",IF(INDEX(tblRegistros[Data],$L479)&gt;$D$4,"",IFERROR(IF(INDEX(tblRegistros[Status],$L479)="EM ABERTO","",INDEX(tblRegistros[Horas],$L479)),"")))</f>
        <v/>
      </c>
      <c r="G479" t="str">
        <f>IF($L479="","",IF(INDEX(tblRegistros[Data],$L479)&gt;$D$4,"",IFERROR(INDEX(tblRegistros[Base],$L479),"")))</f>
        <v/>
      </c>
      <c r="H479" s="3" t="str">
        <f>IF($L479="","",IF(INDEX(tblRegistros[Data],$L479)&gt;$D$4,"",IFERROR(INDEX(tblRegistros[Taxa aplicada],$L479),"")))</f>
        <v/>
      </c>
      <c r="I479" s="3" t="str">
        <f>IF($L479="","",IF(INDEX(tblRegistros[Data],$L479)&gt;$D$4,"",IFERROR(IF(INDEX(tblRegistros[Status],$L479)="EM ABERTO","",INDEX(tblRegistros[Valor],$L479)),"")))</f>
        <v/>
      </c>
      <c r="J479" t="str">
        <f>IF($L479="","",IF(INDEX(tblRegistros[Data],$L479)&gt;$D$4,"",IFERROR(INDEX(tblRegistros[Status],$L479),"")))</f>
        <v/>
      </c>
      <c r="K479" t="str">
        <f>IF($L479="","",IF(INDEX(tblRegistros[Data],$L479)&gt;$D$4,"",IFERROR(INDEX(tblRegistros[Observação],$L479),"")))</f>
        <v/>
      </c>
      <c r="L479" s="16" t="str">
        <f>IFERROR(MATCH($B$3*100000+COUNTIFS(tblRegistros[ID],$B$3,tblRegistros[Data],"&lt;"&amp;$B$4)+ROWS($L$10:L479),tblRegistros[Chave do cartão],0),"")</f>
        <v/>
      </c>
    </row>
    <row r="480" spans="1:12">
      <c r="A480" s="2" t="str">
        <f>IF($L480="","",IF(INDEX(tblRegistros[Data],$L480)&gt;$D$4,"",IFERROR(INDEX(tblRegistros[Data],$L480),"")))</f>
        <v/>
      </c>
      <c r="B480" t="str">
        <f>IF($L480="","",IF(INDEX(tblRegistros[Data],$L480)&gt;$D$4,"",IFERROR(INDEX(tblRegistros[Projeto],$L480),"")))</f>
        <v/>
      </c>
      <c r="C480" t="str">
        <f>IF($L480="","",IF(INDEX(tblRegistros[Data],$L480)&gt;$D$4,"",IFERROR(INDEX(tblRegistros[Atividade],$L480),"")))</f>
        <v/>
      </c>
      <c r="D480" s="4" t="str">
        <f>IF($L480="","",IF(INDEX(tblRegistros[Data],$L480)&gt;$D$4,"",IFERROR(INDEX(tblRegistros[Início],$L480),"")))</f>
        <v/>
      </c>
      <c r="E480" s="4" t="str">
        <f>IF($L480="","",IF(INDEX(tblRegistros[Data],$L480)&gt;$D$4,"",IFERROR(IF(INDEX(tblRegistros[Status],$L480)="EM ABERTO","",INDEX(tblRegistros[Fim],$L480)),"")))</f>
        <v/>
      </c>
      <c r="F480" t="str">
        <f>IF($L480="","",IF(INDEX(tblRegistros[Data],$L480)&gt;$D$4,"",IFERROR(IF(INDEX(tblRegistros[Status],$L480)="EM ABERTO","",INDEX(tblRegistros[Horas],$L480)),"")))</f>
        <v/>
      </c>
      <c r="G480" t="str">
        <f>IF($L480="","",IF(INDEX(tblRegistros[Data],$L480)&gt;$D$4,"",IFERROR(INDEX(tblRegistros[Base],$L480),"")))</f>
        <v/>
      </c>
      <c r="H480" s="3" t="str">
        <f>IF($L480="","",IF(INDEX(tblRegistros[Data],$L480)&gt;$D$4,"",IFERROR(INDEX(tblRegistros[Taxa aplicada],$L480),"")))</f>
        <v/>
      </c>
      <c r="I480" s="3" t="str">
        <f>IF($L480="","",IF(INDEX(tblRegistros[Data],$L480)&gt;$D$4,"",IFERROR(IF(INDEX(tblRegistros[Status],$L480)="EM ABERTO","",INDEX(tblRegistros[Valor],$L480)),"")))</f>
        <v/>
      </c>
      <c r="J480" t="str">
        <f>IF($L480="","",IF(INDEX(tblRegistros[Data],$L480)&gt;$D$4,"",IFERROR(INDEX(tblRegistros[Status],$L480),"")))</f>
        <v/>
      </c>
      <c r="K480" t="str">
        <f>IF($L480="","",IF(INDEX(tblRegistros[Data],$L480)&gt;$D$4,"",IFERROR(INDEX(tblRegistros[Observação],$L480),"")))</f>
        <v/>
      </c>
      <c r="L480" s="16" t="str">
        <f>IFERROR(MATCH($B$3*100000+COUNTIFS(tblRegistros[ID],$B$3,tblRegistros[Data],"&lt;"&amp;$B$4)+ROWS($L$10:L480),tblRegistros[Chave do cartão],0),"")</f>
        <v/>
      </c>
    </row>
    <row r="481" spans="1:12">
      <c r="A481" s="2" t="str">
        <f>IF($L481="","",IF(INDEX(tblRegistros[Data],$L481)&gt;$D$4,"",IFERROR(INDEX(tblRegistros[Data],$L481),"")))</f>
        <v/>
      </c>
      <c r="B481" t="str">
        <f>IF($L481="","",IF(INDEX(tblRegistros[Data],$L481)&gt;$D$4,"",IFERROR(INDEX(tblRegistros[Projeto],$L481),"")))</f>
        <v/>
      </c>
      <c r="C481" t="str">
        <f>IF($L481="","",IF(INDEX(tblRegistros[Data],$L481)&gt;$D$4,"",IFERROR(INDEX(tblRegistros[Atividade],$L481),"")))</f>
        <v/>
      </c>
      <c r="D481" s="4" t="str">
        <f>IF($L481="","",IF(INDEX(tblRegistros[Data],$L481)&gt;$D$4,"",IFERROR(INDEX(tblRegistros[Início],$L481),"")))</f>
        <v/>
      </c>
      <c r="E481" s="4" t="str">
        <f>IF($L481="","",IF(INDEX(tblRegistros[Data],$L481)&gt;$D$4,"",IFERROR(IF(INDEX(tblRegistros[Status],$L481)="EM ABERTO","",INDEX(tblRegistros[Fim],$L481)),"")))</f>
        <v/>
      </c>
      <c r="F481" t="str">
        <f>IF($L481="","",IF(INDEX(tblRegistros[Data],$L481)&gt;$D$4,"",IFERROR(IF(INDEX(tblRegistros[Status],$L481)="EM ABERTO","",INDEX(tblRegistros[Horas],$L481)),"")))</f>
        <v/>
      </c>
      <c r="G481" t="str">
        <f>IF($L481="","",IF(INDEX(tblRegistros[Data],$L481)&gt;$D$4,"",IFERROR(INDEX(tblRegistros[Base],$L481),"")))</f>
        <v/>
      </c>
      <c r="H481" s="3" t="str">
        <f>IF($L481="","",IF(INDEX(tblRegistros[Data],$L481)&gt;$D$4,"",IFERROR(INDEX(tblRegistros[Taxa aplicada],$L481),"")))</f>
        <v/>
      </c>
      <c r="I481" s="3" t="str">
        <f>IF($L481="","",IF(INDEX(tblRegistros[Data],$L481)&gt;$D$4,"",IFERROR(IF(INDEX(tblRegistros[Status],$L481)="EM ABERTO","",INDEX(tblRegistros[Valor],$L481)),"")))</f>
        <v/>
      </c>
      <c r="J481" t="str">
        <f>IF($L481="","",IF(INDEX(tblRegistros[Data],$L481)&gt;$D$4,"",IFERROR(INDEX(tblRegistros[Status],$L481),"")))</f>
        <v/>
      </c>
      <c r="K481" t="str">
        <f>IF($L481="","",IF(INDEX(tblRegistros[Data],$L481)&gt;$D$4,"",IFERROR(INDEX(tblRegistros[Observação],$L481),"")))</f>
        <v/>
      </c>
      <c r="L481" s="16" t="str">
        <f>IFERROR(MATCH($B$3*100000+COUNTIFS(tblRegistros[ID],$B$3,tblRegistros[Data],"&lt;"&amp;$B$4)+ROWS($L$10:L481),tblRegistros[Chave do cartão],0),"")</f>
        <v/>
      </c>
    </row>
    <row r="482" spans="1:12">
      <c r="A482" s="2" t="str">
        <f>IF($L482="","",IF(INDEX(tblRegistros[Data],$L482)&gt;$D$4,"",IFERROR(INDEX(tblRegistros[Data],$L482),"")))</f>
        <v/>
      </c>
      <c r="B482" t="str">
        <f>IF($L482="","",IF(INDEX(tblRegistros[Data],$L482)&gt;$D$4,"",IFERROR(INDEX(tblRegistros[Projeto],$L482),"")))</f>
        <v/>
      </c>
      <c r="C482" t="str">
        <f>IF($L482="","",IF(INDEX(tblRegistros[Data],$L482)&gt;$D$4,"",IFERROR(INDEX(tblRegistros[Atividade],$L482),"")))</f>
        <v/>
      </c>
      <c r="D482" s="4" t="str">
        <f>IF($L482="","",IF(INDEX(tblRegistros[Data],$L482)&gt;$D$4,"",IFERROR(INDEX(tblRegistros[Início],$L482),"")))</f>
        <v/>
      </c>
      <c r="E482" s="4" t="str">
        <f>IF($L482="","",IF(INDEX(tblRegistros[Data],$L482)&gt;$D$4,"",IFERROR(IF(INDEX(tblRegistros[Status],$L482)="EM ABERTO","",INDEX(tblRegistros[Fim],$L482)),"")))</f>
        <v/>
      </c>
      <c r="F482" t="str">
        <f>IF($L482="","",IF(INDEX(tblRegistros[Data],$L482)&gt;$D$4,"",IFERROR(IF(INDEX(tblRegistros[Status],$L482)="EM ABERTO","",INDEX(tblRegistros[Horas],$L482)),"")))</f>
        <v/>
      </c>
      <c r="G482" t="str">
        <f>IF($L482="","",IF(INDEX(tblRegistros[Data],$L482)&gt;$D$4,"",IFERROR(INDEX(tblRegistros[Base],$L482),"")))</f>
        <v/>
      </c>
      <c r="H482" s="3" t="str">
        <f>IF($L482="","",IF(INDEX(tblRegistros[Data],$L482)&gt;$D$4,"",IFERROR(INDEX(tblRegistros[Taxa aplicada],$L482),"")))</f>
        <v/>
      </c>
      <c r="I482" s="3" t="str">
        <f>IF($L482="","",IF(INDEX(tblRegistros[Data],$L482)&gt;$D$4,"",IFERROR(IF(INDEX(tblRegistros[Status],$L482)="EM ABERTO","",INDEX(tblRegistros[Valor],$L482)),"")))</f>
        <v/>
      </c>
      <c r="J482" t="str">
        <f>IF($L482="","",IF(INDEX(tblRegistros[Data],$L482)&gt;$D$4,"",IFERROR(INDEX(tblRegistros[Status],$L482),"")))</f>
        <v/>
      </c>
      <c r="K482" t="str">
        <f>IF($L482="","",IF(INDEX(tblRegistros[Data],$L482)&gt;$D$4,"",IFERROR(INDEX(tblRegistros[Observação],$L482),"")))</f>
        <v/>
      </c>
      <c r="L482" s="16" t="str">
        <f>IFERROR(MATCH($B$3*100000+COUNTIFS(tblRegistros[ID],$B$3,tblRegistros[Data],"&lt;"&amp;$B$4)+ROWS($L$10:L482),tblRegistros[Chave do cartão],0),"")</f>
        <v/>
      </c>
    </row>
    <row r="483" spans="1:12">
      <c r="A483" s="2" t="str">
        <f>IF($L483="","",IF(INDEX(tblRegistros[Data],$L483)&gt;$D$4,"",IFERROR(INDEX(tblRegistros[Data],$L483),"")))</f>
        <v/>
      </c>
      <c r="B483" t="str">
        <f>IF($L483="","",IF(INDEX(tblRegistros[Data],$L483)&gt;$D$4,"",IFERROR(INDEX(tblRegistros[Projeto],$L483),"")))</f>
        <v/>
      </c>
      <c r="C483" t="str">
        <f>IF($L483="","",IF(INDEX(tblRegistros[Data],$L483)&gt;$D$4,"",IFERROR(INDEX(tblRegistros[Atividade],$L483),"")))</f>
        <v/>
      </c>
      <c r="D483" s="4" t="str">
        <f>IF($L483="","",IF(INDEX(tblRegistros[Data],$L483)&gt;$D$4,"",IFERROR(INDEX(tblRegistros[Início],$L483),"")))</f>
        <v/>
      </c>
      <c r="E483" s="4" t="str">
        <f>IF($L483="","",IF(INDEX(tblRegistros[Data],$L483)&gt;$D$4,"",IFERROR(IF(INDEX(tblRegistros[Status],$L483)="EM ABERTO","",INDEX(tblRegistros[Fim],$L483)),"")))</f>
        <v/>
      </c>
      <c r="F483" t="str">
        <f>IF($L483="","",IF(INDEX(tblRegistros[Data],$L483)&gt;$D$4,"",IFERROR(IF(INDEX(tblRegistros[Status],$L483)="EM ABERTO","",INDEX(tblRegistros[Horas],$L483)),"")))</f>
        <v/>
      </c>
      <c r="G483" t="str">
        <f>IF($L483="","",IF(INDEX(tblRegistros[Data],$L483)&gt;$D$4,"",IFERROR(INDEX(tblRegistros[Base],$L483),"")))</f>
        <v/>
      </c>
      <c r="H483" s="3" t="str">
        <f>IF($L483="","",IF(INDEX(tblRegistros[Data],$L483)&gt;$D$4,"",IFERROR(INDEX(tblRegistros[Taxa aplicada],$L483),"")))</f>
        <v/>
      </c>
      <c r="I483" s="3" t="str">
        <f>IF($L483="","",IF(INDEX(tblRegistros[Data],$L483)&gt;$D$4,"",IFERROR(IF(INDEX(tblRegistros[Status],$L483)="EM ABERTO","",INDEX(tblRegistros[Valor],$L483)),"")))</f>
        <v/>
      </c>
      <c r="J483" t="str">
        <f>IF($L483="","",IF(INDEX(tblRegistros[Data],$L483)&gt;$D$4,"",IFERROR(INDEX(tblRegistros[Status],$L483),"")))</f>
        <v/>
      </c>
      <c r="K483" t="str">
        <f>IF($L483="","",IF(INDEX(tblRegistros[Data],$L483)&gt;$D$4,"",IFERROR(INDEX(tblRegistros[Observação],$L483),"")))</f>
        <v/>
      </c>
      <c r="L483" s="16" t="str">
        <f>IFERROR(MATCH($B$3*100000+COUNTIFS(tblRegistros[ID],$B$3,tblRegistros[Data],"&lt;"&amp;$B$4)+ROWS($L$10:L483),tblRegistros[Chave do cartão],0),"")</f>
        <v/>
      </c>
    </row>
    <row r="484" spans="1:12">
      <c r="A484" s="2" t="str">
        <f>IF($L484="","",IF(INDEX(tblRegistros[Data],$L484)&gt;$D$4,"",IFERROR(INDEX(tblRegistros[Data],$L484),"")))</f>
        <v/>
      </c>
      <c r="B484" t="str">
        <f>IF($L484="","",IF(INDEX(tblRegistros[Data],$L484)&gt;$D$4,"",IFERROR(INDEX(tblRegistros[Projeto],$L484),"")))</f>
        <v/>
      </c>
      <c r="C484" t="str">
        <f>IF($L484="","",IF(INDEX(tblRegistros[Data],$L484)&gt;$D$4,"",IFERROR(INDEX(tblRegistros[Atividade],$L484),"")))</f>
        <v/>
      </c>
      <c r="D484" s="4" t="str">
        <f>IF($L484="","",IF(INDEX(tblRegistros[Data],$L484)&gt;$D$4,"",IFERROR(INDEX(tblRegistros[Início],$L484),"")))</f>
        <v/>
      </c>
      <c r="E484" s="4" t="str">
        <f>IF($L484="","",IF(INDEX(tblRegistros[Data],$L484)&gt;$D$4,"",IFERROR(IF(INDEX(tblRegistros[Status],$L484)="EM ABERTO","",INDEX(tblRegistros[Fim],$L484)),"")))</f>
        <v/>
      </c>
      <c r="F484" t="str">
        <f>IF($L484="","",IF(INDEX(tblRegistros[Data],$L484)&gt;$D$4,"",IFERROR(IF(INDEX(tblRegistros[Status],$L484)="EM ABERTO","",INDEX(tblRegistros[Horas],$L484)),"")))</f>
        <v/>
      </c>
      <c r="G484" t="str">
        <f>IF($L484="","",IF(INDEX(tblRegistros[Data],$L484)&gt;$D$4,"",IFERROR(INDEX(tblRegistros[Base],$L484),"")))</f>
        <v/>
      </c>
      <c r="H484" s="3" t="str">
        <f>IF($L484="","",IF(INDEX(tblRegistros[Data],$L484)&gt;$D$4,"",IFERROR(INDEX(tblRegistros[Taxa aplicada],$L484),"")))</f>
        <v/>
      </c>
      <c r="I484" s="3" t="str">
        <f>IF($L484="","",IF(INDEX(tblRegistros[Data],$L484)&gt;$D$4,"",IFERROR(IF(INDEX(tblRegistros[Status],$L484)="EM ABERTO","",INDEX(tblRegistros[Valor],$L484)),"")))</f>
        <v/>
      </c>
      <c r="J484" t="str">
        <f>IF($L484="","",IF(INDEX(tblRegistros[Data],$L484)&gt;$D$4,"",IFERROR(INDEX(tblRegistros[Status],$L484),"")))</f>
        <v/>
      </c>
      <c r="K484" t="str">
        <f>IF($L484="","",IF(INDEX(tblRegistros[Data],$L484)&gt;$D$4,"",IFERROR(INDEX(tblRegistros[Observação],$L484),"")))</f>
        <v/>
      </c>
      <c r="L484" s="16" t="str">
        <f>IFERROR(MATCH($B$3*100000+COUNTIFS(tblRegistros[ID],$B$3,tblRegistros[Data],"&lt;"&amp;$B$4)+ROWS($L$10:L484),tblRegistros[Chave do cartão],0),"")</f>
        <v/>
      </c>
    </row>
    <row r="485" spans="1:12">
      <c r="A485" s="2" t="str">
        <f>IF($L485="","",IF(INDEX(tblRegistros[Data],$L485)&gt;$D$4,"",IFERROR(INDEX(tblRegistros[Data],$L485),"")))</f>
        <v/>
      </c>
      <c r="B485" t="str">
        <f>IF($L485="","",IF(INDEX(tblRegistros[Data],$L485)&gt;$D$4,"",IFERROR(INDEX(tblRegistros[Projeto],$L485),"")))</f>
        <v/>
      </c>
      <c r="C485" t="str">
        <f>IF($L485="","",IF(INDEX(tblRegistros[Data],$L485)&gt;$D$4,"",IFERROR(INDEX(tblRegistros[Atividade],$L485),"")))</f>
        <v/>
      </c>
      <c r="D485" s="4" t="str">
        <f>IF($L485="","",IF(INDEX(tblRegistros[Data],$L485)&gt;$D$4,"",IFERROR(INDEX(tblRegistros[Início],$L485),"")))</f>
        <v/>
      </c>
      <c r="E485" s="4" t="str">
        <f>IF($L485="","",IF(INDEX(tblRegistros[Data],$L485)&gt;$D$4,"",IFERROR(IF(INDEX(tblRegistros[Status],$L485)="EM ABERTO","",INDEX(tblRegistros[Fim],$L485)),"")))</f>
        <v/>
      </c>
      <c r="F485" t="str">
        <f>IF($L485="","",IF(INDEX(tblRegistros[Data],$L485)&gt;$D$4,"",IFERROR(IF(INDEX(tblRegistros[Status],$L485)="EM ABERTO","",INDEX(tblRegistros[Horas],$L485)),"")))</f>
        <v/>
      </c>
      <c r="G485" t="str">
        <f>IF($L485="","",IF(INDEX(tblRegistros[Data],$L485)&gt;$D$4,"",IFERROR(INDEX(tblRegistros[Base],$L485),"")))</f>
        <v/>
      </c>
      <c r="H485" s="3" t="str">
        <f>IF($L485="","",IF(INDEX(tblRegistros[Data],$L485)&gt;$D$4,"",IFERROR(INDEX(tblRegistros[Taxa aplicada],$L485),"")))</f>
        <v/>
      </c>
      <c r="I485" s="3" t="str">
        <f>IF($L485="","",IF(INDEX(tblRegistros[Data],$L485)&gt;$D$4,"",IFERROR(IF(INDEX(tblRegistros[Status],$L485)="EM ABERTO","",INDEX(tblRegistros[Valor],$L485)),"")))</f>
        <v/>
      </c>
      <c r="J485" t="str">
        <f>IF($L485="","",IF(INDEX(tblRegistros[Data],$L485)&gt;$D$4,"",IFERROR(INDEX(tblRegistros[Status],$L485),"")))</f>
        <v/>
      </c>
      <c r="K485" t="str">
        <f>IF($L485="","",IF(INDEX(tblRegistros[Data],$L485)&gt;$D$4,"",IFERROR(INDEX(tblRegistros[Observação],$L485),"")))</f>
        <v/>
      </c>
      <c r="L485" s="16" t="str">
        <f>IFERROR(MATCH($B$3*100000+COUNTIFS(tblRegistros[ID],$B$3,tblRegistros[Data],"&lt;"&amp;$B$4)+ROWS($L$10:L485),tblRegistros[Chave do cartão],0),"")</f>
        <v/>
      </c>
    </row>
    <row r="486" spans="1:12">
      <c r="A486" s="2" t="str">
        <f>IF($L486="","",IF(INDEX(tblRegistros[Data],$L486)&gt;$D$4,"",IFERROR(INDEX(tblRegistros[Data],$L486),"")))</f>
        <v/>
      </c>
      <c r="B486" t="str">
        <f>IF($L486="","",IF(INDEX(tblRegistros[Data],$L486)&gt;$D$4,"",IFERROR(INDEX(tblRegistros[Projeto],$L486),"")))</f>
        <v/>
      </c>
      <c r="C486" t="str">
        <f>IF($L486="","",IF(INDEX(tblRegistros[Data],$L486)&gt;$D$4,"",IFERROR(INDEX(tblRegistros[Atividade],$L486),"")))</f>
        <v/>
      </c>
      <c r="D486" s="4" t="str">
        <f>IF($L486="","",IF(INDEX(tblRegistros[Data],$L486)&gt;$D$4,"",IFERROR(INDEX(tblRegistros[Início],$L486),"")))</f>
        <v/>
      </c>
      <c r="E486" s="4" t="str">
        <f>IF($L486="","",IF(INDEX(tblRegistros[Data],$L486)&gt;$D$4,"",IFERROR(IF(INDEX(tblRegistros[Status],$L486)="EM ABERTO","",INDEX(tblRegistros[Fim],$L486)),"")))</f>
        <v/>
      </c>
      <c r="F486" t="str">
        <f>IF($L486="","",IF(INDEX(tblRegistros[Data],$L486)&gt;$D$4,"",IFERROR(IF(INDEX(tblRegistros[Status],$L486)="EM ABERTO","",INDEX(tblRegistros[Horas],$L486)),"")))</f>
        <v/>
      </c>
      <c r="G486" t="str">
        <f>IF($L486="","",IF(INDEX(tblRegistros[Data],$L486)&gt;$D$4,"",IFERROR(INDEX(tblRegistros[Base],$L486),"")))</f>
        <v/>
      </c>
      <c r="H486" s="3" t="str">
        <f>IF($L486="","",IF(INDEX(tblRegistros[Data],$L486)&gt;$D$4,"",IFERROR(INDEX(tblRegistros[Taxa aplicada],$L486),"")))</f>
        <v/>
      </c>
      <c r="I486" s="3" t="str">
        <f>IF($L486="","",IF(INDEX(tblRegistros[Data],$L486)&gt;$D$4,"",IFERROR(IF(INDEX(tblRegistros[Status],$L486)="EM ABERTO","",INDEX(tblRegistros[Valor],$L486)),"")))</f>
        <v/>
      </c>
      <c r="J486" t="str">
        <f>IF($L486="","",IF(INDEX(tblRegistros[Data],$L486)&gt;$D$4,"",IFERROR(INDEX(tblRegistros[Status],$L486),"")))</f>
        <v/>
      </c>
      <c r="K486" t="str">
        <f>IF($L486="","",IF(INDEX(tblRegistros[Data],$L486)&gt;$D$4,"",IFERROR(INDEX(tblRegistros[Observação],$L486),"")))</f>
        <v/>
      </c>
      <c r="L486" s="16" t="str">
        <f>IFERROR(MATCH($B$3*100000+COUNTIFS(tblRegistros[ID],$B$3,tblRegistros[Data],"&lt;"&amp;$B$4)+ROWS($L$10:L486),tblRegistros[Chave do cartão],0),"")</f>
        <v/>
      </c>
    </row>
    <row r="487" spans="1:12">
      <c r="A487" s="2" t="str">
        <f>IF($L487="","",IF(INDEX(tblRegistros[Data],$L487)&gt;$D$4,"",IFERROR(INDEX(tblRegistros[Data],$L487),"")))</f>
        <v/>
      </c>
      <c r="B487" t="str">
        <f>IF($L487="","",IF(INDEX(tblRegistros[Data],$L487)&gt;$D$4,"",IFERROR(INDEX(tblRegistros[Projeto],$L487),"")))</f>
        <v/>
      </c>
      <c r="C487" t="str">
        <f>IF($L487="","",IF(INDEX(tblRegistros[Data],$L487)&gt;$D$4,"",IFERROR(INDEX(tblRegistros[Atividade],$L487),"")))</f>
        <v/>
      </c>
      <c r="D487" s="4" t="str">
        <f>IF($L487="","",IF(INDEX(tblRegistros[Data],$L487)&gt;$D$4,"",IFERROR(INDEX(tblRegistros[Início],$L487),"")))</f>
        <v/>
      </c>
      <c r="E487" s="4" t="str">
        <f>IF($L487="","",IF(INDEX(tblRegistros[Data],$L487)&gt;$D$4,"",IFERROR(IF(INDEX(tblRegistros[Status],$L487)="EM ABERTO","",INDEX(tblRegistros[Fim],$L487)),"")))</f>
        <v/>
      </c>
      <c r="F487" t="str">
        <f>IF($L487="","",IF(INDEX(tblRegistros[Data],$L487)&gt;$D$4,"",IFERROR(IF(INDEX(tblRegistros[Status],$L487)="EM ABERTO","",INDEX(tblRegistros[Horas],$L487)),"")))</f>
        <v/>
      </c>
      <c r="G487" t="str">
        <f>IF($L487="","",IF(INDEX(tblRegistros[Data],$L487)&gt;$D$4,"",IFERROR(INDEX(tblRegistros[Base],$L487),"")))</f>
        <v/>
      </c>
      <c r="H487" s="3" t="str">
        <f>IF($L487="","",IF(INDEX(tblRegistros[Data],$L487)&gt;$D$4,"",IFERROR(INDEX(tblRegistros[Taxa aplicada],$L487),"")))</f>
        <v/>
      </c>
      <c r="I487" s="3" t="str">
        <f>IF($L487="","",IF(INDEX(tblRegistros[Data],$L487)&gt;$D$4,"",IFERROR(IF(INDEX(tblRegistros[Status],$L487)="EM ABERTO","",INDEX(tblRegistros[Valor],$L487)),"")))</f>
        <v/>
      </c>
      <c r="J487" t="str">
        <f>IF($L487="","",IF(INDEX(tblRegistros[Data],$L487)&gt;$D$4,"",IFERROR(INDEX(tblRegistros[Status],$L487),"")))</f>
        <v/>
      </c>
      <c r="K487" t="str">
        <f>IF($L487="","",IF(INDEX(tblRegistros[Data],$L487)&gt;$D$4,"",IFERROR(INDEX(tblRegistros[Observação],$L487),"")))</f>
        <v/>
      </c>
      <c r="L487" s="16" t="str">
        <f>IFERROR(MATCH($B$3*100000+COUNTIFS(tblRegistros[ID],$B$3,tblRegistros[Data],"&lt;"&amp;$B$4)+ROWS($L$10:L487),tblRegistros[Chave do cartão],0),"")</f>
        <v/>
      </c>
    </row>
    <row r="488" spans="1:12">
      <c r="A488" s="2" t="str">
        <f>IF($L488="","",IF(INDEX(tblRegistros[Data],$L488)&gt;$D$4,"",IFERROR(INDEX(tblRegistros[Data],$L488),"")))</f>
        <v/>
      </c>
      <c r="B488" t="str">
        <f>IF($L488="","",IF(INDEX(tblRegistros[Data],$L488)&gt;$D$4,"",IFERROR(INDEX(tblRegistros[Projeto],$L488),"")))</f>
        <v/>
      </c>
      <c r="C488" t="str">
        <f>IF($L488="","",IF(INDEX(tblRegistros[Data],$L488)&gt;$D$4,"",IFERROR(INDEX(tblRegistros[Atividade],$L488),"")))</f>
        <v/>
      </c>
      <c r="D488" s="4" t="str">
        <f>IF($L488="","",IF(INDEX(tblRegistros[Data],$L488)&gt;$D$4,"",IFERROR(INDEX(tblRegistros[Início],$L488),"")))</f>
        <v/>
      </c>
      <c r="E488" s="4" t="str">
        <f>IF($L488="","",IF(INDEX(tblRegistros[Data],$L488)&gt;$D$4,"",IFERROR(IF(INDEX(tblRegistros[Status],$L488)="EM ABERTO","",INDEX(tblRegistros[Fim],$L488)),"")))</f>
        <v/>
      </c>
      <c r="F488" t="str">
        <f>IF($L488="","",IF(INDEX(tblRegistros[Data],$L488)&gt;$D$4,"",IFERROR(IF(INDEX(tblRegistros[Status],$L488)="EM ABERTO","",INDEX(tblRegistros[Horas],$L488)),"")))</f>
        <v/>
      </c>
      <c r="G488" t="str">
        <f>IF($L488="","",IF(INDEX(tblRegistros[Data],$L488)&gt;$D$4,"",IFERROR(INDEX(tblRegistros[Base],$L488),"")))</f>
        <v/>
      </c>
      <c r="H488" s="3" t="str">
        <f>IF($L488="","",IF(INDEX(tblRegistros[Data],$L488)&gt;$D$4,"",IFERROR(INDEX(tblRegistros[Taxa aplicada],$L488),"")))</f>
        <v/>
      </c>
      <c r="I488" s="3" t="str">
        <f>IF($L488="","",IF(INDEX(tblRegistros[Data],$L488)&gt;$D$4,"",IFERROR(IF(INDEX(tblRegistros[Status],$L488)="EM ABERTO","",INDEX(tblRegistros[Valor],$L488)),"")))</f>
        <v/>
      </c>
      <c r="J488" t="str">
        <f>IF($L488="","",IF(INDEX(tblRegistros[Data],$L488)&gt;$D$4,"",IFERROR(INDEX(tblRegistros[Status],$L488),"")))</f>
        <v/>
      </c>
      <c r="K488" t="str">
        <f>IF($L488="","",IF(INDEX(tblRegistros[Data],$L488)&gt;$D$4,"",IFERROR(INDEX(tblRegistros[Observação],$L488),"")))</f>
        <v/>
      </c>
      <c r="L488" s="16" t="str">
        <f>IFERROR(MATCH($B$3*100000+COUNTIFS(tblRegistros[ID],$B$3,tblRegistros[Data],"&lt;"&amp;$B$4)+ROWS($L$10:L488),tblRegistros[Chave do cartão],0),"")</f>
        <v/>
      </c>
    </row>
    <row r="489" spans="1:12">
      <c r="A489" s="2" t="str">
        <f>IF($L489="","",IF(INDEX(tblRegistros[Data],$L489)&gt;$D$4,"",IFERROR(INDEX(tblRegistros[Data],$L489),"")))</f>
        <v/>
      </c>
      <c r="B489" t="str">
        <f>IF($L489="","",IF(INDEX(tblRegistros[Data],$L489)&gt;$D$4,"",IFERROR(INDEX(tblRegistros[Projeto],$L489),"")))</f>
        <v/>
      </c>
      <c r="C489" t="str">
        <f>IF($L489="","",IF(INDEX(tblRegistros[Data],$L489)&gt;$D$4,"",IFERROR(INDEX(tblRegistros[Atividade],$L489),"")))</f>
        <v/>
      </c>
      <c r="D489" s="4" t="str">
        <f>IF($L489="","",IF(INDEX(tblRegistros[Data],$L489)&gt;$D$4,"",IFERROR(INDEX(tblRegistros[Início],$L489),"")))</f>
        <v/>
      </c>
      <c r="E489" s="4" t="str">
        <f>IF($L489="","",IF(INDEX(tblRegistros[Data],$L489)&gt;$D$4,"",IFERROR(IF(INDEX(tblRegistros[Status],$L489)="EM ABERTO","",INDEX(tblRegistros[Fim],$L489)),"")))</f>
        <v/>
      </c>
      <c r="F489" t="str">
        <f>IF($L489="","",IF(INDEX(tblRegistros[Data],$L489)&gt;$D$4,"",IFERROR(IF(INDEX(tblRegistros[Status],$L489)="EM ABERTO","",INDEX(tblRegistros[Horas],$L489)),"")))</f>
        <v/>
      </c>
      <c r="G489" t="str">
        <f>IF($L489="","",IF(INDEX(tblRegistros[Data],$L489)&gt;$D$4,"",IFERROR(INDEX(tblRegistros[Base],$L489),"")))</f>
        <v/>
      </c>
      <c r="H489" s="3" t="str">
        <f>IF($L489="","",IF(INDEX(tblRegistros[Data],$L489)&gt;$D$4,"",IFERROR(INDEX(tblRegistros[Taxa aplicada],$L489),"")))</f>
        <v/>
      </c>
      <c r="I489" s="3" t="str">
        <f>IF($L489="","",IF(INDEX(tblRegistros[Data],$L489)&gt;$D$4,"",IFERROR(IF(INDEX(tblRegistros[Status],$L489)="EM ABERTO","",INDEX(tblRegistros[Valor],$L489)),"")))</f>
        <v/>
      </c>
      <c r="J489" t="str">
        <f>IF($L489="","",IF(INDEX(tblRegistros[Data],$L489)&gt;$D$4,"",IFERROR(INDEX(tblRegistros[Status],$L489),"")))</f>
        <v/>
      </c>
      <c r="K489" t="str">
        <f>IF($L489="","",IF(INDEX(tblRegistros[Data],$L489)&gt;$D$4,"",IFERROR(INDEX(tblRegistros[Observação],$L489),"")))</f>
        <v/>
      </c>
      <c r="L489" s="16" t="str">
        <f>IFERROR(MATCH($B$3*100000+COUNTIFS(tblRegistros[ID],$B$3,tblRegistros[Data],"&lt;"&amp;$B$4)+ROWS($L$10:L489),tblRegistros[Chave do cartão],0),"")</f>
        <v/>
      </c>
    </row>
    <row r="490" spans="1:12">
      <c r="A490" s="2" t="str">
        <f>IF($L490="","",IF(INDEX(tblRegistros[Data],$L490)&gt;$D$4,"",IFERROR(INDEX(tblRegistros[Data],$L490),"")))</f>
        <v/>
      </c>
      <c r="B490" t="str">
        <f>IF($L490="","",IF(INDEX(tblRegistros[Data],$L490)&gt;$D$4,"",IFERROR(INDEX(tblRegistros[Projeto],$L490),"")))</f>
        <v/>
      </c>
      <c r="C490" t="str">
        <f>IF($L490="","",IF(INDEX(tblRegistros[Data],$L490)&gt;$D$4,"",IFERROR(INDEX(tblRegistros[Atividade],$L490),"")))</f>
        <v/>
      </c>
      <c r="D490" s="4" t="str">
        <f>IF($L490="","",IF(INDEX(tblRegistros[Data],$L490)&gt;$D$4,"",IFERROR(INDEX(tblRegistros[Início],$L490),"")))</f>
        <v/>
      </c>
      <c r="E490" s="4" t="str">
        <f>IF($L490="","",IF(INDEX(tblRegistros[Data],$L490)&gt;$D$4,"",IFERROR(IF(INDEX(tblRegistros[Status],$L490)="EM ABERTO","",INDEX(tblRegistros[Fim],$L490)),"")))</f>
        <v/>
      </c>
      <c r="F490" t="str">
        <f>IF($L490="","",IF(INDEX(tblRegistros[Data],$L490)&gt;$D$4,"",IFERROR(IF(INDEX(tblRegistros[Status],$L490)="EM ABERTO","",INDEX(tblRegistros[Horas],$L490)),"")))</f>
        <v/>
      </c>
      <c r="G490" t="str">
        <f>IF($L490="","",IF(INDEX(tblRegistros[Data],$L490)&gt;$D$4,"",IFERROR(INDEX(tblRegistros[Base],$L490),"")))</f>
        <v/>
      </c>
      <c r="H490" s="3" t="str">
        <f>IF($L490="","",IF(INDEX(tblRegistros[Data],$L490)&gt;$D$4,"",IFERROR(INDEX(tblRegistros[Taxa aplicada],$L490),"")))</f>
        <v/>
      </c>
      <c r="I490" s="3" t="str">
        <f>IF($L490="","",IF(INDEX(tblRegistros[Data],$L490)&gt;$D$4,"",IFERROR(IF(INDEX(tblRegistros[Status],$L490)="EM ABERTO","",INDEX(tblRegistros[Valor],$L490)),"")))</f>
        <v/>
      </c>
      <c r="J490" t="str">
        <f>IF($L490="","",IF(INDEX(tblRegistros[Data],$L490)&gt;$D$4,"",IFERROR(INDEX(tblRegistros[Status],$L490),"")))</f>
        <v/>
      </c>
      <c r="K490" t="str">
        <f>IF($L490="","",IF(INDEX(tblRegistros[Data],$L490)&gt;$D$4,"",IFERROR(INDEX(tblRegistros[Observação],$L490),"")))</f>
        <v/>
      </c>
      <c r="L490" s="16" t="str">
        <f>IFERROR(MATCH($B$3*100000+COUNTIFS(tblRegistros[ID],$B$3,tblRegistros[Data],"&lt;"&amp;$B$4)+ROWS($L$10:L490),tblRegistros[Chave do cartão],0),"")</f>
        <v/>
      </c>
    </row>
    <row r="491" spans="1:12">
      <c r="A491" s="2" t="str">
        <f>IF($L491="","",IF(INDEX(tblRegistros[Data],$L491)&gt;$D$4,"",IFERROR(INDEX(tblRegistros[Data],$L491),"")))</f>
        <v/>
      </c>
      <c r="B491" t="str">
        <f>IF($L491="","",IF(INDEX(tblRegistros[Data],$L491)&gt;$D$4,"",IFERROR(INDEX(tblRegistros[Projeto],$L491),"")))</f>
        <v/>
      </c>
      <c r="C491" t="str">
        <f>IF($L491="","",IF(INDEX(tblRegistros[Data],$L491)&gt;$D$4,"",IFERROR(INDEX(tblRegistros[Atividade],$L491),"")))</f>
        <v/>
      </c>
      <c r="D491" s="4" t="str">
        <f>IF($L491="","",IF(INDEX(tblRegistros[Data],$L491)&gt;$D$4,"",IFERROR(INDEX(tblRegistros[Início],$L491),"")))</f>
        <v/>
      </c>
      <c r="E491" s="4" t="str">
        <f>IF($L491="","",IF(INDEX(tblRegistros[Data],$L491)&gt;$D$4,"",IFERROR(IF(INDEX(tblRegistros[Status],$L491)="EM ABERTO","",INDEX(tblRegistros[Fim],$L491)),"")))</f>
        <v/>
      </c>
      <c r="F491" t="str">
        <f>IF($L491="","",IF(INDEX(tblRegistros[Data],$L491)&gt;$D$4,"",IFERROR(IF(INDEX(tblRegistros[Status],$L491)="EM ABERTO","",INDEX(tblRegistros[Horas],$L491)),"")))</f>
        <v/>
      </c>
      <c r="G491" t="str">
        <f>IF($L491="","",IF(INDEX(tblRegistros[Data],$L491)&gt;$D$4,"",IFERROR(INDEX(tblRegistros[Base],$L491),"")))</f>
        <v/>
      </c>
      <c r="H491" s="3" t="str">
        <f>IF($L491="","",IF(INDEX(tblRegistros[Data],$L491)&gt;$D$4,"",IFERROR(INDEX(tblRegistros[Taxa aplicada],$L491),"")))</f>
        <v/>
      </c>
      <c r="I491" s="3" t="str">
        <f>IF($L491="","",IF(INDEX(tblRegistros[Data],$L491)&gt;$D$4,"",IFERROR(IF(INDEX(tblRegistros[Status],$L491)="EM ABERTO","",INDEX(tblRegistros[Valor],$L491)),"")))</f>
        <v/>
      </c>
      <c r="J491" t="str">
        <f>IF($L491="","",IF(INDEX(tblRegistros[Data],$L491)&gt;$D$4,"",IFERROR(INDEX(tblRegistros[Status],$L491),"")))</f>
        <v/>
      </c>
      <c r="K491" t="str">
        <f>IF($L491="","",IF(INDEX(tblRegistros[Data],$L491)&gt;$D$4,"",IFERROR(INDEX(tblRegistros[Observação],$L491),"")))</f>
        <v/>
      </c>
      <c r="L491" s="16" t="str">
        <f>IFERROR(MATCH($B$3*100000+COUNTIFS(tblRegistros[ID],$B$3,tblRegistros[Data],"&lt;"&amp;$B$4)+ROWS($L$10:L491),tblRegistros[Chave do cartão],0),"")</f>
        <v/>
      </c>
    </row>
    <row r="492" spans="1:12">
      <c r="A492" s="2" t="str">
        <f>IF($L492="","",IF(INDEX(tblRegistros[Data],$L492)&gt;$D$4,"",IFERROR(INDEX(tblRegistros[Data],$L492),"")))</f>
        <v/>
      </c>
      <c r="B492" t="str">
        <f>IF($L492="","",IF(INDEX(tblRegistros[Data],$L492)&gt;$D$4,"",IFERROR(INDEX(tblRegistros[Projeto],$L492),"")))</f>
        <v/>
      </c>
      <c r="C492" t="str">
        <f>IF($L492="","",IF(INDEX(tblRegistros[Data],$L492)&gt;$D$4,"",IFERROR(INDEX(tblRegistros[Atividade],$L492),"")))</f>
        <v/>
      </c>
      <c r="D492" s="4" t="str">
        <f>IF($L492="","",IF(INDEX(tblRegistros[Data],$L492)&gt;$D$4,"",IFERROR(INDEX(tblRegistros[Início],$L492),"")))</f>
        <v/>
      </c>
      <c r="E492" s="4" t="str">
        <f>IF($L492="","",IF(INDEX(tblRegistros[Data],$L492)&gt;$D$4,"",IFERROR(IF(INDEX(tblRegistros[Status],$L492)="EM ABERTO","",INDEX(tblRegistros[Fim],$L492)),"")))</f>
        <v/>
      </c>
      <c r="F492" t="str">
        <f>IF($L492="","",IF(INDEX(tblRegistros[Data],$L492)&gt;$D$4,"",IFERROR(IF(INDEX(tblRegistros[Status],$L492)="EM ABERTO","",INDEX(tblRegistros[Horas],$L492)),"")))</f>
        <v/>
      </c>
      <c r="G492" t="str">
        <f>IF($L492="","",IF(INDEX(tblRegistros[Data],$L492)&gt;$D$4,"",IFERROR(INDEX(tblRegistros[Base],$L492),"")))</f>
        <v/>
      </c>
      <c r="H492" s="3" t="str">
        <f>IF($L492="","",IF(INDEX(tblRegistros[Data],$L492)&gt;$D$4,"",IFERROR(INDEX(tblRegistros[Taxa aplicada],$L492),"")))</f>
        <v/>
      </c>
      <c r="I492" s="3" t="str">
        <f>IF($L492="","",IF(INDEX(tblRegistros[Data],$L492)&gt;$D$4,"",IFERROR(IF(INDEX(tblRegistros[Status],$L492)="EM ABERTO","",INDEX(tblRegistros[Valor],$L492)),"")))</f>
        <v/>
      </c>
      <c r="J492" t="str">
        <f>IF($L492="","",IF(INDEX(tblRegistros[Data],$L492)&gt;$D$4,"",IFERROR(INDEX(tblRegistros[Status],$L492),"")))</f>
        <v/>
      </c>
      <c r="K492" t="str">
        <f>IF($L492="","",IF(INDEX(tblRegistros[Data],$L492)&gt;$D$4,"",IFERROR(INDEX(tblRegistros[Observação],$L492),"")))</f>
        <v/>
      </c>
      <c r="L492" s="16" t="str">
        <f>IFERROR(MATCH($B$3*100000+COUNTIFS(tblRegistros[ID],$B$3,tblRegistros[Data],"&lt;"&amp;$B$4)+ROWS($L$10:L492),tblRegistros[Chave do cartão],0),"")</f>
        <v/>
      </c>
    </row>
    <row r="493" spans="1:12">
      <c r="A493" s="2" t="str">
        <f>IF($L493="","",IF(INDEX(tblRegistros[Data],$L493)&gt;$D$4,"",IFERROR(INDEX(tblRegistros[Data],$L493),"")))</f>
        <v/>
      </c>
      <c r="B493" t="str">
        <f>IF($L493="","",IF(INDEX(tblRegistros[Data],$L493)&gt;$D$4,"",IFERROR(INDEX(tblRegistros[Projeto],$L493),"")))</f>
        <v/>
      </c>
      <c r="C493" t="str">
        <f>IF($L493="","",IF(INDEX(tblRegistros[Data],$L493)&gt;$D$4,"",IFERROR(INDEX(tblRegistros[Atividade],$L493),"")))</f>
        <v/>
      </c>
      <c r="D493" s="4" t="str">
        <f>IF($L493="","",IF(INDEX(tblRegistros[Data],$L493)&gt;$D$4,"",IFERROR(INDEX(tblRegistros[Início],$L493),"")))</f>
        <v/>
      </c>
      <c r="E493" s="4" t="str">
        <f>IF($L493="","",IF(INDEX(tblRegistros[Data],$L493)&gt;$D$4,"",IFERROR(IF(INDEX(tblRegistros[Status],$L493)="EM ABERTO","",INDEX(tblRegistros[Fim],$L493)),"")))</f>
        <v/>
      </c>
      <c r="F493" t="str">
        <f>IF($L493="","",IF(INDEX(tblRegistros[Data],$L493)&gt;$D$4,"",IFERROR(IF(INDEX(tblRegistros[Status],$L493)="EM ABERTO","",INDEX(tblRegistros[Horas],$L493)),"")))</f>
        <v/>
      </c>
      <c r="G493" t="str">
        <f>IF($L493="","",IF(INDEX(tblRegistros[Data],$L493)&gt;$D$4,"",IFERROR(INDEX(tblRegistros[Base],$L493),"")))</f>
        <v/>
      </c>
      <c r="H493" s="3" t="str">
        <f>IF($L493="","",IF(INDEX(tblRegistros[Data],$L493)&gt;$D$4,"",IFERROR(INDEX(tblRegistros[Taxa aplicada],$L493),"")))</f>
        <v/>
      </c>
      <c r="I493" s="3" t="str">
        <f>IF($L493="","",IF(INDEX(tblRegistros[Data],$L493)&gt;$D$4,"",IFERROR(IF(INDEX(tblRegistros[Status],$L493)="EM ABERTO","",INDEX(tblRegistros[Valor],$L493)),"")))</f>
        <v/>
      </c>
      <c r="J493" t="str">
        <f>IF($L493="","",IF(INDEX(tblRegistros[Data],$L493)&gt;$D$4,"",IFERROR(INDEX(tblRegistros[Status],$L493),"")))</f>
        <v/>
      </c>
      <c r="K493" t="str">
        <f>IF($L493="","",IF(INDEX(tblRegistros[Data],$L493)&gt;$D$4,"",IFERROR(INDEX(tblRegistros[Observação],$L493),"")))</f>
        <v/>
      </c>
      <c r="L493" s="16" t="str">
        <f>IFERROR(MATCH($B$3*100000+COUNTIFS(tblRegistros[ID],$B$3,tblRegistros[Data],"&lt;"&amp;$B$4)+ROWS($L$10:L493),tblRegistros[Chave do cartão],0),"")</f>
        <v/>
      </c>
    </row>
    <row r="494" spans="1:12">
      <c r="A494" s="2" t="str">
        <f>IF($L494="","",IF(INDEX(tblRegistros[Data],$L494)&gt;$D$4,"",IFERROR(INDEX(tblRegistros[Data],$L494),"")))</f>
        <v/>
      </c>
      <c r="B494" t="str">
        <f>IF($L494="","",IF(INDEX(tblRegistros[Data],$L494)&gt;$D$4,"",IFERROR(INDEX(tblRegistros[Projeto],$L494),"")))</f>
        <v/>
      </c>
      <c r="C494" t="str">
        <f>IF($L494="","",IF(INDEX(tblRegistros[Data],$L494)&gt;$D$4,"",IFERROR(INDEX(tblRegistros[Atividade],$L494),"")))</f>
        <v/>
      </c>
      <c r="D494" s="4" t="str">
        <f>IF($L494="","",IF(INDEX(tblRegistros[Data],$L494)&gt;$D$4,"",IFERROR(INDEX(tblRegistros[Início],$L494),"")))</f>
        <v/>
      </c>
      <c r="E494" s="4" t="str">
        <f>IF($L494="","",IF(INDEX(tblRegistros[Data],$L494)&gt;$D$4,"",IFERROR(IF(INDEX(tblRegistros[Status],$L494)="EM ABERTO","",INDEX(tblRegistros[Fim],$L494)),"")))</f>
        <v/>
      </c>
      <c r="F494" t="str">
        <f>IF($L494="","",IF(INDEX(tblRegistros[Data],$L494)&gt;$D$4,"",IFERROR(IF(INDEX(tblRegistros[Status],$L494)="EM ABERTO","",INDEX(tblRegistros[Horas],$L494)),"")))</f>
        <v/>
      </c>
      <c r="G494" t="str">
        <f>IF($L494="","",IF(INDEX(tblRegistros[Data],$L494)&gt;$D$4,"",IFERROR(INDEX(tblRegistros[Base],$L494),"")))</f>
        <v/>
      </c>
      <c r="H494" s="3" t="str">
        <f>IF($L494="","",IF(INDEX(tblRegistros[Data],$L494)&gt;$D$4,"",IFERROR(INDEX(tblRegistros[Taxa aplicada],$L494),"")))</f>
        <v/>
      </c>
      <c r="I494" s="3" t="str">
        <f>IF($L494="","",IF(INDEX(tblRegistros[Data],$L494)&gt;$D$4,"",IFERROR(IF(INDEX(tblRegistros[Status],$L494)="EM ABERTO","",INDEX(tblRegistros[Valor],$L494)),"")))</f>
        <v/>
      </c>
      <c r="J494" t="str">
        <f>IF($L494="","",IF(INDEX(tblRegistros[Data],$L494)&gt;$D$4,"",IFERROR(INDEX(tblRegistros[Status],$L494),"")))</f>
        <v/>
      </c>
      <c r="K494" t="str">
        <f>IF($L494="","",IF(INDEX(tblRegistros[Data],$L494)&gt;$D$4,"",IFERROR(INDEX(tblRegistros[Observação],$L494),"")))</f>
        <v/>
      </c>
      <c r="L494" s="16" t="str">
        <f>IFERROR(MATCH($B$3*100000+COUNTIFS(tblRegistros[ID],$B$3,tblRegistros[Data],"&lt;"&amp;$B$4)+ROWS($L$10:L494),tblRegistros[Chave do cartão],0),"")</f>
        <v/>
      </c>
    </row>
    <row r="495" spans="1:12">
      <c r="A495" s="2" t="str">
        <f>IF($L495="","",IF(INDEX(tblRegistros[Data],$L495)&gt;$D$4,"",IFERROR(INDEX(tblRegistros[Data],$L495),"")))</f>
        <v/>
      </c>
      <c r="B495" t="str">
        <f>IF($L495="","",IF(INDEX(tblRegistros[Data],$L495)&gt;$D$4,"",IFERROR(INDEX(tblRegistros[Projeto],$L495),"")))</f>
        <v/>
      </c>
      <c r="C495" t="str">
        <f>IF($L495="","",IF(INDEX(tblRegistros[Data],$L495)&gt;$D$4,"",IFERROR(INDEX(tblRegistros[Atividade],$L495),"")))</f>
        <v/>
      </c>
      <c r="D495" s="4" t="str">
        <f>IF($L495="","",IF(INDEX(tblRegistros[Data],$L495)&gt;$D$4,"",IFERROR(INDEX(tblRegistros[Início],$L495),"")))</f>
        <v/>
      </c>
      <c r="E495" s="4" t="str">
        <f>IF($L495="","",IF(INDEX(tblRegistros[Data],$L495)&gt;$D$4,"",IFERROR(IF(INDEX(tblRegistros[Status],$L495)="EM ABERTO","",INDEX(tblRegistros[Fim],$L495)),"")))</f>
        <v/>
      </c>
      <c r="F495" t="str">
        <f>IF($L495="","",IF(INDEX(tblRegistros[Data],$L495)&gt;$D$4,"",IFERROR(IF(INDEX(tblRegistros[Status],$L495)="EM ABERTO","",INDEX(tblRegistros[Horas],$L495)),"")))</f>
        <v/>
      </c>
      <c r="G495" t="str">
        <f>IF($L495="","",IF(INDEX(tblRegistros[Data],$L495)&gt;$D$4,"",IFERROR(INDEX(tblRegistros[Base],$L495),"")))</f>
        <v/>
      </c>
      <c r="H495" s="3" t="str">
        <f>IF($L495="","",IF(INDEX(tblRegistros[Data],$L495)&gt;$D$4,"",IFERROR(INDEX(tblRegistros[Taxa aplicada],$L495),"")))</f>
        <v/>
      </c>
      <c r="I495" s="3" t="str">
        <f>IF($L495="","",IF(INDEX(tblRegistros[Data],$L495)&gt;$D$4,"",IFERROR(IF(INDEX(tblRegistros[Status],$L495)="EM ABERTO","",INDEX(tblRegistros[Valor],$L495)),"")))</f>
        <v/>
      </c>
      <c r="J495" t="str">
        <f>IF($L495="","",IF(INDEX(tblRegistros[Data],$L495)&gt;$D$4,"",IFERROR(INDEX(tblRegistros[Status],$L495),"")))</f>
        <v/>
      </c>
      <c r="K495" t="str">
        <f>IF($L495="","",IF(INDEX(tblRegistros[Data],$L495)&gt;$D$4,"",IFERROR(INDEX(tblRegistros[Observação],$L495),"")))</f>
        <v/>
      </c>
      <c r="L495" s="16" t="str">
        <f>IFERROR(MATCH($B$3*100000+COUNTIFS(tblRegistros[ID],$B$3,tblRegistros[Data],"&lt;"&amp;$B$4)+ROWS($L$10:L495),tblRegistros[Chave do cartão],0),"")</f>
        <v/>
      </c>
    </row>
    <row r="496" spans="1:12">
      <c r="A496" s="2" t="str">
        <f>IF($L496="","",IF(INDEX(tblRegistros[Data],$L496)&gt;$D$4,"",IFERROR(INDEX(tblRegistros[Data],$L496),"")))</f>
        <v/>
      </c>
      <c r="B496" t="str">
        <f>IF($L496="","",IF(INDEX(tblRegistros[Data],$L496)&gt;$D$4,"",IFERROR(INDEX(tblRegistros[Projeto],$L496),"")))</f>
        <v/>
      </c>
      <c r="C496" t="str">
        <f>IF($L496="","",IF(INDEX(tblRegistros[Data],$L496)&gt;$D$4,"",IFERROR(INDEX(tblRegistros[Atividade],$L496),"")))</f>
        <v/>
      </c>
      <c r="D496" s="4" t="str">
        <f>IF($L496="","",IF(INDEX(tblRegistros[Data],$L496)&gt;$D$4,"",IFERROR(INDEX(tblRegistros[Início],$L496),"")))</f>
        <v/>
      </c>
      <c r="E496" s="4" t="str">
        <f>IF($L496="","",IF(INDEX(tblRegistros[Data],$L496)&gt;$D$4,"",IFERROR(IF(INDEX(tblRegistros[Status],$L496)="EM ABERTO","",INDEX(tblRegistros[Fim],$L496)),"")))</f>
        <v/>
      </c>
      <c r="F496" t="str">
        <f>IF($L496="","",IF(INDEX(tblRegistros[Data],$L496)&gt;$D$4,"",IFERROR(IF(INDEX(tblRegistros[Status],$L496)="EM ABERTO","",INDEX(tblRegistros[Horas],$L496)),"")))</f>
        <v/>
      </c>
      <c r="G496" t="str">
        <f>IF($L496="","",IF(INDEX(tblRegistros[Data],$L496)&gt;$D$4,"",IFERROR(INDEX(tblRegistros[Base],$L496),"")))</f>
        <v/>
      </c>
      <c r="H496" s="3" t="str">
        <f>IF($L496="","",IF(INDEX(tblRegistros[Data],$L496)&gt;$D$4,"",IFERROR(INDEX(tblRegistros[Taxa aplicada],$L496),"")))</f>
        <v/>
      </c>
      <c r="I496" s="3" t="str">
        <f>IF($L496="","",IF(INDEX(tblRegistros[Data],$L496)&gt;$D$4,"",IFERROR(IF(INDEX(tblRegistros[Status],$L496)="EM ABERTO","",INDEX(tblRegistros[Valor],$L496)),"")))</f>
        <v/>
      </c>
      <c r="J496" t="str">
        <f>IF($L496="","",IF(INDEX(tblRegistros[Data],$L496)&gt;$D$4,"",IFERROR(INDEX(tblRegistros[Status],$L496),"")))</f>
        <v/>
      </c>
      <c r="K496" t="str">
        <f>IF($L496="","",IF(INDEX(tblRegistros[Data],$L496)&gt;$D$4,"",IFERROR(INDEX(tblRegistros[Observação],$L496),"")))</f>
        <v/>
      </c>
      <c r="L496" s="16" t="str">
        <f>IFERROR(MATCH($B$3*100000+COUNTIFS(tblRegistros[ID],$B$3,tblRegistros[Data],"&lt;"&amp;$B$4)+ROWS($L$10:L496),tblRegistros[Chave do cartão],0),"")</f>
        <v/>
      </c>
    </row>
    <row r="497" spans="1:12">
      <c r="A497" s="2" t="str">
        <f>IF($L497="","",IF(INDEX(tblRegistros[Data],$L497)&gt;$D$4,"",IFERROR(INDEX(tblRegistros[Data],$L497),"")))</f>
        <v/>
      </c>
      <c r="B497" t="str">
        <f>IF($L497="","",IF(INDEX(tblRegistros[Data],$L497)&gt;$D$4,"",IFERROR(INDEX(tblRegistros[Projeto],$L497),"")))</f>
        <v/>
      </c>
      <c r="C497" t="str">
        <f>IF($L497="","",IF(INDEX(tblRegistros[Data],$L497)&gt;$D$4,"",IFERROR(INDEX(tblRegistros[Atividade],$L497),"")))</f>
        <v/>
      </c>
      <c r="D497" s="4" t="str">
        <f>IF($L497="","",IF(INDEX(tblRegistros[Data],$L497)&gt;$D$4,"",IFERROR(INDEX(tblRegistros[Início],$L497),"")))</f>
        <v/>
      </c>
      <c r="E497" s="4" t="str">
        <f>IF($L497="","",IF(INDEX(tblRegistros[Data],$L497)&gt;$D$4,"",IFERROR(IF(INDEX(tblRegistros[Status],$L497)="EM ABERTO","",INDEX(tblRegistros[Fim],$L497)),"")))</f>
        <v/>
      </c>
      <c r="F497" t="str">
        <f>IF($L497="","",IF(INDEX(tblRegistros[Data],$L497)&gt;$D$4,"",IFERROR(IF(INDEX(tblRegistros[Status],$L497)="EM ABERTO","",INDEX(tblRegistros[Horas],$L497)),"")))</f>
        <v/>
      </c>
      <c r="G497" t="str">
        <f>IF($L497="","",IF(INDEX(tblRegistros[Data],$L497)&gt;$D$4,"",IFERROR(INDEX(tblRegistros[Base],$L497),"")))</f>
        <v/>
      </c>
      <c r="H497" s="3" t="str">
        <f>IF($L497="","",IF(INDEX(tblRegistros[Data],$L497)&gt;$D$4,"",IFERROR(INDEX(tblRegistros[Taxa aplicada],$L497),"")))</f>
        <v/>
      </c>
      <c r="I497" s="3" t="str">
        <f>IF($L497="","",IF(INDEX(tblRegistros[Data],$L497)&gt;$D$4,"",IFERROR(IF(INDEX(tblRegistros[Status],$L497)="EM ABERTO","",INDEX(tblRegistros[Valor],$L497)),"")))</f>
        <v/>
      </c>
      <c r="J497" t="str">
        <f>IF($L497="","",IF(INDEX(tblRegistros[Data],$L497)&gt;$D$4,"",IFERROR(INDEX(tblRegistros[Status],$L497),"")))</f>
        <v/>
      </c>
      <c r="K497" t="str">
        <f>IF($L497="","",IF(INDEX(tblRegistros[Data],$L497)&gt;$D$4,"",IFERROR(INDEX(tblRegistros[Observação],$L497),"")))</f>
        <v/>
      </c>
      <c r="L497" s="16" t="str">
        <f>IFERROR(MATCH($B$3*100000+COUNTIFS(tblRegistros[ID],$B$3,tblRegistros[Data],"&lt;"&amp;$B$4)+ROWS($L$10:L497),tblRegistros[Chave do cartão],0),"")</f>
        <v/>
      </c>
    </row>
    <row r="498" spans="1:12">
      <c r="A498" s="2" t="str">
        <f>IF($L498="","",IF(INDEX(tblRegistros[Data],$L498)&gt;$D$4,"",IFERROR(INDEX(tblRegistros[Data],$L498),"")))</f>
        <v/>
      </c>
      <c r="B498" t="str">
        <f>IF($L498="","",IF(INDEX(tblRegistros[Data],$L498)&gt;$D$4,"",IFERROR(INDEX(tblRegistros[Projeto],$L498),"")))</f>
        <v/>
      </c>
      <c r="C498" t="str">
        <f>IF($L498="","",IF(INDEX(tblRegistros[Data],$L498)&gt;$D$4,"",IFERROR(INDEX(tblRegistros[Atividade],$L498),"")))</f>
        <v/>
      </c>
      <c r="D498" s="4" t="str">
        <f>IF($L498="","",IF(INDEX(tblRegistros[Data],$L498)&gt;$D$4,"",IFERROR(INDEX(tblRegistros[Início],$L498),"")))</f>
        <v/>
      </c>
      <c r="E498" s="4" t="str">
        <f>IF($L498="","",IF(INDEX(tblRegistros[Data],$L498)&gt;$D$4,"",IFERROR(IF(INDEX(tblRegistros[Status],$L498)="EM ABERTO","",INDEX(tblRegistros[Fim],$L498)),"")))</f>
        <v/>
      </c>
      <c r="F498" t="str">
        <f>IF($L498="","",IF(INDEX(tblRegistros[Data],$L498)&gt;$D$4,"",IFERROR(IF(INDEX(tblRegistros[Status],$L498)="EM ABERTO","",INDEX(tblRegistros[Horas],$L498)),"")))</f>
        <v/>
      </c>
      <c r="G498" t="str">
        <f>IF($L498="","",IF(INDEX(tblRegistros[Data],$L498)&gt;$D$4,"",IFERROR(INDEX(tblRegistros[Base],$L498),"")))</f>
        <v/>
      </c>
      <c r="H498" s="3" t="str">
        <f>IF($L498="","",IF(INDEX(tblRegistros[Data],$L498)&gt;$D$4,"",IFERROR(INDEX(tblRegistros[Taxa aplicada],$L498),"")))</f>
        <v/>
      </c>
      <c r="I498" s="3" t="str">
        <f>IF($L498="","",IF(INDEX(tblRegistros[Data],$L498)&gt;$D$4,"",IFERROR(IF(INDEX(tblRegistros[Status],$L498)="EM ABERTO","",INDEX(tblRegistros[Valor],$L498)),"")))</f>
        <v/>
      </c>
      <c r="J498" t="str">
        <f>IF($L498="","",IF(INDEX(tblRegistros[Data],$L498)&gt;$D$4,"",IFERROR(INDEX(tblRegistros[Status],$L498),"")))</f>
        <v/>
      </c>
      <c r="K498" t="str">
        <f>IF($L498="","",IF(INDEX(tblRegistros[Data],$L498)&gt;$D$4,"",IFERROR(INDEX(tblRegistros[Observação],$L498),"")))</f>
        <v/>
      </c>
      <c r="L498" s="16" t="str">
        <f>IFERROR(MATCH($B$3*100000+COUNTIFS(tblRegistros[ID],$B$3,tblRegistros[Data],"&lt;"&amp;$B$4)+ROWS($L$10:L498),tblRegistros[Chave do cartão],0),"")</f>
        <v/>
      </c>
    </row>
    <row r="499" spans="1:12">
      <c r="A499" s="2" t="str">
        <f>IF($L499="","",IF(INDEX(tblRegistros[Data],$L499)&gt;$D$4,"",IFERROR(INDEX(tblRegistros[Data],$L499),"")))</f>
        <v/>
      </c>
      <c r="B499" t="str">
        <f>IF($L499="","",IF(INDEX(tblRegistros[Data],$L499)&gt;$D$4,"",IFERROR(INDEX(tblRegistros[Projeto],$L499),"")))</f>
        <v/>
      </c>
      <c r="C499" t="str">
        <f>IF($L499="","",IF(INDEX(tblRegistros[Data],$L499)&gt;$D$4,"",IFERROR(INDEX(tblRegistros[Atividade],$L499),"")))</f>
        <v/>
      </c>
      <c r="D499" s="4" t="str">
        <f>IF($L499="","",IF(INDEX(tblRegistros[Data],$L499)&gt;$D$4,"",IFERROR(INDEX(tblRegistros[Início],$L499),"")))</f>
        <v/>
      </c>
      <c r="E499" s="4" t="str">
        <f>IF($L499="","",IF(INDEX(tblRegistros[Data],$L499)&gt;$D$4,"",IFERROR(IF(INDEX(tblRegistros[Status],$L499)="EM ABERTO","",INDEX(tblRegistros[Fim],$L499)),"")))</f>
        <v/>
      </c>
      <c r="F499" t="str">
        <f>IF($L499="","",IF(INDEX(tblRegistros[Data],$L499)&gt;$D$4,"",IFERROR(IF(INDEX(tblRegistros[Status],$L499)="EM ABERTO","",INDEX(tblRegistros[Horas],$L499)),"")))</f>
        <v/>
      </c>
      <c r="G499" t="str">
        <f>IF($L499="","",IF(INDEX(tblRegistros[Data],$L499)&gt;$D$4,"",IFERROR(INDEX(tblRegistros[Base],$L499),"")))</f>
        <v/>
      </c>
      <c r="H499" s="3" t="str">
        <f>IF($L499="","",IF(INDEX(tblRegistros[Data],$L499)&gt;$D$4,"",IFERROR(INDEX(tblRegistros[Taxa aplicada],$L499),"")))</f>
        <v/>
      </c>
      <c r="I499" s="3" t="str">
        <f>IF($L499="","",IF(INDEX(tblRegistros[Data],$L499)&gt;$D$4,"",IFERROR(IF(INDEX(tblRegistros[Status],$L499)="EM ABERTO","",INDEX(tblRegistros[Valor],$L499)),"")))</f>
        <v/>
      </c>
      <c r="J499" t="str">
        <f>IF($L499="","",IF(INDEX(tblRegistros[Data],$L499)&gt;$D$4,"",IFERROR(INDEX(tblRegistros[Status],$L499),"")))</f>
        <v/>
      </c>
      <c r="K499" t="str">
        <f>IF($L499="","",IF(INDEX(tblRegistros[Data],$L499)&gt;$D$4,"",IFERROR(INDEX(tblRegistros[Observação],$L499),"")))</f>
        <v/>
      </c>
      <c r="L499" s="16" t="str">
        <f>IFERROR(MATCH($B$3*100000+COUNTIFS(tblRegistros[ID],$B$3,tblRegistros[Data],"&lt;"&amp;$B$4)+ROWS($L$10:L499),tblRegistros[Chave do cartão],0),"")</f>
        <v/>
      </c>
    </row>
    <row r="500" spans="1:12">
      <c r="A500" s="2" t="str">
        <f>IF($L500="","",IF(INDEX(tblRegistros[Data],$L500)&gt;$D$4,"",IFERROR(INDEX(tblRegistros[Data],$L500),"")))</f>
        <v/>
      </c>
      <c r="B500" t="str">
        <f>IF($L500="","",IF(INDEX(tblRegistros[Data],$L500)&gt;$D$4,"",IFERROR(INDEX(tblRegistros[Projeto],$L500),"")))</f>
        <v/>
      </c>
      <c r="C500" t="str">
        <f>IF($L500="","",IF(INDEX(tblRegistros[Data],$L500)&gt;$D$4,"",IFERROR(INDEX(tblRegistros[Atividade],$L500),"")))</f>
        <v/>
      </c>
      <c r="D500" s="4" t="str">
        <f>IF($L500="","",IF(INDEX(tblRegistros[Data],$L500)&gt;$D$4,"",IFERROR(INDEX(tblRegistros[Início],$L500),"")))</f>
        <v/>
      </c>
      <c r="E500" s="4" t="str">
        <f>IF($L500="","",IF(INDEX(tblRegistros[Data],$L500)&gt;$D$4,"",IFERROR(IF(INDEX(tblRegistros[Status],$L500)="EM ABERTO","",INDEX(tblRegistros[Fim],$L500)),"")))</f>
        <v/>
      </c>
      <c r="F500" t="str">
        <f>IF($L500="","",IF(INDEX(tblRegistros[Data],$L500)&gt;$D$4,"",IFERROR(IF(INDEX(tblRegistros[Status],$L500)="EM ABERTO","",INDEX(tblRegistros[Horas],$L500)),"")))</f>
        <v/>
      </c>
      <c r="G500" t="str">
        <f>IF($L500="","",IF(INDEX(tblRegistros[Data],$L500)&gt;$D$4,"",IFERROR(INDEX(tblRegistros[Base],$L500),"")))</f>
        <v/>
      </c>
      <c r="H500" s="3" t="str">
        <f>IF($L500="","",IF(INDEX(tblRegistros[Data],$L500)&gt;$D$4,"",IFERROR(INDEX(tblRegistros[Taxa aplicada],$L500),"")))</f>
        <v/>
      </c>
      <c r="I500" s="3" t="str">
        <f>IF($L500="","",IF(INDEX(tblRegistros[Data],$L500)&gt;$D$4,"",IFERROR(IF(INDEX(tblRegistros[Status],$L500)="EM ABERTO","",INDEX(tblRegistros[Valor],$L500)),"")))</f>
        <v/>
      </c>
      <c r="J500" t="str">
        <f>IF($L500="","",IF(INDEX(tblRegistros[Data],$L500)&gt;$D$4,"",IFERROR(INDEX(tblRegistros[Status],$L500),"")))</f>
        <v/>
      </c>
      <c r="K500" t="str">
        <f>IF($L500="","",IF(INDEX(tblRegistros[Data],$L500)&gt;$D$4,"",IFERROR(INDEX(tblRegistros[Observação],$L500),"")))</f>
        <v/>
      </c>
      <c r="L500" s="16" t="str">
        <f>IFERROR(MATCH($B$3*100000+COUNTIFS(tblRegistros[ID],$B$3,tblRegistros[Data],"&lt;"&amp;$B$4)+ROWS($L$10:L500),tblRegistros[Chave do cartão],0),"")</f>
        <v/>
      </c>
    </row>
    <row r="501" spans="1:12">
      <c r="A501" s="2" t="str">
        <f>IF($L501="","",IF(INDEX(tblRegistros[Data],$L501)&gt;$D$4,"",IFERROR(INDEX(tblRegistros[Data],$L501),"")))</f>
        <v/>
      </c>
      <c r="B501" t="str">
        <f>IF($L501="","",IF(INDEX(tblRegistros[Data],$L501)&gt;$D$4,"",IFERROR(INDEX(tblRegistros[Projeto],$L501),"")))</f>
        <v/>
      </c>
      <c r="C501" t="str">
        <f>IF($L501="","",IF(INDEX(tblRegistros[Data],$L501)&gt;$D$4,"",IFERROR(INDEX(tblRegistros[Atividade],$L501),"")))</f>
        <v/>
      </c>
      <c r="D501" s="4" t="str">
        <f>IF($L501="","",IF(INDEX(tblRegistros[Data],$L501)&gt;$D$4,"",IFERROR(INDEX(tblRegistros[Início],$L501),"")))</f>
        <v/>
      </c>
      <c r="E501" s="4" t="str">
        <f>IF($L501="","",IF(INDEX(tblRegistros[Data],$L501)&gt;$D$4,"",IFERROR(IF(INDEX(tblRegistros[Status],$L501)="EM ABERTO","",INDEX(tblRegistros[Fim],$L501)),"")))</f>
        <v/>
      </c>
      <c r="F501" t="str">
        <f>IF($L501="","",IF(INDEX(tblRegistros[Data],$L501)&gt;$D$4,"",IFERROR(IF(INDEX(tblRegistros[Status],$L501)="EM ABERTO","",INDEX(tblRegistros[Horas],$L501)),"")))</f>
        <v/>
      </c>
      <c r="G501" t="str">
        <f>IF($L501="","",IF(INDEX(tblRegistros[Data],$L501)&gt;$D$4,"",IFERROR(INDEX(tblRegistros[Base],$L501),"")))</f>
        <v/>
      </c>
      <c r="H501" s="3" t="str">
        <f>IF($L501="","",IF(INDEX(tblRegistros[Data],$L501)&gt;$D$4,"",IFERROR(INDEX(tblRegistros[Taxa aplicada],$L501),"")))</f>
        <v/>
      </c>
      <c r="I501" s="3" t="str">
        <f>IF($L501="","",IF(INDEX(tblRegistros[Data],$L501)&gt;$D$4,"",IFERROR(IF(INDEX(tblRegistros[Status],$L501)="EM ABERTO","",INDEX(tblRegistros[Valor],$L501)),"")))</f>
        <v/>
      </c>
      <c r="J501" t="str">
        <f>IF($L501="","",IF(INDEX(tblRegistros[Data],$L501)&gt;$D$4,"",IFERROR(INDEX(tblRegistros[Status],$L501),"")))</f>
        <v/>
      </c>
      <c r="K501" t="str">
        <f>IF($L501="","",IF(INDEX(tblRegistros[Data],$L501)&gt;$D$4,"",IFERROR(INDEX(tblRegistros[Observação],$L501),"")))</f>
        <v/>
      </c>
      <c r="L501" s="16" t="str">
        <f>IFERROR(MATCH($B$3*100000+COUNTIFS(tblRegistros[ID],$B$3,tblRegistros[Data],"&lt;"&amp;$B$4)+ROWS($L$10:L501),tblRegistros[Chave do cartão],0),"")</f>
        <v/>
      </c>
    </row>
    <row r="502" spans="1:12">
      <c r="A502" s="2" t="str">
        <f>IF($L502="","",IF(INDEX(tblRegistros[Data],$L502)&gt;$D$4,"",IFERROR(INDEX(tblRegistros[Data],$L502),"")))</f>
        <v/>
      </c>
      <c r="B502" t="str">
        <f>IF($L502="","",IF(INDEX(tblRegistros[Data],$L502)&gt;$D$4,"",IFERROR(INDEX(tblRegistros[Projeto],$L502),"")))</f>
        <v/>
      </c>
      <c r="C502" t="str">
        <f>IF($L502="","",IF(INDEX(tblRegistros[Data],$L502)&gt;$D$4,"",IFERROR(INDEX(tblRegistros[Atividade],$L502),"")))</f>
        <v/>
      </c>
      <c r="D502" s="4" t="str">
        <f>IF($L502="","",IF(INDEX(tblRegistros[Data],$L502)&gt;$D$4,"",IFERROR(INDEX(tblRegistros[Início],$L502),"")))</f>
        <v/>
      </c>
      <c r="E502" s="4" t="str">
        <f>IF($L502="","",IF(INDEX(tblRegistros[Data],$L502)&gt;$D$4,"",IFERROR(IF(INDEX(tblRegistros[Status],$L502)="EM ABERTO","",INDEX(tblRegistros[Fim],$L502)),"")))</f>
        <v/>
      </c>
      <c r="F502" t="str">
        <f>IF($L502="","",IF(INDEX(tblRegistros[Data],$L502)&gt;$D$4,"",IFERROR(IF(INDEX(tblRegistros[Status],$L502)="EM ABERTO","",INDEX(tblRegistros[Horas],$L502)),"")))</f>
        <v/>
      </c>
      <c r="G502" t="str">
        <f>IF($L502="","",IF(INDEX(tblRegistros[Data],$L502)&gt;$D$4,"",IFERROR(INDEX(tblRegistros[Base],$L502),"")))</f>
        <v/>
      </c>
      <c r="H502" s="3" t="str">
        <f>IF($L502="","",IF(INDEX(tblRegistros[Data],$L502)&gt;$D$4,"",IFERROR(INDEX(tblRegistros[Taxa aplicada],$L502),"")))</f>
        <v/>
      </c>
      <c r="I502" s="3" t="str">
        <f>IF($L502="","",IF(INDEX(tblRegistros[Data],$L502)&gt;$D$4,"",IFERROR(IF(INDEX(tblRegistros[Status],$L502)="EM ABERTO","",INDEX(tblRegistros[Valor],$L502)),"")))</f>
        <v/>
      </c>
      <c r="J502" t="str">
        <f>IF($L502="","",IF(INDEX(tblRegistros[Data],$L502)&gt;$D$4,"",IFERROR(INDEX(tblRegistros[Status],$L502),"")))</f>
        <v/>
      </c>
      <c r="K502" t="str">
        <f>IF($L502="","",IF(INDEX(tblRegistros[Data],$L502)&gt;$D$4,"",IFERROR(INDEX(tblRegistros[Observação],$L502),"")))</f>
        <v/>
      </c>
      <c r="L502" s="16" t="str">
        <f>IFERROR(MATCH($B$3*100000+COUNTIFS(tblRegistros[ID],$B$3,tblRegistros[Data],"&lt;"&amp;$B$4)+ROWS($L$10:L502),tblRegistros[Chave do cartão],0),"")</f>
        <v/>
      </c>
    </row>
    <row r="503" spans="1:12">
      <c r="A503" s="2" t="str">
        <f>IF($L503="","",IF(INDEX(tblRegistros[Data],$L503)&gt;$D$4,"",IFERROR(INDEX(tblRegistros[Data],$L503),"")))</f>
        <v/>
      </c>
      <c r="B503" t="str">
        <f>IF($L503="","",IF(INDEX(tblRegistros[Data],$L503)&gt;$D$4,"",IFERROR(INDEX(tblRegistros[Projeto],$L503),"")))</f>
        <v/>
      </c>
      <c r="C503" t="str">
        <f>IF($L503="","",IF(INDEX(tblRegistros[Data],$L503)&gt;$D$4,"",IFERROR(INDEX(tblRegistros[Atividade],$L503),"")))</f>
        <v/>
      </c>
      <c r="D503" s="4" t="str">
        <f>IF($L503="","",IF(INDEX(tblRegistros[Data],$L503)&gt;$D$4,"",IFERROR(INDEX(tblRegistros[Início],$L503),"")))</f>
        <v/>
      </c>
      <c r="E503" s="4" t="str">
        <f>IF($L503="","",IF(INDEX(tblRegistros[Data],$L503)&gt;$D$4,"",IFERROR(IF(INDEX(tblRegistros[Status],$L503)="EM ABERTO","",INDEX(tblRegistros[Fim],$L503)),"")))</f>
        <v/>
      </c>
      <c r="F503" t="str">
        <f>IF($L503="","",IF(INDEX(tblRegistros[Data],$L503)&gt;$D$4,"",IFERROR(IF(INDEX(tblRegistros[Status],$L503)="EM ABERTO","",INDEX(tblRegistros[Horas],$L503)),"")))</f>
        <v/>
      </c>
      <c r="G503" t="str">
        <f>IF($L503="","",IF(INDEX(tblRegistros[Data],$L503)&gt;$D$4,"",IFERROR(INDEX(tblRegistros[Base],$L503),"")))</f>
        <v/>
      </c>
      <c r="H503" s="3" t="str">
        <f>IF($L503="","",IF(INDEX(tblRegistros[Data],$L503)&gt;$D$4,"",IFERROR(INDEX(tblRegistros[Taxa aplicada],$L503),"")))</f>
        <v/>
      </c>
      <c r="I503" s="3" t="str">
        <f>IF($L503="","",IF(INDEX(tblRegistros[Data],$L503)&gt;$D$4,"",IFERROR(IF(INDEX(tblRegistros[Status],$L503)="EM ABERTO","",INDEX(tblRegistros[Valor],$L503)),"")))</f>
        <v/>
      </c>
      <c r="J503" t="str">
        <f>IF($L503="","",IF(INDEX(tblRegistros[Data],$L503)&gt;$D$4,"",IFERROR(INDEX(tblRegistros[Status],$L503),"")))</f>
        <v/>
      </c>
      <c r="K503" t="str">
        <f>IF($L503="","",IF(INDEX(tblRegistros[Data],$L503)&gt;$D$4,"",IFERROR(INDEX(tblRegistros[Observação],$L503),"")))</f>
        <v/>
      </c>
      <c r="L503" s="16" t="str">
        <f>IFERROR(MATCH($B$3*100000+COUNTIFS(tblRegistros[ID],$B$3,tblRegistros[Data],"&lt;"&amp;$B$4)+ROWS($L$10:L503),tblRegistros[Chave do cartão],0),"")</f>
        <v/>
      </c>
    </row>
    <row r="504" spans="1:12">
      <c r="A504" s="2" t="str">
        <f>IF($L504="","",IF(INDEX(tblRegistros[Data],$L504)&gt;$D$4,"",IFERROR(INDEX(tblRegistros[Data],$L504),"")))</f>
        <v/>
      </c>
      <c r="B504" t="str">
        <f>IF($L504="","",IF(INDEX(tblRegistros[Data],$L504)&gt;$D$4,"",IFERROR(INDEX(tblRegistros[Projeto],$L504),"")))</f>
        <v/>
      </c>
      <c r="C504" t="str">
        <f>IF($L504="","",IF(INDEX(tblRegistros[Data],$L504)&gt;$D$4,"",IFERROR(INDEX(tblRegistros[Atividade],$L504),"")))</f>
        <v/>
      </c>
      <c r="D504" s="4" t="str">
        <f>IF($L504="","",IF(INDEX(tblRegistros[Data],$L504)&gt;$D$4,"",IFERROR(INDEX(tblRegistros[Início],$L504),"")))</f>
        <v/>
      </c>
      <c r="E504" s="4" t="str">
        <f>IF($L504="","",IF(INDEX(tblRegistros[Data],$L504)&gt;$D$4,"",IFERROR(IF(INDEX(tblRegistros[Status],$L504)="EM ABERTO","",INDEX(tblRegistros[Fim],$L504)),"")))</f>
        <v/>
      </c>
      <c r="F504" t="str">
        <f>IF($L504="","",IF(INDEX(tblRegistros[Data],$L504)&gt;$D$4,"",IFERROR(IF(INDEX(tblRegistros[Status],$L504)="EM ABERTO","",INDEX(tblRegistros[Horas],$L504)),"")))</f>
        <v/>
      </c>
      <c r="G504" t="str">
        <f>IF($L504="","",IF(INDEX(tblRegistros[Data],$L504)&gt;$D$4,"",IFERROR(INDEX(tblRegistros[Base],$L504),"")))</f>
        <v/>
      </c>
      <c r="H504" s="3" t="str">
        <f>IF($L504="","",IF(INDEX(tblRegistros[Data],$L504)&gt;$D$4,"",IFERROR(INDEX(tblRegistros[Taxa aplicada],$L504),"")))</f>
        <v/>
      </c>
      <c r="I504" s="3" t="str">
        <f>IF($L504="","",IF(INDEX(tblRegistros[Data],$L504)&gt;$D$4,"",IFERROR(IF(INDEX(tblRegistros[Status],$L504)="EM ABERTO","",INDEX(tblRegistros[Valor],$L504)),"")))</f>
        <v/>
      </c>
      <c r="J504" t="str">
        <f>IF($L504="","",IF(INDEX(tblRegistros[Data],$L504)&gt;$D$4,"",IFERROR(INDEX(tblRegistros[Status],$L504),"")))</f>
        <v/>
      </c>
      <c r="K504" t="str">
        <f>IF($L504="","",IF(INDEX(tblRegistros[Data],$L504)&gt;$D$4,"",IFERROR(INDEX(tblRegistros[Observação],$L504),"")))</f>
        <v/>
      </c>
      <c r="L504" s="16" t="str">
        <f>IFERROR(MATCH($B$3*100000+COUNTIFS(tblRegistros[ID],$B$3,tblRegistros[Data],"&lt;"&amp;$B$4)+ROWS($L$10:L504),tblRegistros[Chave do cartão],0),"")</f>
        <v/>
      </c>
    </row>
    <row r="505" spans="1:12">
      <c r="A505" s="2" t="str">
        <f>IF($L505="","",IF(INDEX(tblRegistros[Data],$L505)&gt;$D$4,"",IFERROR(INDEX(tblRegistros[Data],$L505),"")))</f>
        <v/>
      </c>
      <c r="B505" t="str">
        <f>IF($L505="","",IF(INDEX(tblRegistros[Data],$L505)&gt;$D$4,"",IFERROR(INDEX(tblRegistros[Projeto],$L505),"")))</f>
        <v/>
      </c>
      <c r="C505" t="str">
        <f>IF($L505="","",IF(INDEX(tblRegistros[Data],$L505)&gt;$D$4,"",IFERROR(INDEX(tblRegistros[Atividade],$L505),"")))</f>
        <v/>
      </c>
      <c r="D505" s="4" t="str">
        <f>IF($L505="","",IF(INDEX(tblRegistros[Data],$L505)&gt;$D$4,"",IFERROR(INDEX(tblRegistros[Início],$L505),"")))</f>
        <v/>
      </c>
      <c r="E505" s="4" t="str">
        <f>IF($L505="","",IF(INDEX(tblRegistros[Data],$L505)&gt;$D$4,"",IFERROR(IF(INDEX(tblRegistros[Status],$L505)="EM ABERTO","",INDEX(tblRegistros[Fim],$L505)),"")))</f>
        <v/>
      </c>
      <c r="F505" t="str">
        <f>IF($L505="","",IF(INDEX(tblRegistros[Data],$L505)&gt;$D$4,"",IFERROR(IF(INDEX(tblRegistros[Status],$L505)="EM ABERTO","",INDEX(tblRegistros[Horas],$L505)),"")))</f>
        <v/>
      </c>
      <c r="G505" t="str">
        <f>IF($L505="","",IF(INDEX(tblRegistros[Data],$L505)&gt;$D$4,"",IFERROR(INDEX(tblRegistros[Base],$L505),"")))</f>
        <v/>
      </c>
      <c r="H505" s="3" t="str">
        <f>IF($L505="","",IF(INDEX(tblRegistros[Data],$L505)&gt;$D$4,"",IFERROR(INDEX(tblRegistros[Taxa aplicada],$L505),"")))</f>
        <v/>
      </c>
      <c r="I505" s="3" t="str">
        <f>IF($L505="","",IF(INDEX(tblRegistros[Data],$L505)&gt;$D$4,"",IFERROR(IF(INDEX(tblRegistros[Status],$L505)="EM ABERTO","",INDEX(tblRegistros[Valor],$L505)),"")))</f>
        <v/>
      </c>
      <c r="J505" t="str">
        <f>IF($L505="","",IF(INDEX(tblRegistros[Data],$L505)&gt;$D$4,"",IFERROR(INDEX(tblRegistros[Status],$L505),"")))</f>
        <v/>
      </c>
      <c r="K505" t="str">
        <f>IF($L505="","",IF(INDEX(tblRegistros[Data],$L505)&gt;$D$4,"",IFERROR(INDEX(tblRegistros[Observação],$L505),"")))</f>
        <v/>
      </c>
      <c r="L505" s="16" t="str">
        <f>IFERROR(MATCH($B$3*100000+COUNTIFS(tblRegistros[ID],$B$3,tblRegistros[Data],"&lt;"&amp;$B$4)+ROWS($L$10:L505),tblRegistros[Chave do cartão],0),"")</f>
        <v/>
      </c>
    </row>
    <row r="506" spans="1:12">
      <c r="A506" s="2" t="str">
        <f>IF($L506="","",IF(INDEX(tblRegistros[Data],$L506)&gt;$D$4,"",IFERROR(INDEX(tblRegistros[Data],$L506),"")))</f>
        <v/>
      </c>
      <c r="B506" t="str">
        <f>IF($L506="","",IF(INDEX(tblRegistros[Data],$L506)&gt;$D$4,"",IFERROR(INDEX(tblRegistros[Projeto],$L506),"")))</f>
        <v/>
      </c>
      <c r="C506" t="str">
        <f>IF($L506="","",IF(INDEX(tblRegistros[Data],$L506)&gt;$D$4,"",IFERROR(INDEX(tblRegistros[Atividade],$L506),"")))</f>
        <v/>
      </c>
      <c r="D506" s="4" t="str">
        <f>IF($L506="","",IF(INDEX(tblRegistros[Data],$L506)&gt;$D$4,"",IFERROR(INDEX(tblRegistros[Início],$L506),"")))</f>
        <v/>
      </c>
      <c r="E506" s="4" t="str">
        <f>IF($L506="","",IF(INDEX(tblRegistros[Data],$L506)&gt;$D$4,"",IFERROR(IF(INDEX(tblRegistros[Status],$L506)="EM ABERTO","",INDEX(tblRegistros[Fim],$L506)),"")))</f>
        <v/>
      </c>
      <c r="F506" t="str">
        <f>IF($L506="","",IF(INDEX(tblRegistros[Data],$L506)&gt;$D$4,"",IFERROR(IF(INDEX(tblRegistros[Status],$L506)="EM ABERTO","",INDEX(tblRegistros[Horas],$L506)),"")))</f>
        <v/>
      </c>
      <c r="G506" t="str">
        <f>IF($L506="","",IF(INDEX(tblRegistros[Data],$L506)&gt;$D$4,"",IFERROR(INDEX(tblRegistros[Base],$L506),"")))</f>
        <v/>
      </c>
      <c r="H506" s="3" t="str">
        <f>IF($L506="","",IF(INDEX(tblRegistros[Data],$L506)&gt;$D$4,"",IFERROR(INDEX(tblRegistros[Taxa aplicada],$L506),"")))</f>
        <v/>
      </c>
      <c r="I506" s="3" t="str">
        <f>IF($L506="","",IF(INDEX(tblRegistros[Data],$L506)&gt;$D$4,"",IFERROR(IF(INDEX(tblRegistros[Status],$L506)="EM ABERTO","",INDEX(tblRegistros[Valor],$L506)),"")))</f>
        <v/>
      </c>
      <c r="J506" t="str">
        <f>IF($L506="","",IF(INDEX(tblRegistros[Data],$L506)&gt;$D$4,"",IFERROR(INDEX(tblRegistros[Status],$L506),"")))</f>
        <v/>
      </c>
      <c r="K506" t="str">
        <f>IF($L506="","",IF(INDEX(tblRegistros[Data],$L506)&gt;$D$4,"",IFERROR(INDEX(tblRegistros[Observação],$L506),"")))</f>
        <v/>
      </c>
      <c r="L506" s="16" t="str">
        <f>IFERROR(MATCH($B$3*100000+COUNTIFS(tblRegistros[ID],$B$3,tblRegistros[Data],"&lt;"&amp;$B$4)+ROWS($L$10:L506),tblRegistros[Chave do cartão],0),"")</f>
        <v/>
      </c>
    </row>
    <row r="507" spans="1:12">
      <c r="A507" s="2" t="str">
        <f>IF($L507="","",IF(INDEX(tblRegistros[Data],$L507)&gt;$D$4,"",IFERROR(INDEX(tblRegistros[Data],$L507),"")))</f>
        <v/>
      </c>
      <c r="B507" t="str">
        <f>IF($L507="","",IF(INDEX(tblRegistros[Data],$L507)&gt;$D$4,"",IFERROR(INDEX(tblRegistros[Projeto],$L507),"")))</f>
        <v/>
      </c>
      <c r="C507" t="str">
        <f>IF($L507="","",IF(INDEX(tblRegistros[Data],$L507)&gt;$D$4,"",IFERROR(INDEX(tblRegistros[Atividade],$L507),"")))</f>
        <v/>
      </c>
      <c r="D507" s="4" t="str">
        <f>IF($L507="","",IF(INDEX(tblRegistros[Data],$L507)&gt;$D$4,"",IFERROR(INDEX(tblRegistros[Início],$L507),"")))</f>
        <v/>
      </c>
      <c r="E507" s="4" t="str">
        <f>IF($L507="","",IF(INDEX(tblRegistros[Data],$L507)&gt;$D$4,"",IFERROR(IF(INDEX(tblRegistros[Status],$L507)="EM ABERTO","",INDEX(tblRegistros[Fim],$L507)),"")))</f>
        <v/>
      </c>
      <c r="F507" t="str">
        <f>IF($L507="","",IF(INDEX(tblRegistros[Data],$L507)&gt;$D$4,"",IFERROR(IF(INDEX(tblRegistros[Status],$L507)="EM ABERTO","",INDEX(tblRegistros[Horas],$L507)),"")))</f>
        <v/>
      </c>
      <c r="G507" t="str">
        <f>IF($L507="","",IF(INDEX(tblRegistros[Data],$L507)&gt;$D$4,"",IFERROR(INDEX(tblRegistros[Base],$L507),"")))</f>
        <v/>
      </c>
      <c r="H507" s="3" t="str">
        <f>IF($L507="","",IF(INDEX(tblRegistros[Data],$L507)&gt;$D$4,"",IFERROR(INDEX(tblRegistros[Taxa aplicada],$L507),"")))</f>
        <v/>
      </c>
      <c r="I507" s="3" t="str">
        <f>IF($L507="","",IF(INDEX(tblRegistros[Data],$L507)&gt;$D$4,"",IFERROR(IF(INDEX(tblRegistros[Status],$L507)="EM ABERTO","",INDEX(tblRegistros[Valor],$L507)),"")))</f>
        <v/>
      </c>
      <c r="J507" t="str">
        <f>IF($L507="","",IF(INDEX(tblRegistros[Data],$L507)&gt;$D$4,"",IFERROR(INDEX(tblRegistros[Status],$L507),"")))</f>
        <v/>
      </c>
      <c r="K507" t="str">
        <f>IF($L507="","",IF(INDEX(tblRegistros[Data],$L507)&gt;$D$4,"",IFERROR(INDEX(tblRegistros[Observação],$L507),"")))</f>
        <v/>
      </c>
      <c r="L507" s="16" t="str">
        <f>IFERROR(MATCH($B$3*100000+COUNTIFS(tblRegistros[ID],$B$3,tblRegistros[Data],"&lt;"&amp;$B$4)+ROWS($L$10:L507),tblRegistros[Chave do cartão],0),"")</f>
        <v/>
      </c>
    </row>
    <row r="508" spans="1:12">
      <c r="A508" s="2" t="str">
        <f>IF($L508="","",IF(INDEX(tblRegistros[Data],$L508)&gt;$D$4,"",IFERROR(INDEX(tblRegistros[Data],$L508),"")))</f>
        <v/>
      </c>
      <c r="B508" t="str">
        <f>IF($L508="","",IF(INDEX(tblRegistros[Data],$L508)&gt;$D$4,"",IFERROR(INDEX(tblRegistros[Projeto],$L508),"")))</f>
        <v/>
      </c>
      <c r="C508" t="str">
        <f>IF($L508="","",IF(INDEX(tblRegistros[Data],$L508)&gt;$D$4,"",IFERROR(INDEX(tblRegistros[Atividade],$L508),"")))</f>
        <v/>
      </c>
      <c r="D508" s="4" t="str">
        <f>IF($L508="","",IF(INDEX(tblRegistros[Data],$L508)&gt;$D$4,"",IFERROR(INDEX(tblRegistros[Início],$L508),"")))</f>
        <v/>
      </c>
      <c r="E508" s="4" t="str">
        <f>IF($L508="","",IF(INDEX(tblRegistros[Data],$L508)&gt;$D$4,"",IFERROR(IF(INDEX(tblRegistros[Status],$L508)="EM ABERTO","",INDEX(tblRegistros[Fim],$L508)),"")))</f>
        <v/>
      </c>
      <c r="F508" t="str">
        <f>IF($L508="","",IF(INDEX(tblRegistros[Data],$L508)&gt;$D$4,"",IFERROR(IF(INDEX(tblRegistros[Status],$L508)="EM ABERTO","",INDEX(tblRegistros[Horas],$L508)),"")))</f>
        <v/>
      </c>
      <c r="G508" t="str">
        <f>IF($L508="","",IF(INDEX(tblRegistros[Data],$L508)&gt;$D$4,"",IFERROR(INDEX(tblRegistros[Base],$L508),"")))</f>
        <v/>
      </c>
      <c r="H508" s="3" t="str">
        <f>IF($L508="","",IF(INDEX(tblRegistros[Data],$L508)&gt;$D$4,"",IFERROR(INDEX(tblRegistros[Taxa aplicada],$L508),"")))</f>
        <v/>
      </c>
      <c r="I508" s="3" t="str">
        <f>IF($L508="","",IF(INDEX(tblRegistros[Data],$L508)&gt;$D$4,"",IFERROR(IF(INDEX(tblRegistros[Status],$L508)="EM ABERTO","",INDEX(tblRegistros[Valor],$L508)),"")))</f>
        <v/>
      </c>
      <c r="J508" t="str">
        <f>IF($L508="","",IF(INDEX(tblRegistros[Data],$L508)&gt;$D$4,"",IFERROR(INDEX(tblRegistros[Status],$L508),"")))</f>
        <v/>
      </c>
      <c r="K508" t="str">
        <f>IF($L508="","",IF(INDEX(tblRegistros[Data],$L508)&gt;$D$4,"",IFERROR(INDEX(tblRegistros[Observação],$L508),"")))</f>
        <v/>
      </c>
      <c r="L508" s="16" t="str">
        <f>IFERROR(MATCH($B$3*100000+COUNTIFS(tblRegistros[ID],$B$3,tblRegistros[Data],"&lt;"&amp;$B$4)+ROWS($L$10:L508),tblRegistros[Chave do cartão],0),"")</f>
        <v/>
      </c>
    </row>
    <row r="509" spans="1:12">
      <c r="A509" s="2" t="str">
        <f>IF($L509="","",IF(INDEX(tblRegistros[Data],$L509)&gt;$D$4,"",IFERROR(INDEX(tblRegistros[Data],$L509),"")))</f>
        <v/>
      </c>
      <c r="B509" t="str">
        <f>IF($L509="","",IF(INDEX(tblRegistros[Data],$L509)&gt;$D$4,"",IFERROR(INDEX(tblRegistros[Projeto],$L509),"")))</f>
        <v/>
      </c>
      <c r="C509" t="str">
        <f>IF($L509="","",IF(INDEX(tblRegistros[Data],$L509)&gt;$D$4,"",IFERROR(INDEX(tblRegistros[Atividade],$L509),"")))</f>
        <v/>
      </c>
      <c r="D509" s="4" t="str">
        <f>IF($L509="","",IF(INDEX(tblRegistros[Data],$L509)&gt;$D$4,"",IFERROR(INDEX(tblRegistros[Início],$L509),"")))</f>
        <v/>
      </c>
      <c r="E509" s="4" t="str">
        <f>IF($L509="","",IF(INDEX(tblRegistros[Data],$L509)&gt;$D$4,"",IFERROR(IF(INDEX(tblRegistros[Status],$L509)="EM ABERTO","",INDEX(tblRegistros[Fim],$L509)),"")))</f>
        <v/>
      </c>
      <c r="F509" t="str">
        <f>IF($L509="","",IF(INDEX(tblRegistros[Data],$L509)&gt;$D$4,"",IFERROR(IF(INDEX(tblRegistros[Status],$L509)="EM ABERTO","",INDEX(tblRegistros[Horas],$L509)),"")))</f>
        <v/>
      </c>
      <c r="G509" t="str">
        <f>IF($L509="","",IF(INDEX(tblRegistros[Data],$L509)&gt;$D$4,"",IFERROR(INDEX(tblRegistros[Base],$L509),"")))</f>
        <v/>
      </c>
      <c r="H509" s="3" t="str">
        <f>IF($L509="","",IF(INDEX(tblRegistros[Data],$L509)&gt;$D$4,"",IFERROR(INDEX(tblRegistros[Taxa aplicada],$L509),"")))</f>
        <v/>
      </c>
      <c r="I509" s="3" t="str">
        <f>IF($L509="","",IF(INDEX(tblRegistros[Data],$L509)&gt;$D$4,"",IFERROR(IF(INDEX(tblRegistros[Status],$L509)="EM ABERTO","",INDEX(tblRegistros[Valor],$L509)),"")))</f>
        <v/>
      </c>
      <c r="J509" t="str">
        <f>IF($L509="","",IF(INDEX(tblRegistros[Data],$L509)&gt;$D$4,"",IFERROR(INDEX(tblRegistros[Status],$L509),"")))</f>
        <v/>
      </c>
      <c r="K509" t="str">
        <f>IF($L509="","",IF(INDEX(tblRegistros[Data],$L509)&gt;$D$4,"",IFERROR(INDEX(tblRegistros[Observação],$L509),"")))</f>
        <v/>
      </c>
      <c r="L509" s="16" t="str">
        <f>IFERROR(MATCH($B$3*100000+COUNTIFS(tblRegistros[ID],$B$3,tblRegistros[Data],"&lt;"&amp;$B$4)+ROWS($L$10:L509),tblRegistros[Chave do cartão],0),"")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24D"/>
  </sheetPr>
  <dimension ref="A1:N106"/>
  <sheetViews>
    <sheetView showGridLines="0" workbookViewId="0">
      <selection activeCell="A7" sqref="A7"/>
    </sheetView>
  </sheetViews>
  <sheetFormatPr defaultRowHeight="14.25"/>
  <cols>
    <col min="1" max="1" width="8" customWidth="1"/>
    <col min="2" max="2" width="32.25" customWidth="1"/>
    <col min="3" max="3" width="10" customWidth="1"/>
    <col min="4" max="6" width="11.125" customWidth="1"/>
    <col min="7" max="7" width="13.125" customWidth="1"/>
    <col min="8" max="10" width="11.625" customWidth="1"/>
    <col min="11" max="11" width="13.875" customWidth="1"/>
    <col min="12" max="12" width="11.625" customWidth="1"/>
    <col min="13" max="13" width="15" customWidth="1"/>
    <col min="14" max="14" width="11.625" customWidth="1"/>
  </cols>
  <sheetData>
    <row r="1" spans="1:14" ht="24" customHeight="1">
      <c r="A1" s="17" t="s">
        <v>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9.5" customHeight="1">
      <c r="A2" s="7" t="s">
        <v>33</v>
      </c>
    </row>
    <row r="4" spans="1:14" ht="22.5" customHeight="1">
      <c r="A4" s="8" t="s">
        <v>14</v>
      </c>
      <c r="B4" s="11"/>
      <c r="C4" s="8" t="s">
        <v>15</v>
      </c>
      <c r="D4" s="11"/>
    </row>
    <row r="5" spans="1:14" ht="15">
      <c r="A5" s="18" t="s">
        <v>34</v>
      </c>
      <c r="B5" s="18"/>
      <c r="C5" s="18"/>
      <c r="D5" s="18"/>
      <c r="E5" s="18"/>
      <c r="F5" s="20">
        <f>SUM(F7:F106)</f>
        <v>0</v>
      </c>
      <c r="G5" s="18"/>
      <c r="H5" s="18"/>
      <c r="I5" s="18"/>
      <c r="J5" s="18"/>
      <c r="K5" s="18"/>
      <c r="L5" s="18"/>
      <c r="M5" s="19">
        <f>SUM(M7:M106)</f>
        <v>0</v>
      </c>
      <c r="N5" s="18">
        <f>SUM(N7:N106)</f>
        <v>0</v>
      </c>
    </row>
    <row r="6" spans="1:14" ht="24" customHeight="1">
      <c r="A6" s="5" t="s">
        <v>35</v>
      </c>
      <c r="B6" s="5" t="s">
        <v>3</v>
      </c>
      <c r="C6" s="5" t="s">
        <v>27</v>
      </c>
      <c r="D6" s="5" t="s">
        <v>16</v>
      </c>
      <c r="E6" s="5" t="s">
        <v>17</v>
      </c>
      <c r="F6" s="5" t="s">
        <v>18</v>
      </c>
      <c r="G6" s="5" t="s">
        <v>36</v>
      </c>
      <c r="H6" s="5" t="s">
        <v>37</v>
      </c>
      <c r="I6" s="5" t="s">
        <v>38</v>
      </c>
      <c r="J6" s="5" t="s">
        <v>39</v>
      </c>
      <c r="K6" s="5" t="s">
        <v>40</v>
      </c>
      <c r="L6" s="5" t="s">
        <v>41</v>
      </c>
      <c r="M6" s="5" t="s">
        <v>42</v>
      </c>
      <c r="N6" s="5" t="s">
        <v>21</v>
      </c>
    </row>
    <row r="7" spans="1:14" ht="18.75" customHeight="1">
      <c r="A7">
        <v>1001</v>
      </c>
      <c r="B7" s="25" t="s">
        <v>290</v>
      </c>
      <c r="C7" t="s">
        <v>43</v>
      </c>
      <c r="D7" s="14">
        <f>IF(A7="","",SUMIFS(tblRegistros[Horas],tblRegistros[ID],A7,tblRegistros[Data],"&gt;="&amp;$B$4,tblRegistros[Data],"&lt;"&amp;($D$4+1),tblRegistros[Status],"CONCLUÍDO",tblRegistros[Tipo de dia],"DIA ÚTIL"))</f>
        <v>0</v>
      </c>
      <c r="E7" s="14">
        <f>IF(A7="","",SUMIFS(tblRegistros[Horas],tblRegistros[ID],A7,tblRegistros[Data],"&gt;="&amp;$B$4,tblRegistros[Data],"&lt;"&amp;($D$4+1),tblRegistros[Status],"CONCLUÍDO",tblRegistros[Tipo de dia],"FDS/FERIADO"))</f>
        <v>0</v>
      </c>
      <c r="F7" s="14">
        <f t="shared" ref="F7:F23" si="0">IF(A7="","",D7+E7)</f>
        <v>0</v>
      </c>
      <c r="G7">
        <f>IF(A7="","",SUMIFS(tblRegistros[1º do dia],tblRegistros[ID],A7,tblRegistros[Data],"&gt;="&amp;$B$4,tblRegistros[Data],"&lt;"&amp;($D$4+1),tblRegistros[Status],"CONCLUÍDO"))</f>
        <v>0</v>
      </c>
      <c r="H7" s="3">
        <v>17</v>
      </c>
      <c r="I7" s="3">
        <v>20</v>
      </c>
      <c r="J7" s="3">
        <v>0</v>
      </c>
      <c r="K7" s="3">
        <f>IF(A7="","",SUMIFS(tblRegistros[Valor],tblRegistros[ID],A7,tblRegistros[Data],"&gt;="&amp;$B$4,tblRegistros[Data],"&lt;"&amp;($D$4+1),tblRegistros[Status],"CONCLUÍDO"))</f>
        <v>0</v>
      </c>
      <c r="L7" s="3">
        <v>0</v>
      </c>
      <c r="M7" s="3">
        <f t="shared" ref="M7:M23" si="1">IF(A7="","",K7+L7)</f>
        <v>0</v>
      </c>
      <c r="N7">
        <f>IF(A7="","",COUNTIFS(tblRegistros[ID],A7,tblRegistros[Data],"&gt;="&amp;$B$4,tblRegistros[Data],"&lt;"&amp;($D$4+1),tblRegistros[Status],"EM ABERTO")+COUNTIFS(tblRegistros[ID],A7,tblRegistros[Data],"&gt;="&amp;$B$4,tblRegistros[Data],"&lt;"&amp;($D$4+1),tblRegistros[Status],"REVISAR"))</f>
        <v>0</v>
      </c>
    </row>
    <row r="8" spans="1:14" ht="18.75" customHeight="1">
      <c r="A8">
        <v>1002</v>
      </c>
      <c r="B8" s="26" t="s">
        <v>291</v>
      </c>
      <c r="C8" t="s">
        <v>43</v>
      </c>
      <c r="D8" s="14">
        <f>IF(A8="","",SUMIFS(tblRegistros[Horas],tblRegistros[ID],A8,tblRegistros[Data],"&gt;="&amp;$B$4,tblRegistros[Data],"&lt;"&amp;($D$4+1),tblRegistros[Status],"CONCLUÍDO",tblRegistros[Tipo de dia],"DIA ÚTIL"))</f>
        <v>0</v>
      </c>
      <c r="E8" s="14">
        <f>IF(A8="","",SUMIFS(tblRegistros[Horas],tblRegistros[ID],A8,tblRegistros[Data],"&gt;="&amp;$B$4,tblRegistros[Data],"&lt;"&amp;($D$4+1),tblRegistros[Status],"CONCLUÍDO",tblRegistros[Tipo de dia],"FDS/FERIADO"))</f>
        <v>0</v>
      </c>
      <c r="F8" s="14">
        <f t="shared" si="0"/>
        <v>0</v>
      </c>
      <c r="G8">
        <f>IF(A8="","",SUMIFS(tblRegistros[1º do dia],tblRegistros[ID],A8,tblRegistros[Data],"&gt;="&amp;$B$4,tblRegistros[Data],"&lt;"&amp;($D$4+1),tblRegistros[Status],"CONCLUÍDO"))</f>
        <v>0</v>
      </c>
      <c r="H8" s="3">
        <v>23.5</v>
      </c>
      <c r="I8" s="3">
        <v>23.5</v>
      </c>
      <c r="J8" s="3">
        <v>0</v>
      </c>
      <c r="K8" s="3">
        <f>IF(A8="","",SUMIFS(tblRegistros[Valor],tblRegistros[ID],A8,tblRegistros[Data],"&gt;="&amp;$B$4,tblRegistros[Data],"&lt;"&amp;($D$4+1),tblRegistros[Status],"CONCLUÍDO"))</f>
        <v>0</v>
      </c>
      <c r="L8" s="3">
        <v>0</v>
      </c>
      <c r="M8" s="3">
        <f t="shared" si="1"/>
        <v>0</v>
      </c>
      <c r="N8">
        <f>IF(A8="","",COUNTIFS(tblRegistros[ID],A8,tblRegistros[Data],"&gt;="&amp;$B$4,tblRegistros[Data],"&lt;"&amp;($D$4+1),tblRegistros[Status],"EM ABERTO")+COUNTIFS(tblRegistros[ID],A8,tblRegistros[Data],"&gt;="&amp;$B$4,tblRegistros[Data],"&lt;"&amp;($D$4+1),tblRegistros[Status],"REVISAR"))</f>
        <v>0</v>
      </c>
    </row>
    <row r="9" spans="1:14" ht="18.75" customHeight="1">
      <c r="A9">
        <v>1003</v>
      </c>
      <c r="B9" s="25" t="s">
        <v>292</v>
      </c>
      <c r="C9" t="s">
        <v>43</v>
      </c>
      <c r="D9" s="14">
        <f>IF(A9="","",SUMIFS(tblRegistros[Horas],tblRegistros[ID],A9,tblRegistros[Data],"&gt;="&amp;$B$4,tblRegistros[Data],"&lt;"&amp;($D$4+1),tblRegistros[Status],"CONCLUÍDO",tblRegistros[Tipo de dia],"DIA ÚTIL"))</f>
        <v>0</v>
      </c>
      <c r="E9" s="14">
        <f>IF(A9="","",SUMIFS(tblRegistros[Horas],tblRegistros[ID],A9,tblRegistros[Data],"&gt;="&amp;$B$4,tblRegistros[Data],"&lt;"&amp;($D$4+1),tblRegistros[Status],"CONCLUÍDO",tblRegistros[Tipo de dia],"FDS/FERIADO"))</f>
        <v>0</v>
      </c>
      <c r="F9" s="14">
        <f t="shared" si="0"/>
        <v>0</v>
      </c>
      <c r="G9">
        <f>IF(A9="","",SUMIFS(tblRegistros[1º do dia],tblRegistros[ID],A9,tblRegistros[Data],"&gt;="&amp;$B$4,tblRegistros[Data],"&lt;"&amp;($D$4+1),tblRegistros[Status],"CONCLUÍDO"))</f>
        <v>0</v>
      </c>
      <c r="H9" s="3">
        <v>23.5</v>
      </c>
      <c r="I9" s="3">
        <v>23.5</v>
      </c>
      <c r="J9" s="3">
        <v>0</v>
      </c>
      <c r="K9" s="3">
        <f>IF(A9="","",SUMIFS(tblRegistros[Valor],tblRegistros[ID],A9,tblRegistros[Data],"&gt;="&amp;$B$4,tblRegistros[Data],"&lt;"&amp;($D$4+1),tblRegistros[Status],"CONCLUÍDO"))</f>
        <v>0</v>
      </c>
      <c r="L9" s="3">
        <v>0</v>
      </c>
      <c r="M9" s="3">
        <f t="shared" si="1"/>
        <v>0</v>
      </c>
      <c r="N9">
        <f>IF(A9="","",COUNTIFS(tblRegistros[ID],A9,tblRegistros[Data],"&gt;="&amp;$B$4,tblRegistros[Data],"&lt;"&amp;($D$4+1),tblRegistros[Status],"EM ABERTO")+COUNTIFS(tblRegistros[ID],A9,tblRegistros[Data],"&gt;="&amp;$B$4,tblRegistros[Data],"&lt;"&amp;($D$4+1),tblRegistros[Status],"REVISAR"))</f>
        <v>0</v>
      </c>
    </row>
    <row r="10" spans="1:14" ht="18.75" customHeight="1">
      <c r="A10">
        <v>1004</v>
      </c>
      <c r="B10" s="26" t="s">
        <v>293</v>
      </c>
      <c r="C10" t="s">
        <v>43</v>
      </c>
      <c r="D10" s="14">
        <f>IF(A10="","",SUMIFS(tblRegistros[Horas],tblRegistros[ID],A10,tblRegistros[Data],"&gt;="&amp;$B$4,tblRegistros[Data],"&lt;"&amp;($D$4+1),tblRegistros[Status],"CONCLUÍDO",tblRegistros[Tipo de dia],"DIA ÚTIL"))</f>
        <v>0</v>
      </c>
      <c r="E10" s="14">
        <f>IF(A10="","",SUMIFS(tblRegistros[Horas],tblRegistros[ID],A10,tblRegistros[Data],"&gt;="&amp;$B$4,tblRegistros[Data],"&lt;"&amp;($D$4+1),tblRegistros[Status],"CONCLUÍDO",tblRegistros[Tipo de dia],"FDS/FERIADO"))</f>
        <v>0</v>
      </c>
      <c r="F10" s="14">
        <f t="shared" si="0"/>
        <v>0</v>
      </c>
      <c r="G10">
        <f>IF(A10="","",SUMIFS(tblRegistros[1º do dia],tblRegistros[ID],A10,tblRegistros[Data],"&gt;="&amp;$B$4,tblRegistros[Data],"&lt;"&amp;($D$4+1),tblRegistros[Status],"CONCLUÍDO"))</f>
        <v>0</v>
      </c>
      <c r="H10" s="3">
        <v>21.5</v>
      </c>
      <c r="I10" s="3">
        <v>20</v>
      </c>
      <c r="J10" s="3">
        <v>0</v>
      </c>
      <c r="K10" s="3">
        <f>IF(A10="","",SUMIFS(tblRegistros[Valor],tblRegistros[ID],A10,tblRegistros[Data],"&gt;="&amp;$B$4,tblRegistros[Data],"&lt;"&amp;($D$4+1),tblRegistros[Status],"CONCLUÍDO"))</f>
        <v>0</v>
      </c>
      <c r="L10" s="3">
        <v>0</v>
      </c>
      <c r="M10" s="3">
        <f t="shared" si="1"/>
        <v>0</v>
      </c>
      <c r="N10">
        <f>IF(A10="","",COUNTIFS(tblRegistros[ID],A10,tblRegistros[Data],"&gt;="&amp;$B$4,tblRegistros[Data],"&lt;"&amp;($D$4+1),tblRegistros[Status],"EM ABERTO")+COUNTIFS(tblRegistros[ID],A10,tblRegistros[Data],"&gt;="&amp;$B$4,tblRegistros[Data],"&lt;"&amp;($D$4+1),tblRegistros[Status],"REVISAR"))</f>
        <v>0</v>
      </c>
    </row>
    <row r="11" spans="1:14" ht="18.75" customHeight="1">
      <c r="D11" s="14"/>
      <c r="E11" s="14"/>
      <c r="F11" s="14"/>
      <c r="H11" s="3"/>
      <c r="I11" s="3"/>
      <c r="J11" s="3"/>
      <c r="K11" s="3"/>
      <c r="L11" s="3"/>
      <c r="M11" s="3" t="str">
        <f t="shared" si="1"/>
        <v/>
      </c>
      <c r="N11" t="str">
        <f>IF(A11="","",COUNTIFS(tblRegistros[ID],A11,tblRegistros[Data],"&gt;="&amp;$B$4,tblRegistros[Data],"&lt;"&amp;($D$4+1),tblRegistros[Status],"EM ABERTO")+COUNTIFS(tblRegistros[ID],A11,tblRegistros[Data],"&gt;="&amp;$B$4,tblRegistros[Data],"&lt;"&amp;($D$4+1),tblRegistros[Status],"REVISAR"))</f>
        <v/>
      </c>
    </row>
    <row r="12" spans="1:14" ht="18.75" customHeight="1">
      <c r="D12" s="14"/>
      <c r="E12" s="14"/>
      <c r="F12" s="14"/>
      <c r="H12" s="3"/>
      <c r="I12" s="3"/>
      <c r="J12" s="3"/>
      <c r="K12" s="3"/>
      <c r="L12" s="3"/>
      <c r="M12" s="3" t="str">
        <f t="shared" si="1"/>
        <v/>
      </c>
      <c r="N12" t="str">
        <f>IF(A12="","",COUNTIFS(tblRegistros[ID],A12,tblRegistros[Data],"&gt;="&amp;$B$4,tblRegistros[Data],"&lt;"&amp;($D$4+1),tblRegistros[Status],"EM ABERTO")+COUNTIFS(tblRegistros[ID],A12,tblRegistros[Data],"&gt;="&amp;$B$4,tblRegistros[Data],"&lt;"&amp;($D$4+1),tblRegistros[Status],"REVISAR"))</f>
        <v/>
      </c>
    </row>
    <row r="13" spans="1:14" ht="18.75" customHeight="1">
      <c r="D13" s="14"/>
      <c r="E13" s="14"/>
      <c r="F13" s="14"/>
      <c r="H13" s="3"/>
      <c r="I13" s="3"/>
      <c r="J13" s="3"/>
      <c r="K13" s="3"/>
      <c r="L13" s="3"/>
      <c r="M13" s="3" t="str">
        <f t="shared" si="1"/>
        <v/>
      </c>
      <c r="N13" t="str">
        <f>IF(A13="","",COUNTIFS(tblRegistros[ID],A13,tblRegistros[Data],"&gt;="&amp;$B$4,tblRegistros[Data],"&lt;"&amp;($D$4+1),tblRegistros[Status],"EM ABERTO")+COUNTIFS(tblRegistros[ID],A13,tblRegistros[Data],"&gt;="&amp;$B$4,tblRegistros[Data],"&lt;"&amp;($D$4+1),tblRegistros[Status],"REVISAR"))</f>
        <v/>
      </c>
    </row>
    <row r="14" spans="1:14" ht="18.75" customHeight="1">
      <c r="D14" s="14"/>
      <c r="E14" s="14"/>
      <c r="F14" s="14"/>
      <c r="H14" s="3"/>
      <c r="I14" s="3"/>
      <c r="J14" s="3"/>
      <c r="K14" s="3"/>
      <c r="L14" s="3"/>
      <c r="M14" s="3" t="str">
        <f t="shared" si="1"/>
        <v/>
      </c>
      <c r="N14" t="str">
        <f>IF(A14="","",COUNTIFS(tblRegistros[ID],A14,tblRegistros[Data],"&gt;="&amp;$B$4,tblRegistros[Data],"&lt;"&amp;($D$4+1),tblRegistros[Status],"EM ABERTO")+COUNTIFS(tblRegistros[ID],A14,tblRegistros[Data],"&gt;="&amp;$B$4,tblRegistros[Data],"&lt;"&amp;($D$4+1),tblRegistros[Status],"REVISAR"))</f>
        <v/>
      </c>
    </row>
    <row r="15" spans="1:14" ht="18.75" customHeight="1">
      <c r="D15" s="14"/>
      <c r="E15" s="14"/>
      <c r="F15" s="14"/>
      <c r="H15" s="3"/>
      <c r="I15" s="3"/>
      <c r="J15" s="3"/>
      <c r="K15" s="3"/>
      <c r="L15" s="3"/>
      <c r="M15" s="3" t="str">
        <f t="shared" si="1"/>
        <v/>
      </c>
      <c r="N15" t="str">
        <f>IF(A15="","",COUNTIFS(tblRegistros[ID],A15,tblRegistros[Data],"&gt;="&amp;$B$4,tblRegistros[Data],"&lt;"&amp;($D$4+1),tblRegistros[Status],"EM ABERTO")+COUNTIFS(tblRegistros[ID],A15,tblRegistros[Data],"&gt;="&amp;$B$4,tblRegistros[Data],"&lt;"&amp;($D$4+1),tblRegistros[Status],"REVISAR"))</f>
        <v/>
      </c>
    </row>
    <row r="16" spans="1:14" ht="18.75" customHeight="1">
      <c r="D16" s="14"/>
      <c r="E16" s="14"/>
      <c r="F16" s="14"/>
      <c r="H16" s="3"/>
      <c r="I16" s="3"/>
      <c r="J16" s="3"/>
      <c r="K16" s="3"/>
      <c r="L16" s="3"/>
      <c r="M16" s="3" t="str">
        <f t="shared" si="1"/>
        <v/>
      </c>
      <c r="N16" t="str">
        <f>IF(A16="","",COUNTIFS(tblRegistros[ID],A16,tblRegistros[Data],"&gt;="&amp;$B$4,tblRegistros[Data],"&lt;"&amp;($D$4+1),tblRegistros[Status],"EM ABERTO")+COUNTIFS(tblRegistros[ID],A16,tblRegistros[Data],"&gt;="&amp;$B$4,tblRegistros[Data],"&lt;"&amp;($D$4+1),tblRegistros[Status],"REVISAR"))</f>
        <v/>
      </c>
    </row>
    <row r="17" spans="4:14" ht="18.75" customHeight="1">
      <c r="D17" s="14"/>
      <c r="E17" s="14"/>
      <c r="F17" s="14"/>
      <c r="H17" s="3"/>
      <c r="I17" s="3"/>
      <c r="J17" s="3"/>
      <c r="K17" s="3"/>
      <c r="L17" s="3"/>
      <c r="M17" s="3" t="str">
        <f t="shared" si="1"/>
        <v/>
      </c>
      <c r="N17" t="str">
        <f>IF(A17="","",COUNTIFS(tblRegistros[ID],A17,tblRegistros[Data],"&gt;="&amp;$B$4,tblRegistros[Data],"&lt;"&amp;($D$4+1),tblRegistros[Status],"EM ABERTO")+COUNTIFS(tblRegistros[ID],A17,tblRegistros[Data],"&gt;="&amp;$B$4,tblRegistros[Data],"&lt;"&amp;($D$4+1),tblRegistros[Status],"REVISAR"))</f>
        <v/>
      </c>
    </row>
    <row r="18" spans="4:14" ht="18.75" customHeight="1">
      <c r="D18" s="14"/>
      <c r="E18" s="14"/>
      <c r="F18" s="14"/>
      <c r="H18" s="3"/>
      <c r="I18" s="3"/>
      <c r="J18" s="3"/>
      <c r="K18" s="3"/>
      <c r="L18" s="3"/>
      <c r="M18" s="3" t="str">
        <f t="shared" si="1"/>
        <v/>
      </c>
      <c r="N18" t="str">
        <f>IF(A18="","",COUNTIFS(tblRegistros[ID],A18,tblRegistros[Data],"&gt;="&amp;$B$4,tblRegistros[Data],"&lt;"&amp;($D$4+1),tblRegistros[Status],"EM ABERTO")+COUNTIFS(tblRegistros[ID],A18,tblRegistros[Data],"&gt;="&amp;$B$4,tblRegistros[Data],"&lt;"&amp;($D$4+1),tblRegistros[Status],"REVISAR"))</f>
        <v/>
      </c>
    </row>
    <row r="19" spans="4:14" ht="18.75" customHeight="1">
      <c r="D19" s="14"/>
      <c r="E19" s="14"/>
      <c r="F19" s="14"/>
      <c r="H19" s="3"/>
      <c r="I19" s="3"/>
      <c r="J19" s="3"/>
      <c r="K19" s="3"/>
      <c r="L19" s="3"/>
      <c r="M19" s="3" t="str">
        <f t="shared" si="1"/>
        <v/>
      </c>
      <c r="N19" t="str">
        <f>IF(A19="","",COUNTIFS(tblRegistros[ID],A19,tblRegistros[Data],"&gt;="&amp;$B$4,tblRegistros[Data],"&lt;"&amp;($D$4+1),tblRegistros[Status],"EM ABERTO")+COUNTIFS(tblRegistros[ID],A19,tblRegistros[Data],"&gt;="&amp;$B$4,tblRegistros[Data],"&lt;"&amp;($D$4+1),tblRegistros[Status],"REVISAR"))</f>
        <v/>
      </c>
    </row>
    <row r="20" spans="4:14" ht="18.75" customHeight="1">
      <c r="D20" s="14"/>
      <c r="E20" s="14"/>
      <c r="F20" s="14"/>
      <c r="H20" s="3"/>
      <c r="I20" s="3"/>
      <c r="J20" s="3"/>
      <c r="K20" s="3"/>
      <c r="L20" s="3"/>
      <c r="M20" s="3" t="str">
        <f t="shared" si="1"/>
        <v/>
      </c>
      <c r="N20" t="str">
        <f>IF(A20="","",COUNTIFS(tblRegistros[ID],A20,tblRegistros[Data],"&gt;="&amp;$B$4,tblRegistros[Data],"&lt;"&amp;($D$4+1),tblRegistros[Status],"EM ABERTO")+COUNTIFS(tblRegistros[ID],A20,tblRegistros[Data],"&gt;="&amp;$B$4,tblRegistros[Data],"&lt;"&amp;($D$4+1),tblRegistros[Status],"REVISAR"))</f>
        <v/>
      </c>
    </row>
    <row r="21" spans="4:14" ht="18.75" customHeight="1">
      <c r="D21" s="14"/>
      <c r="E21" s="14"/>
      <c r="F21" s="14"/>
      <c r="H21" s="3"/>
      <c r="I21" s="3"/>
      <c r="J21" s="3"/>
      <c r="K21" s="3"/>
      <c r="L21" s="3"/>
      <c r="M21" s="3" t="str">
        <f t="shared" si="1"/>
        <v/>
      </c>
      <c r="N21" t="str">
        <f>IF(A21="","",COUNTIFS(tblRegistros[ID],A21,tblRegistros[Data],"&gt;="&amp;$B$4,tblRegistros[Data],"&lt;"&amp;($D$4+1),tblRegistros[Status],"EM ABERTO")+COUNTIFS(tblRegistros[ID],A21,tblRegistros[Data],"&gt;="&amp;$B$4,tblRegistros[Data],"&lt;"&amp;($D$4+1),tblRegistros[Status],"REVISAR"))</f>
        <v/>
      </c>
    </row>
    <row r="22" spans="4:14" ht="18.75" customHeight="1">
      <c r="D22" s="14"/>
      <c r="E22" s="14"/>
      <c r="F22" s="14"/>
      <c r="H22" s="3"/>
      <c r="I22" s="3"/>
      <c r="J22" s="3"/>
      <c r="K22" s="3"/>
      <c r="L22" s="3"/>
      <c r="M22" s="3" t="str">
        <f t="shared" si="1"/>
        <v/>
      </c>
      <c r="N22" t="str">
        <f>IF(A22="","",COUNTIFS(tblRegistros[ID],A22,tblRegistros[Data],"&gt;="&amp;$B$4,tblRegistros[Data],"&lt;"&amp;($D$4+1),tblRegistros[Status],"EM ABERTO")+COUNTIFS(tblRegistros[ID],A22,tblRegistros[Data],"&gt;="&amp;$B$4,tblRegistros[Data],"&lt;"&amp;($D$4+1),tblRegistros[Status],"REVISAR"))</f>
        <v/>
      </c>
    </row>
    <row r="23" spans="4:14" ht="18.75" customHeight="1">
      <c r="D23" s="14"/>
      <c r="E23" s="14"/>
      <c r="F23" s="14"/>
      <c r="H23" s="3"/>
      <c r="I23" s="3"/>
      <c r="J23" s="3"/>
      <c r="K23" s="3"/>
      <c r="L23" s="3"/>
      <c r="M23" s="3" t="str">
        <f t="shared" si="1"/>
        <v/>
      </c>
      <c r="N23" t="str">
        <f>IF(A23="","",COUNTIFS(tblRegistros[ID],A23,tblRegistros[Data],"&gt;="&amp;$B$4,tblRegistros[Data],"&lt;"&amp;($D$4+1),tblRegistros[Status],"EM ABERTO")+COUNTIFS(tblRegistros[ID],A23,tblRegistros[Data],"&gt;="&amp;$B$4,tblRegistros[Data],"&lt;"&amp;($D$4+1),tblRegistros[Status],"REVISAR"))</f>
        <v/>
      </c>
    </row>
    <row r="24" spans="4:14">
      <c r="D24" s="14"/>
      <c r="E24" s="14"/>
      <c r="F24" s="14"/>
      <c r="H24" s="3"/>
      <c r="I24" s="3"/>
      <c r="J24" s="3"/>
      <c r="K24" s="3"/>
      <c r="L24" s="3"/>
      <c r="M24" s="3"/>
    </row>
    <row r="25" spans="4:14">
      <c r="D25" s="14"/>
      <c r="E25" s="14"/>
      <c r="F25" s="14"/>
      <c r="H25" s="3"/>
      <c r="I25" s="3"/>
      <c r="J25" s="3"/>
      <c r="K25" s="3"/>
      <c r="L25" s="3"/>
      <c r="M25" s="3"/>
    </row>
    <row r="26" spans="4:14">
      <c r="D26" s="14"/>
      <c r="E26" s="14"/>
      <c r="F26" s="14"/>
      <c r="H26" s="3"/>
      <c r="I26" s="3"/>
      <c r="J26" s="3"/>
      <c r="K26" s="3"/>
      <c r="L26" s="3"/>
      <c r="M26" s="3"/>
    </row>
    <row r="27" spans="4:14">
      <c r="D27" s="14"/>
      <c r="E27" s="14"/>
      <c r="F27" s="14"/>
      <c r="H27" s="3"/>
      <c r="I27" s="3"/>
      <c r="J27" s="3"/>
      <c r="K27" s="3"/>
      <c r="L27" s="3"/>
      <c r="M27" s="3"/>
    </row>
    <row r="28" spans="4:14">
      <c r="D28" s="14"/>
      <c r="E28" s="14"/>
      <c r="F28" s="14"/>
      <c r="H28" s="3"/>
      <c r="I28" s="3"/>
      <c r="J28" s="3"/>
      <c r="K28" s="3"/>
      <c r="L28" s="3"/>
      <c r="M28" s="3"/>
    </row>
    <row r="29" spans="4:14">
      <c r="D29" s="14"/>
      <c r="E29" s="14"/>
      <c r="F29" s="14"/>
      <c r="H29" s="3"/>
      <c r="I29" s="3"/>
      <c r="J29" s="3"/>
      <c r="K29" s="3"/>
      <c r="L29" s="3"/>
      <c r="M29" s="3"/>
    </row>
    <row r="30" spans="4:14">
      <c r="D30" s="14"/>
      <c r="E30" s="14"/>
      <c r="F30" s="14"/>
      <c r="H30" s="3"/>
      <c r="I30" s="3"/>
      <c r="J30" s="3"/>
      <c r="K30" s="3"/>
      <c r="L30" s="3"/>
      <c r="M30" s="3"/>
    </row>
    <row r="31" spans="4:14">
      <c r="D31" s="14"/>
      <c r="E31" s="14"/>
      <c r="F31" s="14"/>
      <c r="H31" s="3"/>
      <c r="I31" s="3"/>
      <c r="J31" s="3"/>
      <c r="K31" s="3"/>
      <c r="L31" s="3"/>
      <c r="M31" s="3"/>
    </row>
    <row r="32" spans="4:14">
      <c r="D32" s="14"/>
      <c r="E32" s="14"/>
      <c r="F32" s="14"/>
      <c r="H32" s="3"/>
      <c r="I32" s="3"/>
      <c r="J32" s="3"/>
      <c r="K32" s="3"/>
      <c r="L32" s="3"/>
      <c r="M32" s="3"/>
    </row>
    <row r="33" spans="4:13">
      <c r="D33" s="14"/>
      <c r="E33" s="14"/>
      <c r="F33" s="14"/>
      <c r="H33" s="3"/>
      <c r="I33" s="3"/>
      <c r="J33" s="3"/>
      <c r="K33" s="3"/>
      <c r="L33" s="3"/>
      <c r="M33" s="3"/>
    </row>
    <row r="34" spans="4:13">
      <c r="D34" s="14"/>
      <c r="E34" s="14"/>
      <c r="F34" s="14"/>
      <c r="H34" s="3"/>
      <c r="I34" s="3"/>
      <c r="J34" s="3"/>
      <c r="K34" s="3"/>
      <c r="L34" s="3"/>
      <c r="M34" s="3"/>
    </row>
    <row r="35" spans="4:13">
      <c r="D35" s="14"/>
      <c r="E35" s="14"/>
      <c r="F35" s="14"/>
      <c r="H35" s="3"/>
      <c r="I35" s="3"/>
      <c r="J35" s="3"/>
      <c r="K35" s="3"/>
      <c r="L35" s="3"/>
      <c r="M35" s="3"/>
    </row>
    <row r="36" spans="4:13">
      <c r="D36" s="14"/>
      <c r="E36" s="14"/>
      <c r="F36" s="14"/>
      <c r="H36" s="3"/>
      <c r="I36" s="3"/>
      <c r="J36" s="3"/>
      <c r="K36" s="3"/>
      <c r="L36" s="3"/>
      <c r="M36" s="3"/>
    </row>
    <row r="37" spans="4:13">
      <c r="D37" s="14"/>
      <c r="E37" s="14"/>
      <c r="F37" s="14"/>
      <c r="H37" s="3"/>
      <c r="I37" s="3"/>
      <c r="J37" s="3"/>
      <c r="K37" s="3"/>
      <c r="L37" s="3"/>
      <c r="M37" s="3"/>
    </row>
    <row r="38" spans="4:13">
      <c r="D38" s="14"/>
      <c r="E38" s="14"/>
      <c r="F38" s="14"/>
      <c r="H38" s="3"/>
      <c r="I38" s="3"/>
      <c r="J38" s="3"/>
      <c r="K38" s="3"/>
      <c r="L38" s="3"/>
      <c r="M38" s="3"/>
    </row>
    <row r="39" spans="4:13">
      <c r="D39" s="14"/>
      <c r="E39" s="14"/>
      <c r="F39" s="14"/>
      <c r="H39" s="3"/>
      <c r="I39" s="3"/>
      <c r="J39" s="3"/>
      <c r="K39" s="3"/>
      <c r="L39" s="3"/>
      <c r="M39" s="3"/>
    </row>
    <row r="40" spans="4:13">
      <c r="D40" s="14"/>
      <c r="E40" s="14"/>
      <c r="F40" s="14"/>
      <c r="H40" s="3"/>
      <c r="I40" s="3"/>
      <c r="J40" s="3"/>
      <c r="K40" s="3"/>
      <c r="L40" s="3"/>
      <c r="M40" s="3"/>
    </row>
    <row r="41" spans="4:13">
      <c r="D41" s="14"/>
      <c r="E41" s="14"/>
      <c r="F41" s="14"/>
      <c r="H41" s="3"/>
      <c r="I41" s="3"/>
      <c r="J41" s="3"/>
      <c r="K41" s="3"/>
      <c r="L41" s="3"/>
      <c r="M41" s="3"/>
    </row>
    <row r="42" spans="4:13">
      <c r="D42" s="14"/>
      <c r="E42" s="14"/>
      <c r="F42" s="14"/>
      <c r="H42" s="3"/>
      <c r="I42" s="3"/>
      <c r="J42" s="3"/>
      <c r="K42" s="3"/>
      <c r="L42" s="3"/>
      <c r="M42" s="3"/>
    </row>
    <row r="43" spans="4:13">
      <c r="D43" s="14"/>
      <c r="E43" s="14"/>
      <c r="F43" s="14"/>
      <c r="H43" s="3"/>
      <c r="I43" s="3"/>
      <c r="J43" s="3"/>
      <c r="K43" s="3"/>
      <c r="L43" s="3"/>
      <c r="M43" s="3"/>
    </row>
    <row r="44" spans="4:13">
      <c r="D44" s="14"/>
      <c r="E44" s="14"/>
      <c r="F44" s="14"/>
      <c r="H44" s="3"/>
      <c r="I44" s="3"/>
      <c r="J44" s="3"/>
      <c r="K44" s="3"/>
      <c r="L44" s="3"/>
      <c r="M44" s="3"/>
    </row>
    <row r="45" spans="4:13">
      <c r="D45" s="14"/>
      <c r="E45" s="14"/>
      <c r="F45" s="14"/>
      <c r="H45" s="3"/>
      <c r="I45" s="3"/>
      <c r="J45" s="3"/>
      <c r="K45" s="3"/>
      <c r="L45" s="3"/>
      <c r="M45" s="3"/>
    </row>
    <row r="46" spans="4:13">
      <c r="D46" s="14"/>
      <c r="E46" s="14"/>
      <c r="F46" s="14"/>
      <c r="H46" s="3"/>
      <c r="I46" s="3"/>
      <c r="J46" s="3"/>
      <c r="K46" s="3"/>
      <c r="L46" s="3"/>
      <c r="M46" s="3"/>
    </row>
    <row r="47" spans="4:13">
      <c r="D47" s="14"/>
      <c r="E47" s="14"/>
      <c r="F47" s="14"/>
      <c r="H47" s="3"/>
      <c r="I47" s="3"/>
      <c r="J47" s="3"/>
      <c r="K47" s="3"/>
      <c r="L47" s="3"/>
      <c r="M47" s="3"/>
    </row>
    <row r="48" spans="4:13">
      <c r="D48" s="14"/>
      <c r="E48" s="14"/>
      <c r="F48" s="14"/>
      <c r="H48" s="3"/>
      <c r="I48" s="3"/>
      <c r="J48" s="3"/>
      <c r="K48" s="3"/>
      <c r="L48" s="3"/>
      <c r="M48" s="3"/>
    </row>
    <row r="49" spans="4:13">
      <c r="D49" s="14"/>
      <c r="E49" s="14"/>
      <c r="F49" s="14"/>
      <c r="H49" s="3"/>
      <c r="I49" s="3"/>
      <c r="J49" s="3"/>
      <c r="K49" s="3"/>
      <c r="L49" s="3"/>
      <c r="M49" s="3"/>
    </row>
    <row r="50" spans="4:13">
      <c r="D50" s="14"/>
      <c r="E50" s="14"/>
      <c r="F50" s="14"/>
      <c r="H50" s="3"/>
      <c r="I50" s="3"/>
      <c r="J50" s="3"/>
      <c r="K50" s="3"/>
      <c r="L50" s="3"/>
      <c r="M50" s="3"/>
    </row>
    <row r="51" spans="4:13">
      <c r="D51" s="14"/>
      <c r="E51" s="14"/>
      <c r="F51" s="14"/>
      <c r="H51" s="3"/>
      <c r="I51" s="3"/>
      <c r="J51" s="3"/>
      <c r="K51" s="3"/>
      <c r="L51" s="3"/>
      <c r="M51" s="3"/>
    </row>
    <row r="52" spans="4:13">
      <c r="D52" s="14"/>
      <c r="E52" s="14"/>
      <c r="F52" s="14"/>
      <c r="H52" s="3"/>
      <c r="I52" s="3"/>
      <c r="J52" s="3"/>
      <c r="K52" s="3"/>
      <c r="L52" s="3"/>
      <c r="M52" s="3"/>
    </row>
    <row r="53" spans="4:13">
      <c r="D53" s="14"/>
      <c r="E53" s="14"/>
      <c r="F53" s="14"/>
      <c r="H53" s="3"/>
      <c r="I53" s="3"/>
      <c r="J53" s="3"/>
      <c r="K53" s="3"/>
      <c r="L53" s="3"/>
      <c r="M53" s="3"/>
    </row>
    <row r="54" spans="4:13">
      <c r="D54" s="14"/>
      <c r="E54" s="14"/>
      <c r="F54" s="14"/>
      <c r="H54" s="3"/>
      <c r="I54" s="3"/>
      <c r="J54" s="3"/>
      <c r="K54" s="3"/>
      <c r="L54" s="3"/>
      <c r="M54" s="3"/>
    </row>
    <row r="55" spans="4:13">
      <c r="D55" s="14"/>
      <c r="E55" s="14"/>
      <c r="F55" s="14"/>
      <c r="H55" s="3"/>
      <c r="I55" s="3"/>
      <c r="J55" s="3"/>
      <c r="K55" s="3"/>
      <c r="L55" s="3"/>
      <c r="M55" s="3"/>
    </row>
    <row r="56" spans="4:13">
      <c r="D56" s="14"/>
      <c r="E56" s="14"/>
      <c r="F56" s="14"/>
      <c r="H56" s="3"/>
      <c r="I56" s="3"/>
      <c r="J56" s="3"/>
      <c r="K56" s="3"/>
      <c r="L56" s="3"/>
      <c r="M56" s="3"/>
    </row>
    <row r="57" spans="4:13">
      <c r="D57" s="14"/>
      <c r="E57" s="14"/>
      <c r="F57" s="14"/>
      <c r="H57" s="3"/>
      <c r="I57" s="3"/>
      <c r="J57" s="3"/>
      <c r="K57" s="3"/>
      <c r="L57" s="3"/>
      <c r="M57" s="3"/>
    </row>
    <row r="58" spans="4:13">
      <c r="D58" s="14"/>
      <c r="E58" s="14"/>
      <c r="F58" s="14"/>
      <c r="H58" s="3"/>
      <c r="I58" s="3"/>
      <c r="J58" s="3"/>
      <c r="K58" s="3"/>
      <c r="L58" s="3"/>
      <c r="M58" s="3"/>
    </row>
    <row r="59" spans="4:13">
      <c r="D59" s="14"/>
      <c r="E59" s="14"/>
      <c r="F59" s="14"/>
      <c r="H59" s="3"/>
      <c r="I59" s="3"/>
      <c r="J59" s="3"/>
      <c r="K59" s="3"/>
      <c r="L59" s="3"/>
      <c r="M59" s="3"/>
    </row>
    <row r="60" spans="4:13">
      <c r="D60" s="14"/>
      <c r="E60" s="14"/>
      <c r="F60" s="14"/>
      <c r="H60" s="3"/>
      <c r="I60" s="3"/>
      <c r="J60" s="3"/>
      <c r="K60" s="3"/>
      <c r="L60" s="3"/>
      <c r="M60" s="3"/>
    </row>
    <row r="61" spans="4:13">
      <c r="D61" s="14"/>
      <c r="E61" s="14"/>
      <c r="F61" s="14"/>
      <c r="H61" s="3"/>
      <c r="I61" s="3"/>
      <c r="J61" s="3"/>
      <c r="K61" s="3"/>
      <c r="L61" s="3"/>
      <c r="M61" s="3"/>
    </row>
    <row r="62" spans="4:13">
      <c r="D62" s="14"/>
      <c r="E62" s="14"/>
      <c r="F62" s="14"/>
      <c r="H62" s="3"/>
      <c r="I62" s="3"/>
      <c r="J62" s="3"/>
      <c r="K62" s="3"/>
      <c r="L62" s="3"/>
      <c r="M62" s="3"/>
    </row>
    <row r="63" spans="4:13">
      <c r="D63" s="14"/>
      <c r="E63" s="14"/>
      <c r="F63" s="14"/>
      <c r="H63" s="3"/>
      <c r="I63" s="3"/>
      <c r="J63" s="3"/>
      <c r="K63" s="3"/>
      <c r="L63" s="3"/>
      <c r="M63" s="3"/>
    </row>
    <row r="64" spans="4:13">
      <c r="D64" s="14"/>
      <c r="E64" s="14"/>
      <c r="F64" s="14"/>
      <c r="H64" s="3"/>
      <c r="I64" s="3"/>
      <c r="J64" s="3"/>
      <c r="K64" s="3"/>
      <c r="L64" s="3"/>
      <c r="M64" s="3"/>
    </row>
    <row r="65" spans="4:13">
      <c r="D65" s="14"/>
      <c r="E65" s="14"/>
      <c r="F65" s="14"/>
      <c r="H65" s="3"/>
      <c r="I65" s="3"/>
      <c r="J65" s="3"/>
      <c r="K65" s="3"/>
      <c r="L65" s="3"/>
      <c r="M65" s="3"/>
    </row>
    <row r="66" spans="4:13">
      <c r="D66" s="14"/>
      <c r="E66" s="14"/>
      <c r="F66" s="14"/>
      <c r="H66" s="3"/>
      <c r="I66" s="3"/>
      <c r="J66" s="3"/>
      <c r="K66" s="3"/>
      <c r="L66" s="3"/>
      <c r="M66" s="3"/>
    </row>
    <row r="67" spans="4:13">
      <c r="D67" s="14"/>
      <c r="E67" s="14"/>
      <c r="F67" s="14"/>
      <c r="H67" s="3"/>
      <c r="I67" s="3"/>
      <c r="J67" s="3"/>
      <c r="K67" s="3"/>
      <c r="L67" s="3"/>
      <c r="M67" s="3"/>
    </row>
    <row r="68" spans="4:13">
      <c r="D68" s="14"/>
      <c r="E68" s="14"/>
      <c r="F68" s="14"/>
      <c r="H68" s="3"/>
      <c r="I68" s="3"/>
      <c r="J68" s="3"/>
      <c r="K68" s="3"/>
      <c r="L68" s="3"/>
      <c r="M68" s="3"/>
    </row>
    <row r="69" spans="4:13">
      <c r="D69" s="14"/>
      <c r="E69" s="14"/>
      <c r="F69" s="14"/>
      <c r="H69" s="3"/>
      <c r="I69" s="3"/>
      <c r="J69" s="3"/>
      <c r="K69" s="3"/>
      <c r="L69" s="3"/>
      <c r="M69" s="3"/>
    </row>
    <row r="70" spans="4:13">
      <c r="D70" s="14"/>
      <c r="E70" s="14"/>
      <c r="F70" s="14"/>
      <c r="H70" s="3"/>
      <c r="I70" s="3"/>
      <c r="J70" s="3"/>
      <c r="K70" s="3"/>
      <c r="L70" s="3"/>
      <c r="M70" s="3"/>
    </row>
    <row r="71" spans="4:13">
      <c r="D71" s="14"/>
      <c r="E71" s="14"/>
      <c r="F71" s="14"/>
      <c r="H71" s="3"/>
      <c r="I71" s="3"/>
      <c r="J71" s="3"/>
      <c r="K71" s="3"/>
      <c r="L71" s="3"/>
      <c r="M71" s="3"/>
    </row>
    <row r="72" spans="4:13">
      <c r="D72" s="14"/>
      <c r="E72" s="14"/>
      <c r="F72" s="14"/>
      <c r="H72" s="3"/>
      <c r="I72" s="3"/>
      <c r="J72" s="3"/>
      <c r="K72" s="3"/>
      <c r="L72" s="3"/>
      <c r="M72" s="3"/>
    </row>
    <row r="73" spans="4:13">
      <c r="D73" s="14"/>
      <c r="E73" s="14"/>
      <c r="F73" s="14"/>
      <c r="H73" s="3"/>
      <c r="I73" s="3"/>
      <c r="J73" s="3"/>
      <c r="K73" s="3"/>
      <c r="L73" s="3"/>
      <c r="M73" s="3"/>
    </row>
    <row r="74" spans="4:13">
      <c r="D74" s="14"/>
      <c r="E74" s="14"/>
      <c r="F74" s="14"/>
      <c r="H74" s="3"/>
      <c r="I74" s="3"/>
      <c r="J74" s="3"/>
      <c r="K74" s="3"/>
      <c r="L74" s="3"/>
      <c r="M74" s="3"/>
    </row>
    <row r="75" spans="4:13">
      <c r="D75" s="14"/>
      <c r="E75" s="14"/>
      <c r="F75" s="14"/>
      <c r="H75" s="3"/>
      <c r="I75" s="3"/>
      <c r="J75" s="3"/>
      <c r="K75" s="3"/>
      <c r="L75" s="3"/>
      <c r="M75" s="3"/>
    </row>
    <row r="76" spans="4:13">
      <c r="D76" s="14"/>
      <c r="E76" s="14"/>
      <c r="F76" s="14"/>
      <c r="H76" s="3"/>
      <c r="I76" s="3"/>
      <c r="J76" s="3"/>
      <c r="K76" s="3"/>
      <c r="L76" s="3"/>
      <c r="M76" s="3"/>
    </row>
    <row r="77" spans="4:13">
      <c r="D77" s="14"/>
      <c r="E77" s="14"/>
      <c r="F77" s="14"/>
      <c r="H77" s="3"/>
      <c r="I77" s="3"/>
      <c r="J77" s="3"/>
      <c r="K77" s="3"/>
      <c r="L77" s="3"/>
      <c r="M77" s="3"/>
    </row>
    <row r="78" spans="4:13">
      <c r="D78" s="14"/>
      <c r="E78" s="14"/>
      <c r="F78" s="14"/>
      <c r="H78" s="3"/>
      <c r="I78" s="3"/>
      <c r="J78" s="3"/>
      <c r="K78" s="3"/>
      <c r="L78" s="3"/>
      <c r="M78" s="3"/>
    </row>
    <row r="79" spans="4:13">
      <c r="D79" s="14"/>
      <c r="E79" s="14"/>
      <c r="F79" s="14"/>
      <c r="H79" s="3"/>
      <c r="I79" s="3"/>
      <c r="J79" s="3"/>
      <c r="K79" s="3"/>
      <c r="L79" s="3"/>
      <c r="M79" s="3"/>
    </row>
    <row r="80" spans="4:13">
      <c r="D80" s="14"/>
      <c r="E80" s="14"/>
      <c r="F80" s="14"/>
      <c r="H80" s="3"/>
      <c r="I80" s="3"/>
      <c r="J80" s="3"/>
      <c r="K80" s="3"/>
      <c r="L80" s="3"/>
      <c r="M80" s="3"/>
    </row>
    <row r="81" spans="4:13">
      <c r="D81" s="14"/>
      <c r="E81" s="14"/>
      <c r="F81" s="14"/>
      <c r="H81" s="3"/>
      <c r="I81" s="3"/>
      <c r="J81" s="3"/>
      <c r="K81" s="3"/>
      <c r="L81" s="3"/>
      <c r="M81" s="3"/>
    </row>
    <row r="82" spans="4:13">
      <c r="D82" s="14"/>
      <c r="E82" s="14"/>
      <c r="F82" s="14"/>
      <c r="H82" s="3"/>
      <c r="I82" s="3"/>
      <c r="J82" s="3"/>
      <c r="K82" s="3"/>
      <c r="L82" s="3"/>
      <c r="M82" s="3"/>
    </row>
    <row r="83" spans="4:13">
      <c r="D83" s="14"/>
      <c r="E83" s="14"/>
      <c r="F83" s="14"/>
      <c r="H83" s="3"/>
      <c r="I83" s="3"/>
      <c r="J83" s="3"/>
      <c r="K83" s="3"/>
      <c r="L83" s="3"/>
      <c r="M83" s="3"/>
    </row>
    <row r="84" spans="4:13">
      <c r="D84" s="14"/>
      <c r="E84" s="14"/>
      <c r="F84" s="14"/>
      <c r="H84" s="3"/>
      <c r="I84" s="3"/>
      <c r="J84" s="3"/>
      <c r="K84" s="3"/>
      <c r="L84" s="3"/>
      <c r="M84" s="3"/>
    </row>
    <row r="85" spans="4:13">
      <c r="D85" s="14"/>
      <c r="E85" s="14"/>
      <c r="F85" s="14"/>
      <c r="H85" s="3"/>
      <c r="I85" s="3"/>
      <c r="J85" s="3"/>
      <c r="K85" s="3"/>
      <c r="L85" s="3"/>
      <c r="M85" s="3"/>
    </row>
    <row r="86" spans="4:13">
      <c r="D86" s="14"/>
      <c r="E86" s="14"/>
      <c r="F86" s="14"/>
      <c r="H86" s="3"/>
      <c r="I86" s="3"/>
      <c r="J86" s="3"/>
      <c r="K86" s="3"/>
      <c r="L86" s="3"/>
      <c r="M86" s="3"/>
    </row>
    <row r="87" spans="4:13">
      <c r="D87" s="14"/>
      <c r="E87" s="14"/>
      <c r="F87" s="14"/>
      <c r="H87" s="3"/>
      <c r="I87" s="3"/>
      <c r="J87" s="3"/>
      <c r="K87" s="3"/>
      <c r="L87" s="3"/>
      <c r="M87" s="3"/>
    </row>
    <row r="88" spans="4:13">
      <c r="D88" s="14"/>
      <c r="E88" s="14"/>
      <c r="F88" s="14"/>
      <c r="H88" s="3"/>
      <c r="I88" s="3"/>
      <c r="J88" s="3"/>
      <c r="K88" s="3"/>
      <c r="L88" s="3"/>
      <c r="M88" s="3"/>
    </row>
    <row r="89" spans="4:13">
      <c r="D89" s="14"/>
      <c r="E89" s="14"/>
      <c r="F89" s="14"/>
      <c r="H89" s="3"/>
      <c r="I89" s="3"/>
      <c r="J89" s="3"/>
      <c r="K89" s="3"/>
      <c r="L89" s="3"/>
      <c r="M89" s="3"/>
    </row>
    <row r="90" spans="4:13">
      <c r="D90" s="14"/>
      <c r="E90" s="14"/>
      <c r="F90" s="14"/>
      <c r="H90" s="3"/>
      <c r="I90" s="3"/>
      <c r="J90" s="3"/>
      <c r="K90" s="3"/>
      <c r="L90" s="3"/>
      <c r="M90" s="3"/>
    </row>
    <row r="91" spans="4:13">
      <c r="D91" s="14"/>
      <c r="E91" s="14"/>
      <c r="F91" s="14"/>
      <c r="H91" s="3"/>
      <c r="I91" s="3"/>
      <c r="J91" s="3"/>
      <c r="K91" s="3"/>
      <c r="L91" s="3"/>
      <c r="M91" s="3"/>
    </row>
    <row r="92" spans="4:13">
      <c r="D92" s="14"/>
      <c r="E92" s="14"/>
      <c r="F92" s="14"/>
      <c r="H92" s="3"/>
      <c r="I92" s="3"/>
      <c r="J92" s="3"/>
      <c r="K92" s="3"/>
      <c r="L92" s="3"/>
      <c r="M92" s="3"/>
    </row>
    <row r="93" spans="4:13">
      <c r="D93" s="14"/>
      <c r="E93" s="14"/>
      <c r="F93" s="14"/>
      <c r="H93" s="3"/>
      <c r="I93" s="3"/>
      <c r="J93" s="3"/>
      <c r="K93" s="3"/>
      <c r="L93" s="3"/>
      <c r="M93" s="3"/>
    </row>
    <row r="94" spans="4:13">
      <c r="D94" s="14"/>
      <c r="E94" s="14"/>
      <c r="F94" s="14"/>
      <c r="H94" s="3"/>
      <c r="I94" s="3"/>
      <c r="J94" s="3"/>
      <c r="K94" s="3"/>
      <c r="L94" s="3"/>
      <c r="M94" s="3"/>
    </row>
    <row r="95" spans="4:13">
      <c r="D95" s="14"/>
      <c r="E95" s="14"/>
      <c r="F95" s="14"/>
      <c r="H95" s="3"/>
      <c r="I95" s="3"/>
      <c r="J95" s="3"/>
      <c r="K95" s="3"/>
      <c r="L95" s="3"/>
      <c r="M95" s="3"/>
    </row>
    <row r="96" spans="4:13">
      <c r="D96" s="14"/>
      <c r="E96" s="14"/>
      <c r="F96" s="14"/>
      <c r="H96" s="3"/>
      <c r="I96" s="3"/>
      <c r="J96" s="3"/>
      <c r="K96" s="3"/>
      <c r="L96" s="3"/>
      <c r="M96" s="3"/>
    </row>
    <row r="97" spans="4:13">
      <c r="D97" s="14"/>
      <c r="E97" s="14"/>
      <c r="F97" s="14"/>
      <c r="H97" s="3"/>
      <c r="I97" s="3"/>
      <c r="J97" s="3"/>
      <c r="K97" s="3"/>
      <c r="L97" s="3"/>
      <c r="M97" s="3"/>
    </row>
    <row r="98" spans="4:13">
      <c r="D98" s="14"/>
      <c r="E98" s="14"/>
      <c r="F98" s="14"/>
      <c r="H98" s="3"/>
      <c r="I98" s="3"/>
      <c r="J98" s="3"/>
      <c r="K98" s="3"/>
      <c r="L98" s="3"/>
      <c r="M98" s="3"/>
    </row>
    <row r="99" spans="4:13">
      <c r="D99" s="14"/>
      <c r="E99" s="14"/>
      <c r="F99" s="14"/>
      <c r="H99" s="3"/>
      <c r="I99" s="3"/>
      <c r="J99" s="3"/>
      <c r="K99" s="3"/>
      <c r="L99" s="3"/>
      <c r="M99" s="3"/>
    </row>
    <row r="100" spans="4:13">
      <c r="D100" s="14"/>
      <c r="E100" s="14"/>
      <c r="F100" s="14"/>
      <c r="H100" s="3"/>
      <c r="I100" s="3"/>
      <c r="J100" s="3"/>
      <c r="K100" s="3"/>
      <c r="L100" s="3"/>
      <c r="M100" s="3"/>
    </row>
    <row r="101" spans="4:13">
      <c r="D101" s="14"/>
      <c r="E101" s="14"/>
      <c r="F101" s="14"/>
      <c r="H101" s="3"/>
      <c r="I101" s="3"/>
      <c r="J101" s="3"/>
      <c r="K101" s="3"/>
      <c r="L101" s="3"/>
      <c r="M101" s="3"/>
    </row>
    <row r="102" spans="4:13">
      <c r="D102" s="14"/>
      <c r="E102" s="14"/>
      <c r="F102" s="14"/>
      <c r="H102" s="3"/>
      <c r="I102" s="3"/>
      <c r="J102" s="3"/>
      <c r="K102" s="3"/>
      <c r="L102" s="3"/>
      <c r="M102" s="3"/>
    </row>
    <row r="103" spans="4:13">
      <c r="D103" s="14"/>
      <c r="E103" s="14"/>
      <c r="F103" s="14"/>
      <c r="H103" s="3"/>
      <c r="I103" s="3"/>
      <c r="J103" s="3"/>
      <c r="K103" s="3"/>
      <c r="L103" s="3"/>
      <c r="M103" s="3"/>
    </row>
    <row r="104" spans="4:13">
      <c r="D104" s="14"/>
      <c r="E104" s="14"/>
      <c r="F104" s="14"/>
      <c r="H104" s="3"/>
      <c r="I104" s="3"/>
      <c r="J104" s="3"/>
      <c r="K104" s="3"/>
      <c r="L104" s="3"/>
      <c r="M104" s="3"/>
    </row>
    <row r="105" spans="4:13">
      <c r="D105" s="14"/>
      <c r="E105" s="14"/>
      <c r="F105" s="14"/>
      <c r="H105" s="3"/>
      <c r="I105" s="3"/>
      <c r="J105" s="3"/>
      <c r="K105" s="3"/>
      <c r="L105" s="3"/>
      <c r="M105" s="3"/>
    </row>
    <row r="106" spans="4:13">
      <c r="D106" s="14"/>
      <c r="E106" s="14"/>
      <c r="F106" s="14"/>
      <c r="H106" s="3"/>
      <c r="I106" s="3"/>
      <c r="J106" s="3"/>
      <c r="K106" s="3"/>
      <c r="L106" s="3"/>
      <c r="M10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24D"/>
  </sheetPr>
  <dimension ref="A1:H156"/>
  <sheetViews>
    <sheetView showGridLines="0" workbookViewId="0">
      <selection activeCell="A9" sqref="A9"/>
    </sheetView>
  </sheetViews>
  <sheetFormatPr defaultRowHeight="14.25"/>
  <cols>
    <col min="1" max="1" width="11.125" customWidth="1"/>
    <col min="2" max="2" width="26.625" customWidth="1"/>
    <col min="3" max="5" width="12.75" customWidth="1"/>
    <col min="6" max="6" width="12.375" customWidth="1"/>
    <col min="7" max="7" width="10.875" customWidth="1"/>
    <col min="8" max="8" width="16.125" customWidth="1"/>
  </cols>
  <sheetData>
    <row r="1" spans="1:8" ht="24" customHeight="1">
      <c r="A1" s="17" t="s">
        <v>46</v>
      </c>
      <c r="B1" s="17"/>
      <c r="C1" s="17"/>
      <c r="D1" s="17"/>
      <c r="E1" s="17"/>
      <c r="F1" s="17"/>
      <c r="G1" s="17"/>
      <c r="H1" s="17"/>
    </row>
    <row r="2" spans="1:8" ht="19.5" customHeight="1">
      <c r="A2" s="7" t="s">
        <v>47</v>
      </c>
    </row>
    <row r="4" spans="1:8" ht="22.5" customHeight="1">
      <c r="A4" s="8" t="s">
        <v>14</v>
      </c>
      <c r="B4" s="11"/>
      <c r="C4" s="8" t="s">
        <v>15</v>
      </c>
      <c r="D4" s="11"/>
    </row>
    <row r="5" spans="1:8" ht="15">
      <c r="A5" s="18"/>
      <c r="B5" s="18" t="s">
        <v>34</v>
      </c>
      <c r="C5" s="18"/>
      <c r="D5" s="18"/>
      <c r="E5" s="18">
        <f>SUM(E7:E156)</f>
        <v>0</v>
      </c>
      <c r="F5" s="18"/>
      <c r="G5" s="18"/>
      <c r="H5" s="19">
        <f>SUM(H7:H156)</f>
        <v>0</v>
      </c>
    </row>
    <row r="6" spans="1:8" ht="24" customHeight="1">
      <c r="A6" s="5" t="s">
        <v>48</v>
      </c>
      <c r="B6" s="5" t="s">
        <v>6</v>
      </c>
      <c r="C6" s="5" t="s">
        <v>16</v>
      </c>
      <c r="D6" s="5" t="s">
        <v>17</v>
      </c>
      <c r="E6" s="5" t="s">
        <v>18</v>
      </c>
      <c r="F6" s="5" t="s">
        <v>20</v>
      </c>
      <c r="G6" s="5" t="s">
        <v>49</v>
      </c>
      <c r="H6" s="5" t="s">
        <v>50</v>
      </c>
    </row>
    <row r="7" spans="1:8" ht="18.75" customHeight="1">
      <c r="A7" t="s">
        <v>51</v>
      </c>
      <c r="B7" t="s">
        <v>294</v>
      </c>
      <c r="C7" s="14">
        <f>IF(B7="","",SUMIFS(tblRegistros[Horas],tblRegistros[Projeto],B7,tblRegistros[Data],"&gt;="&amp;$B$4,tblRegistros[Data],"&lt;"&amp;($D$4+1),tblRegistros[Status],"CONCLUÍDO",tblRegistros[Tipo de dia],"DIA ÚTIL"))</f>
        <v>0</v>
      </c>
      <c r="D7" s="14">
        <f>IF(B7="","",SUMIFS(tblRegistros[Horas],tblRegistros[Projeto],B7,tblRegistros[Data],"&gt;="&amp;$B$4,tblRegistros[Data],"&lt;"&amp;($D$4+1),tblRegistros[Status],"CONCLUÍDO",tblRegistros[Tipo de dia],"FDS/FERIADO"))</f>
        <v>0</v>
      </c>
      <c r="E7" s="14">
        <f t="shared" ref="E7:E17" si="0">IF(B7="","",C7+D7)</f>
        <v>0</v>
      </c>
      <c r="F7">
        <f>IF(B7="","",COUNTIFS(tblRegistros[Projeto],B7,tblRegistros[Data],"&gt;="&amp;$B$4,tblRegistros[Data],"&lt;"&amp;($D$4+1),tblRegistros[Status],"CONCLUÍDO"))</f>
        <v>0</v>
      </c>
      <c r="G7">
        <f>IF(F7=0,0,IFERROR(ROWS(_xlfn.UNIQUE(_xlfn._xlws.FILTER(tblRegistros[ID],(tblRegistros[Projeto]=B7)*(tblRegistros[Data]&gt;=$B$4)*(tblRegistros[Data]&lt;=$D$4)*(tblRegistros[Status]="CONCLUÍDO")))),0))</f>
        <v>0</v>
      </c>
      <c r="H7" s="3">
        <f>IF(B7="","",SUMIFS(tblRegistros[Valor],tblRegistros[Projeto],B7,tblRegistros[Data],"&gt;="&amp;$B$4,tblRegistros[Data],"&lt;"&amp;($D$4+1),tblRegistros[Status],"CONCLUÍDO"))</f>
        <v>0</v>
      </c>
    </row>
    <row r="8" spans="1:8" ht="18.75" customHeight="1">
      <c r="A8" t="s">
        <v>52</v>
      </c>
      <c r="B8" t="s">
        <v>295</v>
      </c>
      <c r="C8" s="14">
        <f>IF(B8="","",SUMIFS(tblRegistros[Horas],tblRegistros[Projeto],B8,tblRegistros[Data],"&gt;="&amp;$B$4,tblRegistros[Data],"&lt;"&amp;($D$4+1),tblRegistros[Status],"CONCLUÍDO",tblRegistros[Tipo de dia],"DIA ÚTIL"))</f>
        <v>0</v>
      </c>
      <c r="D8" s="14">
        <f>IF(B8="","",SUMIFS(tblRegistros[Horas],tblRegistros[Projeto],B8,tblRegistros[Data],"&gt;="&amp;$B$4,tblRegistros[Data],"&lt;"&amp;($D$4+1),tblRegistros[Status],"CONCLUÍDO",tblRegistros[Tipo de dia],"FDS/FERIADO"))</f>
        <v>0</v>
      </c>
      <c r="E8" s="14">
        <f t="shared" si="0"/>
        <v>0</v>
      </c>
      <c r="F8">
        <f>IF(B8="","",COUNTIFS(tblRegistros[Projeto],B8,tblRegistros[Data],"&gt;="&amp;$B$4,tblRegistros[Data],"&lt;"&amp;($D$4+1),tblRegistros[Status],"CONCLUÍDO"))</f>
        <v>0</v>
      </c>
      <c r="G8">
        <f>IF(F8=0,0,IFERROR(ROWS(_xlfn.UNIQUE(_xlfn._xlws.FILTER(tblRegistros[ID],(tblRegistros[Projeto]=B8)*(tblRegistros[Data]&gt;=$B$4)*(tblRegistros[Data]&lt;=$D$4)*(tblRegistros[Status]="CONCLUÍDO")))),0))</f>
        <v>0</v>
      </c>
      <c r="H8" s="3">
        <f>IF(B8="","",SUMIFS(tblRegistros[Valor],tblRegistros[Projeto],B8,tblRegistros[Data],"&gt;="&amp;$B$4,tblRegistros[Data],"&lt;"&amp;($D$4+1),tblRegistros[Status],"CONCLUÍDO"))</f>
        <v>0</v>
      </c>
    </row>
    <row r="9" spans="1:8" ht="18.75" customHeight="1">
      <c r="A9" t="s">
        <v>54</v>
      </c>
      <c r="B9" t="s">
        <v>296</v>
      </c>
      <c r="C9" s="14">
        <f>IF(B9="","",SUMIFS(tblRegistros[Horas],tblRegistros[Projeto],B9,tblRegistros[Data],"&gt;="&amp;$B$4,tblRegistros[Data],"&lt;"&amp;($D$4+1),tblRegistros[Status],"CONCLUÍDO",tblRegistros[Tipo de dia],"DIA ÚTIL"))</f>
        <v>0</v>
      </c>
      <c r="D9" s="14">
        <f>IF(B9="","",SUMIFS(tblRegistros[Horas],tblRegistros[Projeto],B9,tblRegistros[Data],"&gt;="&amp;$B$4,tblRegistros[Data],"&lt;"&amp;($D$4+1),tblRegistros[Status],"CONCLUÍDO",tblRegistros[Tipo de dia],"FDS/FERIADO"))</f>
        <v>0</v>
      </c>
      <c r="E9" s="14">
        <f t="shared" si="0"/>
        <v>0</v>
      </c>
      <c r="F9">
        <f>IF(B9="","",COUNTIFS(tblRegistros[Projeto],B9,tblRegistros[Data],"&gt;="&amp;$B$4,tblRegistros[Data],"&lt;"&amp;($D$4+1),tblRegistros[Status],"CONCLUÍDO"))</f>
        <v>0</v>
      </c>
      <c r="G9">
        <f>IF(F9=0,0,IFERROR(ROWS(_xlfn.UNIQUE(_xlfn._xlws.FILTER(tblRegistros[ID],(tblRegistros[Projeto]=B9)*(tblRegistros[Data]&gt;=$B$4)*(tblRegistros[Data]&lt;=$D$4)*(tblRegistros[Status]="CONCLUÍDO")))),0))</f>
        <v>0</v>
      </c>
      <c r="H9" s="3">
        <f>IF(B9="","",SUMIFS(tblRegistros[Valor],tblRegistros[Projeto],B9,tblRegistros[Data],"&gt;="&amp;$B$4,tblRegistros[Data],"&lt;"&amp;($D$4+1),tblRegistros[Status],"CONCLUÍDO"))</f>
        <v>0</v>
      </c>
    </row>
    <row r="10" spans="1:8" ht="18.75" customHeight="1">
      <c r="C10" s="14" t="str">
        <f>IF(B10="","",SUMIFS(tblRegistros[Horas],tblRegistros[Projeto],B10,tblRegistros[Data],"&gt;="&amp;$B$4,tblRegistros[Data],"&lt;"&amp;($D$4+1),tblRegistros[Status],"CONCLUÍDO",tblRegistros[Tipo de dia],"DIA ÚTIL"))</f>
        <v/>
      </c>
      <c r="D10" s="14" t="str">
        <f>IF(B10="","",SUMIFS(tblRegistros[Horas],tblRegistros[Projeto],B10,tblRegistros[Data],"&gt;="&amp;$B$4,tblRegistros[Data],"&lt;"&amp;($D$4+1),tblRegistros[Status],"CONCLUÍDO",tblRegistros[Tipo de dia],"FDS/FERIADO"))</f>
        <v/>
      </c>
      <c r="E10" s="14" t="str">
        <f t="shared" si="0"/>
        <v/>
      </c>
      <c r="F10" t="str">
        <f>IF(B10="","",COUNTIFS(tblRegistros[Projeto],B10,tblRegistros[Data],"&gt;="&amp;$B$4,tblRegistros[Data],"&lt;"&amp;($D$4+1),tblRegistros[Status],"CONCLUÍDO"))</f>
        <v/>
      </c>
      <c r="G10">
        <f>IF(F10=0,0,IFERROR(ROWS(_xlfn.UNIQUE(_xlfn._xlws.FILTER(tblRegistros[ID],(tblRegistros[Projeto]=B10)*(tblRegistros[Data]&gt;=$B$4)*(tblRegistros[Data]&lt;=$D$4)*(tblRegistros[Status]="CONCLUÍDO")))),0))</f>
        <v>0</v>
      </c>
      <c r="H10" s="3" t="str">
        <f>IF(B10="","",SUMIFS(tblRegistros[Valor],tblRegistros[Projeto],B10,tblRegistros[Data],"&gt;="&amp;$B$4,tblRegistros[Data],"&lt;"&amp;($D$4+1),tblRegistros[Status],"CONCLUÍDO"))</f>
        <v/>
      </c>
    </row>
    <row r="11" spans="1:8" ht="18.75" customHeight="1">
      <c r="C11" s="14" t="str">
        <f>IF(B11="","",SUMIFS(tblRegistros[Horas],tblRegistros[Projeto],B11,tblRegistros[Data],"&gt;="&amp;$B$4,tblRegistros[Data],"&lt;"&amp;($D$4+1),tblRegistros[Status],"CONCLUÍDO",tblRegistros[Tipo de dia],"DIA ÚTIL"))</f>
        <v/>
      </c>
      <c r="D11" s="14" t="str">
        <f>IF(B11="","",SUMIFS(tblRegistros[Horas],tblRegistros[Projeto],B11,tblRegistros[Data],"&gt;="&amp;$B$4,tblRegistros[Data],"&lt;"&amp;($D$4+1),tblRegistros[Status],"CONCLUÍDO",tblRegistros[Tipo de dia],"FDS/FERIADO"))</f>
        <v/>
      </c>
      <c r="E11" s="14" t="str">
        <f t="shared" si="0"/>
        <v/>
      </c>
      <c r="F11" t="str">
        <f>IF(B11="","",COUNTIFS(tblRegistros[Projeto],B11,tblRegistros[Data],"&gt;="&amp;$B$4,tblRegistros[Data],"&lt;"&amp;($D$4+1),tblRegistros[Status],"CONCLUÍDO"))</f>
        <v/>
      </c>
      <c r="G11">
        <f>IF(F11=0,0,IFERROR(ROWS(_xlfn.UNIQUE(_xlfn._xlws.FILTER(tblRegistros[ID],(tblRegistros[Projeto]=B11)*(tblRegistros[Data]&gt;=$B$4)*(tblRegistros[Data]&lt;=$D$4)*(tblRegistros[Status]="CONCLUÍDO")))),0))</f>
        <v>0</v>
      </c>
      <c r="H11" s="3" t="str">
        <f>IF(B11="","",SUMIFS(tblRegistros[Valor],tblRegistros[Projeto],B11,tblRegistros[Data],"&gt;="&amp;$B$4,tblRegistros[Data],"&lt;"&amp;($D$4+1),tblRegistros[Status],"CONCLUÍDO"))</f>
        <v/>
      </c>
    </row>
    <row r="12" spans="1:8" ht="18.75" customHeight="1">
      <c r="C12" s="14" t="str">
        <f>IF(B12="","",SUMIFS(tblRegistros[Horas],tblRegistros[Projeto],B12,tblRegistros[Data],"&gt;="&amp;$B$4,tblRegistros[Data],"&lt;"&amp;($D$4+1),tblRegistros[Status],"CONCLUÍDO",tblRegistros[Tipo de dia],"DIA ÚTIL"))</f>
        <v/>
      </c>
      <c r="D12" s="14" t="str">
        <f>IF(B12="","",SUMIFS(tblRegistros[Horas],tblRegistros[Projeto],B12,tblRegistros[Data],"&gt;="&amp;$B$4,tblRegistros[Data],"&lt;"&amp;($D$4+1),tblRegistros[Status],"CONCLUÍDO",tblRegistros[Tipo de dia],"FDS/FERIADO"))</f>
        <v/>
      </c>
      <c r="E12" s="14" t="str">
        <f t="shared" si="0"/>
        <v/>
      </c>
      <c r="F12" t="str">
        <f>IF(B12="","",COUNTIFS(tblRegistros[Projeto],B12,tblRegistros[Data],"&gt;="&amp;$B$4,tblRegistros[Data],"&lt;"&amp;($D$4+1),tblRegistros[Status],"CONCLUÍDO"))</f>
        <v/>
      </c>
      <c r="G12">
        <f>IF(F12=0,0,IFERROR(ROWS(_xlfn.UNIQUE(_xlfn._xlws.FILTER(tblRegistros[ID],(tblRegistros[Projeto]=B12)*(tblRegistros[Data]&gt;=$B$4)*(tblRegistros[Data]&lt;=$D$4)*(tblRegistros[Status]="CONCLUÍDO")))),0))</f>
        <v>0</v>
      </c>
      <c r="H12" s="3" t="str">
        <f>IF(B12="","",SUMIFS(tblRegistros[Valor],tblRegistros[Projeto],B12,tblRegistros[Data],"&gt;="&amp;$B$4,tblRegistros[Data],"&lt;"&amp;($D$4+1),tblRegistros[Status],"CONCLUÍDO"))</f>
        <v/>
      </c>
    </row>
    <row r="13" spans="1:8" ht="18.75" customHeight="1">
      <c r="C13" s="14" t="str">
        <f>IF(B13="","",SUMIFS(tblRegistros[Horas],tblRegistros[Projeto],B13,tblRegistros[Data],"&gt;="&amp;$B$4,tblRegistros[Data],"&lt;"&amp;($D$4+1),tblRegistros[Status],"CONCLUÍDO",tblRegistros[Tipo de dia],"DIA ÚTIL"))</f>
        <v/>
      </c>
      <c r="D13" s="14" t="str">
        <f>IF(B13="","",SUMIFS(tblRegistros[Horas],tblRegistros[Projeto],B13,tblRegistros[Data],"&gt;="&amp;$B$4,tblRegistros[Data],"&lt;"&amp;($D$4+1),tblRegistros[Status],"CONCLUÍDO",tblRegistros[Tipo de dia],"FDS/FERIADO"))</f>
        <v/>
      </c>
      <c r="E13" s="14" t="str">
        <f t="shared" si="0"/>
        <v/>
      </c>
      <c r="F13" t="str">
        <f>IF(B13="","",COUNTIFS(tblRegistros[Projeto],B13,tblRegistros[Data],"&gt;="&amp;$B$4,tblRegistros[Data],"&lt;"&amp;($D$4+1),tblRegistros[Status],"CONCLUÍDO"))</f>
        <v/>
      </c>
      <c r="G13">
        <f>IF(F13=0,0,IFERROR(ROWS(_xlfn.UNIQUE(_xlfn._xlws.FILTER(tblRegistros[ID],(tblRegistros[Projeto]=B13)*(tblRegistros[Data]&gt;=$B$4)*(tblRegistros[Data]&lt;=$D$4)*(tblRegistros[Status]="CONCLUÍDO")))),0))</f>
        <v>0</v>
      </c>
      <c r="H13" s="3" t="str">
        <f>IF(B13="","",SUMIFS(tblRegistros[Valor],tblRegistros[Projeto],B13,tblRegistros[Data],"&gt;="&amp;$B$4,tblRegistros[Data],"&lt;"&amp;($D$4+1),tblRegistros[Status],"CONCLUÍDO"))</f>
        <v/>
      </c>
    </row>
    <row r="14" spans="1:8" ht="18.75" customHeight="1">
      <c r="C14" s="14" t="str">
        <f>IF(B14="","",SUMIFS(tblRegistros[Horas],tblRegistros[Projeto],B14,tblRegistros[Data],"&gt;="&amp;$B$4,tblRegistros[Data],"&lt;"&amp;($D$4+1),tblRegistros[Status],"CONCLUÍDO",tblRegistros[Tipo de dia],"DIA ÚTIL"))</f>
        <v/>
      </c>
      <c r="D14" s="14" t="str">
        <f>IF(B14="","",SUMIFS(tblRegistros[Horas],tblRegistros[Projeto],B14,tblRegistros[Data],"&gt;="&amp;$B$4,tblRegistros[Data],"&lt;"&amp;($D$4+1),tblRegistros[Status],"CONCLUÍDO",tblRegistros[Tipo de dia],"FDS/FERIADO"))</f>
        <v/>
      </c>
      <c r="E14" s="14" t="str">
        <f t="shared" si="0"/>
        <v/>
      </c>
      <c r="F14" t="str">
        <f>IF(B14="","",COUNTIFS(tblRegistros[Projeto],B14,tblRegistros[Data],"&gt;="&amp;$B$4,tblRegistros[Data],"&lt;"&amp;($D$4+1),tblRegistros[Status],"CONCLUÍDO"))</f>
        <v/>
      </c>
      <c r="G14">
        <f>IF(F14=0,0,IFERROR(ROWS(_xlfn.UNIQUE(_xlfn._xlws.FILTER(tblRegistros[ID],(tblRegistros[Projeto]=B14)*(tblRegistros[Data]&gt;=$B$4)*(tblRegistros[Data]&lt;=$D$4)*(tblRegistros[Status]="CONCLUÍDO")))),0))</f>
        <v>0</v>
      </c>
      <c r="H14" s="3" t="str">
        <f>IF(B14="","",SUMIFS(tblRegistros[Valor],tblRegistros[Projeto],B14,tblRegistros[Data],"&gt;="&amp;$B$4,tblRegistros[Data],"&lt;"&amp;($D$4+1),tblRegistros[Status],"CONCLUÍDO"))</f>
        <v/>
      </c>
    </row>
    <row r="15" spans="1:8" ht="18.75" customHeight="1">
      <c r="C15" s="14" t="str">
        <f>IF(B15="","",SUMIFS(tblRegistros[Horas],tblRegistros[Projeto],B15,tblRegistros[Data],"&gt;="&amp;$B$4,tblRegistros[Data],"&lt;"&amp;($D$4+1),tblRegistros[Status],"CONCLUÍDO",tblRegistros[Tipo de dia],"DIA ÚTIL"))</f>
        <v/>
      </c>
      <c r="D15" s="14" t="str">
        <f>IF(B15="","",SUMIFS(tblRegistros[Horas],tblRegistros[Projeto],B15,tblRegistros[Data],"&gt;="&amp;$B$4,tblRegistros[Data],"&lt;"&amp;($D$4+1),tblRegistros[Status],"CONCLUÍDO",tblRegistros[Tipo de dia],"FDS/FERIADO"))</f>
        <v/>
      </c>
      <c r="E15" s="14" t="str">
        <f t="shared" si="0"/>
        <v/>
      </c>
      <c r="F15" t="str">
        <f>IF(B15="","",COUNTIFS(tblRegistros[Projeto],B15,tblRegistros[Data],"&gt;="&amp;$B$4,tblRegistros[Data],"&lt;"&amp;($D$4+1),tblRegistros[Status],"CONCLUÍDO"))</f>
        <v/>
      </c>
      <c r="G15">
        <f>IF(F15=0,0,IFERROR(ROWS(_xlfn.UNIQUE(_xlfn._xlws.FILTER(tblRegistros[ID],(tblRegistros[Projeto]=B15)*(tblRegistros[Data]&gt;=$B$4)*(tblRegistros[Data]&lt;=$D$4)*(tblRegistros[Status]="CONCLUÍDO")))),0))</f>
        <v>0</v>
      </c>
      <c r="H15" s="3" t="str">
        <f>IF(B15="","",SUMIFS(tblRegistros[Valor],tblRegistros[Projeto],B15,tblRegistros[Data],"&gt;="&amp;$B$4,tblRegistros[Data],"&lt;"&amp;($D$4+1),tblRegistros[Status],"CONCLUÍDO"))</f>
        <v/>
      </c>
    </row>
    <row r="16" spans="1:8" ht="18.75" customHeight="1">
      <c r="C16" s="14" t="str">
        <f>IF(B16="","",SUMIFS(tblRegistros[Horas],tblRegistros[Projeto],B16,tblRegistros[Data],"&gt;="&amp;$B$4,tblRegistros[Data],"&lt;"&amp;($D$4+1),tblRegistros[Status],"CONCLUÍDO",tblRegistros[Tipo de dia],"DIA ÚTIL"))</f>
        <v/>
      </c>
      <c r="D16" s="14" t="str">
        <f>IF(B16="","",SUMIFS(tblRegistros[Horas],tblRegistros[Projeto],B16,tblRegistros[Data],"&gt;="&amp;$B$4,tblRegistros[Data],"&lt;"&amp;($D$4+1),tblRegistros[Status],"CONCLUÍDO",tblRegistros[Tipo de dia],"FDS/FERIADO"))</f>
        <v/>
      </c>
      <c r="E16" s="14" t="str">
        <f t="shared" si="0"/>
        <v/>
      </c>
      <c r="F16" t="str">
        <f>IF(B16="","",COUNTIFS(tblRegistros[Projeto],B16,tblRegistros[Data],"&gt;="&amp;$B$4,tblRegistros[Data],"&lt;"&amp;($D$4+1),tblRegistros[Status],"CONCLUÍDO"))</f>
        <v/>
      </c>
      <c r="G16">
        <f>IF(F16=0,0,IFERROR(ROWS(_xlfn.UNIQUE(_xlfn._xlws.FILTER(tblRegistros[ID],(tblRegistros[Projeto]=B16)*(tblRegistros[Data]&gt;=$B$4)*(tblRegistros[Data]&lt;=$D$4)*(tblRegistros[Status]="CONCLUÍDO")))),0))</f>
        <v>0</v>
      </c>
      <c r="H16" s="3" t="str">
        <f>IF(B16="","",SUMIFS(tblRegistros[Valor],tblRegistros[Projeto],B16,tblRegistros[Data],"&gt;="&amp;$B$4,tblRegistros[Data],"&lt;"&amp;($D$4+1),tblRegistros[Status],"CONCLUÍDO"))</f>
        <v/>
      </c>
    </row>
    <row r="17" spans="3:8" ht="18.75" customHeight="1">
      <c r="C17" s="14" t="str">
        <f>IF(B17="","",SUMIFS(tblRegistros[Horas],tblRegistros[Projeto],B17,tblRegistros[Data],"&gt;="&amp;$B$4,tblRegistros[Data],"&lt;"&amp;($D$4+1),tblRegistros[Status],"CONCLUÍDO",tblRegistros[Tipo de dia],"DIA ÚTIL"))</f>
        <v/>
      </c>
      <c r="D17" s="14" t="str">
        <f>IF(B17="","",SUMIFS(tblRegistros[Horas],tblRegistros[Projeto],B17,tblRegistros[Data],"&gt;="&amp;$B$4,tblRegistros[Data],"&lt;"&amp;($D$4+1),tblRegistros[Status],"CONCLUÍDO",tblRegistros[Tipo de dia],"FDS/FERIADO"))</f>
        <v/>
      </c>
      <c r="E17" s="14" t="str">
        <f t="shared" si="0"/>
        <v/>
      </c>
      <c r="F17" t="str">
        <f>IF(B17="","",COUNTIFS(tblRegistros[Projeto],B17,tblRegistros[Data],"&gt;="&amp;$B$4,tblRegistros[Data],"&lt;"&amp;($D$4+1),tblRegistros[Status],"CONCLUÍDO"))</f>
        <v/>
      </c>
      <c r="G17">
        <f>IF(F17=0,0,IFERROR(ROWS(_xlfn.UNIQUE(_xlfn._xlws.FILTER(tblRegistros[ID],(tblRegistros[Projeto]=B17)*(tblRegistros[Data]&gt;=$B$4)*(tblRegistros[Data]&lt;=$D$4)*(tblRegistros[Status]="CONCLUÍDO")))),0))</f>
        <v>0</v>
      </c>
      <c r="H17" s="3" t="str">
        <f>IF(B17="","",SUMIFS(tblRegistros[Valor],tblRegistros[Projeto],B17,tblRegistros[Data],"&gt;="&amp;$B$4,tblRegistros[Data],"&lt;"&amp;($D$4+1),tblRegistros[Status],"CONCLUÍDO"))</f>
        <v/>
      </c>
    </row>
    <row r="18" spans="3:8">
      <c r="C18" s="14"/>
      <c r="D18" s="14"/>
      <c r="E18" s="14"/>
      <c r="H18" s="3"/>
    </row>
    <row r="19" spans="3:8">
      <c r="C19" s="14"/>
      <c r="D19" s="14"/>
      <c r="E19" s="14"/>
      <c r="H19" s="3"/>
    </row>
    <row r="20" spans="3:8">
      <c r="C20" s="14"/>
      <c r="D20" s="14"/>
      <c r="E20" s="14"/>
      <c r="H20" s="3"/>
    </row>
    <row r="21" spans="3:8">
      <c r="C21" s="14"/>
      <c r="D21" s="14"/>
      <c r="E21" s="14"/>
      <c r="H21" s="3"/>
    </row>
    <row r="22" spans="3:8">
      <c r="C22" s="14"/>
      <c r="D22" s="14"/>
      <c r="E22" s="14"/>
      <c r="H22" s="3"/>
    </row>
    <row r="23" spans="3:8">
      <c r="C23" s="14"/>
      <c r="D23" s="14"/>
      <c r="E23" s="14"/>
      <c r="H23" s="3"/>
    </row>
    <row r="24" spans="3:8">
      <c r="C24" s="14"/>
      <c r="D24" s="14"/>
      <c r="E24" s="14"/>
      <c r="H24" s="3"/>
    </row>
    <row r="25" spans="3:8">
      <c r="C25" s="14"/>
      <c r="D25" s="14"/>
      <c r="E25" s="14"/>
      <c r="H25" s="3"/>
    </row>
    <row r="26" spans="3:8">
      <c r="C26" s="14"/>
      <c r="D26" s="14"/>
      <c r="E26" s="14"/>
      <c r="H26" s="3"/>
    </row>
    <row r="27" spans="3:8">
      <c r="C27" s="14"/>
      <c r="D27" s="14"/>
      <c r="E27" s="14"/>
      <c r="H27" s="3"/>
    </row>
    <row r="28" spans="3:8">
      <c r="C28" s="14"/>
      <c r="D28" s="14"/>
      <c r="E28" s="14"/>
      <c r="H28" s="3"/>
    </row>
    <row r="29" spans="3:8">
      <c r="C29" s="14"/>
      <c r="D29" s="14"/>
      <c r="E29" s="14"/>
      <c r="H29" s="3"/>
    </row>
    <row r="30" spans="3:8">
      <c r="C30" s="14"/>
      <c r="D30" s="14"/>
      <c r="E30" s="14"/>
      <c r="H30" s="3"/>
    </row>
    <row r="31" spans="3:8">
      <c r="C31" s="14"/>
      <c r="D31" s="14"/>
      <c r="E31" s="14"/>
      <c r="H31" s="3"/>
    </row>
    <row r="32" spans="3:8">
      <c r="C32" s="14"/>
      <c r="D32" s="14"/>
      <c r="E32" s="14"/>
      <c r="H32" s="3"/>
    </row>
    <row r="33" spans="3:8">
      <c r="C33" s="14"/>
      <c r="D33" s="14"/>
      <c r="E33" s="14"/>
      <c r="H33" s="3"/>
    </row>
    <row r="34" spans="3:8">
      <c r="C34" s="14"/>
      <c r="D34" s="14"/>
      <c r="E34" s="14"/>
      <c r="H34" s="3"/>
    </row>
    <row r="35" spans="3:8">
      <c r="C35" s="14"/>
      <c r="D35" s="14"/>
      <c r="E35" s="14"/>
      <c r="H35" s="3"/>
    </row>
    <row r="36" spans="3:8">
      <c r="C36" s="14"/>
      <c r="D36" s="14"/>
      <c r="E36" s="14"/>
      <c r="H36" s="3"/>
    </row>
    <row r="37" spans="3:8">
      <c r="C37" s="14"/>
      <c r="D37" s="14"/>
      <c r="E37" s="14"/>
      <c r="H37" s="3"/>
    </row>
    <row r="38" spans="3:8">
      <c r="C38" s="14"/>
      <c r="D38" s="14"/>
      <c r="E38" s="14"/>
      <c r="H38" s="3"/>
    </row>
    <row r="39" spans="3:8">
      <c r="C39" s="14"/>
      <c r="D39" s="14"/>
      <c r="E39" s="14"/>
      <c r="H39" s="3"/>
    </row>
    <row r="40" spans="3:8">
      <c r="C40" s="14"/>
      <c r="D40" s="14"/>
      <c r="E40" s="14"/>
      <c r="H40" s="3"/>
    </row>
    <row r="41" spans="3:8">
      <c r="C41" s="14"/>
      <c r="D41" s="14"/>
      <c r="E41" s="14"/>
      <c r="H41" s="3"/>
    </row>
    <row r="42" spans="3:8">
      <c r="C42" s="14"/>
      <c r="D42" s="14"/>
      <c r="E42" s="14"/>
      <c r="H42" s="3"/>
    </row>
    <row r="43" spans="3:8">
      <c r="C43" s="14"/>
      <c r="D43" s="14"/>
      <c r="E43" s="14"/>
      <c r="H43" s="3"/>
    </row>
    <row r="44" spans="3:8">
      <c r="C44" s="14"/>
      <c r="D44" s="14"/>
      <c r="E44" s="14"/>
      <c r="H44" s="3"/>
    </row>
    <row r="45" spans="3:8">
      <c r="C45" s="14"/>
      <c r="D45" s="14"/>
      <c r="E45" s="14"/>
      <c r="H45" s="3"/>
    </row>
    <row r="46" spans="3:8">
      <c r="C46" s="14"/>
      <c r="D46" s="14"/>
      <c r="E46" s="14"/>
      <c r="H46" s="3"/>
    </row>
    <row r="47" spans="3:8">
      <c r="C47" s="14"/>
      <c r="D47" s="14"/>
      <c r="E47" s="14"/>
      <c r="H47" s="3"/>
    </row>
    <row r="48" spans="3:8">
      <c r="C48" s="14"/>
      <c r="D48" s="14"/>
      <c r="E48" s="14"/>
      <c r="H48" s="3"/>
    </row>
    <row r="49" spans="3:8">
      <c r="C49" s="14"/>
      <c r="D49" s="14"/>
      <c r="E49" s="14"/>
      <c r="H49" s="3"/>
    </row>
    <row r="50" spans="3:8">
      <c r="C50" s="14"/>
      <c r="D50" s="14"/>
      <c r="E50" s="14"/>
      <c r="H50" s="3"/>
    </row>
    <row r="51" spans="3:8">
      <c r="C51" s="14"/>
      <c r="D51" s="14"/>
      <c r="E51" s="14"/>
      <c r="H51" s="3"/>
    </row>
    <row r="52" spans="3:8">
      <c r="C52" s="14"/>
      <c r="D52" s="14"/>
      <c r="E52" s="14"/>
      <c r="H52" s="3"/>
    </row>
    <row r="53" spans="3:8">
      <c r="C53" s="14"/>
      <c r="D53" s="14"/>
      <c r="E53" s="14"/>
      <c r="H53" s="3"/>
    </row>
    <row r="54" spans="3:8">
      <c r="C54" s="14"/>
      <c r="D54" s="14"/>
      <c r="E54" s="14"/>
      <c r="H54" s="3"/>
    </row>
    <row r="55" spans="3:8">
      <c r="C55" s="14"/>
      <c r="D55" s="14"/>
      <c r="E55" s="14"/>
      <c r="H55" s="3"/>
    </row>
    <row r="56" spans="3:8">
      <c r="C56" s="14"/>
      <c r="D56" s="14"/>
      <c r="E56" s="14"/>
      <c r="H56" s="3"/>
    </row>
    <row r="57" spans="3:8">
      <c r="C57" s="14"/>
      <c r="D57" s="14"/>
      <c r="E57" s="14"/>
      <c r="H57" s="3"/>
    </row>
    <row r="58" spans="3:8">
      <c r="C58" s="14"/>
      <c r="D58" s="14"/>
      <c r="E58" s="14"/>
      <c r="H58" s="3"/>
    </row>
    <row r="59" spans="3:8">
      <c r="C59" s="14"/>
      <c r="D59" s="14"/>
      <c r="E59" s="14"/>
      <c r="H59" s="3"/>
    </row>
    <row r="60" spans="3:8">
      <c r="C60" s="14"/>
      <c r="D60" s="14"/>
      <c r="E60" s="14"/>
      <c r="H60" s="3"/>
    </row>
    <row r="61" spans="3:8">
      <c r="C61" s="14"/>
      <c r="D61" s="14"/>
      <c r="E61" s="14"/>
      <c r="H61" s="3"/>
    </row>
    <row r="62" spans="3:8">
      <c r="C62" s="14"/>
      <c r="D62" s="14"/>
      <c r="E62" s="14"/>
      <c r="H62" s="3"/>
    </row>
    <row r="63" spans="3:8">
      <c r="C63" s="14"/>
      <c r="D63" s="14"/>
      <c r="E63" s="14"/>
      <c r="H63" s="3"/>
    </row>
    <row r="64" spans="3:8">
      <c r="C64" s="14"/>
      <c r="D64" s="14"/>
      <c r="E64" s="14"/>
      <c r="H64" s="3"/>
    </row>
    <row r="65" spans="3:8">
      <c r="C65" s="14"/>
      <c r="D65" s="14"/>
      <c r="E65" s="14"/>
      <c r="H65" s="3"/>
    </row>
    <row r="66" spans="3:8">
      <c r="C66" s="14"/>
      <c r="D66" s="14"/>
      <c r="E66" s="14"/>
      <c r="H66" s="3"/>
    </row>
    <row r="67" spans="3:8">
      <c r="C67" s="14"/>
      <c r="D67" s="14"/>
      <c r="E67" s="14"/>
      <c r="H67" s="3"/>
    </row>
    <row r="68" spans="3:8">
      <c r="C68" s="14"/>
      <c r="D68" s="14"/>
      <c r="E68" s="14"/>
      <c r="H68" s="3"/>
    </row>
    <row r="69" spans="3:8">
      <c r="C69" s="14"/>
      <c r="D69" s="14"/>
      <c r="E69" s="14"/>
      <c r="H69" s="3"/>
    </row>
    <row r="70" spans="3:8">
      <c r="C70" s="14"/>
      <c r="D70" s="14"/>
      <c r="E70" s="14"/>
      <c r="H70" s="3"/>
    </row>
    <row r="71" spans="3:8">
      <c r="C71" s="14"/>
      <c r="D71" s="14"/>
      <c r="E71" s="14"/>
      <c r="H71" s="3"/>
    </row>
    <row r="72" spans="3:8">
      <c r="C72" s="14"/>
      <c r="D72" s="14"/>
      <c r="E72" s="14"/>
      <c r="H72" s="3"/>
    </row>
    <row r="73" spans="3:8">
      <c r="C73" s="14"/>
      <c r="D73" s="14"/>
      <c r="E73" s="14"/>
      <c r="H73" s="3"/>
    </row>
    <row r="74" spans="3:8">
      <c r="C74" s="14"/>
      <c r="D74" s="14"/>
      <c r="E74" s="14"/>
      <c r="H74" s="3"/>
    </row>
    <row r="75" spans="3:8">
      <c r="C75" s="14"/>
      <c r="D75" s="14"/>
      <c r="E75" s="14"/>
      <c r="H75" s="3"/>
    </row>
    <row r="76" spans="3:8">
      <c r="C76" s="14"/>
      <c r="D76" s="14"/>
      <c r="E76" s="14"/>
      <c r="H76" s="3"/>
    </row>
    <row r="77" spans="3:8">
      <c r="C77" s="14"/>
      <c r="D77" s="14"/>
      <c r="E77" s="14"/>
      <c r="H77" s="3"/>
    </row>
    <row r="78" spans="3:8">
      <c r="C78" s="14"/>
      <c r="D78" s="14"/>
      <c r="E78" s="14"/>
      <c r="H78" s="3"/>
    </row>
    <row r="79" spans="3:8">
      <c r="C79" s="14"/>
      <c r="D79" s="14"/>
      <c r="E79" s="14"/>
      <c r="H79" s="3"/>
    </row>
    <row r="80" spans="3:8">
      <c r="C80" s="14"/>
      <c r="D80" s="14"/>
      <c r="E80" s="14"/>
      <c r="H80" s="3"/>
    </row>
    <row r="81" spans="3:8">
      <c r="C81" s="14"/>
      <c r="D81" s="14"/>
      <c r="E81" s="14"/>
      <c r="H81" s="3"/>
    </row>
    <row r="82" spans="3:8">
      <c r="C82" s="14"/>
      <c r="D82" s="14"/>
      <c r="E82" s="14"/>
      <c r="H82" s="3"/>
    </row>
    <row r="83" spans="3:8">
      <c r="C83" s="14"/>
      <c r="D83" s="14"/>
      <c r="E83" s="14"/>
      <c r="H83" s="3"/>
    </row>
    <row r="84" spans="3:8">
      <c r="C84" s="14"/>
      <c r="D84" s="14"/>
      <c r="E84" s="14"/>
      <c r="H84" s="3"/>
    </row>
    <row r="85" spans="3:8">
      <c r="C85" s="14"/>
      <c r="D85" s="14"/>
      <c r="E85" s="14"/>
      <c r="H85" s="3"/>
    </row>
    <row r="86" spans="3:8">
      <c r="C86" s="14"/>
      <c r="D86" s="14"/>
      <c r="E86" s="14"/>
      <c r="H86" s="3"/>
    </row>
    <row r="87" spans="3:8">
      <c r="C87" s="14"/>
      <c r="D87" s="14"/>
      <c r="E87" s="14"/>
      <c r="H87" s="3"/>
    </row>
    <row r="88" spans="3:8">
      <c r="C88" s="14"/>
      <c r="D88" s="14"/>
      <c r="E88" s="14"/>
      <c r="H88" s="3"/>
    </row>
    <row r="89" spans="3:8">
      <c r="C89" s="14"/>
      <c r="D89" s="14"/>
      <c r="E89" s="14"/>
      <c r="H89" s="3"/>
    </row>
    <row r="90" spans="3:8">
      <c r="C90" s="14"/>
      <c r="D90" s="14"/>
      <c r="E90" s="14"/>
      <c r="H90" s="3"/>
    </row>
    <row r="91" spans="3:8">
      <c r="C91" s="14"/>
      <c r="D91" s="14"/>
      <c r="E91" s="14"/>
      <c r="H91" s="3"/>
    </row>
    <row r="92" spans="3:8">
      <c r="C92" s="14"/>
      <c r="D92" s="14"/>
      <c r="E92" s="14"/>
      <c r="H92" s="3"/>
    </row>
    <row r="93" spans="3:8">
      <c r="C93" s="14"/>
      <c r="D93" s="14"/>
      <c r="E93" s="14"/>
      <c r="H93" s="3"/>
    </row>
    <row r="94" spans="3:8">
      <c r="C94" s="14"/>
      <c r="D94" s="14"/>
      <c r="E94" s="14"/>
      <c r="H94" s="3"/>
    </row>
    <row r="95" spans="3:8">
      <c r="C95" s="14"/>
      <c r="D95" s="14"/>
      <c r="E95" s="14"/>
      <c r="H95" s="3"/>
    </row>
    <row r="96" spans="3:8">
      <c r="C96" s="14"/>
      <c r="D96" s="14"/>
      <c r="E96" s="14"/>
      <c r="H96" s="3"/>
    </row>
    <row r="97" spans="3:8">
      <c r="C97" s="14"/>
      <c r="D97" s="14"/>
      <c r="E97" s="14"/>
      <c r="H97" s="3"/>
    </row>
    <row r="98" spans="3:8">
      <c r="C98" s="14"/>
      <c r="D98" s="14"/>
      <c r="E98" s="14"/>
      <c r="H98" s="3"/>
    </row>
    <row r="99" spans="3:8">
      <c r="C99" s="14"/>
      <c r="D99" s="14"/>
      <c r="E99" s="14"/>
      <c r="H99" s="3"/>
    </row>
    <row r="100" spans="3:8">
      <c r="C100" s="14"/>
      <c r="D100" s="14"/>
      <c r="E100" s="14"/>
      <c r="H100" s="3"/>
    </row>
    <row r="101" spans="3:8">
      <c r="C101" s="14"/>
      <c r="D101" s="14"/>
      <c r="E101" s="14"/>
      <c r="H101" s="3"/>
    </row>
    <row r="102" spans="3:8">
      <c r="C102" s="14"/>
      <c r="D102" s="14"/>
      <c r="E102" s="14"/>
      <c r="H102" s="3"/>
    </row>
    <row r="103" spans="3:8">
      <c r="C103" s="14"/>
      <c r="D103" s="14"/>
      <c r="E103" s="14"/>
      <c r="H103" s="3"/>
    </row>
    <row r="104" spans="3:8">
      <c r="C104" s="14"/>
      <c r="D104" s="14"/>
      <c r="E104" s="14"/>
      <c r="H104" s="3"/>
    </row>
    <row r="105" spans="3:8">
      <c r="C105" s="14"/>
      <c r="D105" s="14"/>
      <c r="E105" s="14"/>
      <c r="H105" s="3"/>
    </row>
    <row r="106" spans="3:8">
      <c r="C106" s="14"/>
      <c r="D106" s="14"/>
      <c r="E106" s="14"/>
      <c r="H106" s="3"/>
    </row>
    <row r="107" spans="3:8">
      <c r="C107" s="14"/>
      <c r="D107" s="14"/>
      <c r="E107" s="14"/>
      <c r="H107" s="3"/>
    </row>
    <row r="108" spans="3:8">
      <c r="C108" s="14"/>
      <c r="D108" s="14"/>
      <c r="E108" s="14"/>
      <c r="H108" s="3"/>
    </row>
    <row r="109" spans="3:8">
      <c r="C109" s="14"/>
      <c r="D109" s="14"/>
      <c r="E109" s="14"/>
      <c r="H109" s="3"/>
    </row>
    <row r="110" spans="3:8">
      <c r="C110" s="14"/>
      <c r="D110" s="14"/>
      <c r="E110" s="14"/>
      <c r="H110" s="3"/>
    </row>
    <row r="111" spans="3:8">
      <c r="C111" s="14"/>
      <c r="D111" s="14"/>
      <c r="E111" s="14"/>
      <c r="H111" s="3"/>
    </row>
    <row r="112" spans="3:8">
      <c r="C112" s="14"/>
      <c r="D112" s="14"/>
      <c r="E112" s="14"/>
      <c r="H112" s="3"/>
    </row>
    <row r="113" spans="3:8">
      <c r="C113" s="14"/>
      <c r="D113" s="14"/>
      <c r="E113" s="14"/>
      <c r="H113" s="3"/>
    </row>
    <row r="114" spans="3:8">
      <c r="C114" s="14"/>
      <c r="D114" s="14"/>
      <c r="E114" s="14"/>
      <c r="H114" s="3"/>
    </row>
    <row r="115" spans="3:8">
      <c r="C115" s="14"/>
      <c r="D115" s="14"/>
      <c r="E115" s="14"/>
      <c r="H115" s="3"/>
    </row>
    <row r="116" spans="3:8">
      <c r="C116" s="14"/>
      <c r="D116" s="14"/>
      <c r="E116" s="14"/>
      <c r="H116" s="3"/>
    </row>
    <row r="117" spans="3:8">
      <c r="C117" s="14"/>
      <c r="D117" s="14"/>
      <c r="E117" s="14"/>
      <c r="H117" s="3"/>
    </row>
    <row r="118" spans="3:8">
      <c r="C118" s="14"/>
      <c r="D118" s="14"/>
      <c r="E118" s="14"/>
      <c r="H118" s="3"/>
    </row>
    <row r="119" spans="3:8">
      <c r="C119" s="14"/>
      <c r="D119" s="14"/>
      <c r="E119" s="14"/>
      <c r="H119" s="3"/>
    </row>
    <row r="120" spans="3:8">
      <c r="C120" s="14"/>
      <c r="D120" s="14"/>
      <c r="E120" s="14"/>
      <c r="H120" s="3"/>
    </row>
    <row r="121" spans="3:8">
      <c r="C121" s="14"/>
      <c r="D121" s="14"/>
      <c r="E121" s="14"/>
      <c r="H121" s="3"/>
    </row>
    <row r="122" spans="3:8">
      <c r="C122" s="14"/>
      <c r="D122" s="14"/>
      <c r="E122" s="14"/>
      <c r="H122" s="3"/>
    </row>
    <row r="123" spans="3:8">
      <c r="C123" s="14"/>
      <c r="D123" s="14"/>
      <c r="E123" s="14"/>
      <c r="H123" s="3"/>
    </row>
    <row r="124" spans="3:8">
      <c r="C124" s="14"/>
      <c r="D124" s="14"/>
      <c r="E124" s="14"/>
      <c r="H124" s="3"/>
    </row>
    <row r="125" spans="3:8">
      <c r="C125" s="14"/>
      <c r="D125" s="14"/>
      <c r="E125" s="14"/>
      <c r="H125" s="3"/>
    </row>
    <row r="126" spans="3:8">
      <c r="C126" s="14"/>
      <c r="D126" s="14"/>
      <c r="E126" s="14"/>
      <c r="H126" s="3"/>
    </row>
    <row r="127" spans="3:8">
      <c r="C127" s="14"/>
      <c r="D127" s="14"/>
      <c r="E127" s="14"/>
      <c r="H127" s="3"/>
    </row>
    <row r="128" spans="3:8">
      <c r="C128" s="14"/>
      <c r="D128" s="14"/>
      <c r="E128" s="14"/>
      <c r="H128" s="3"/>
    </row>
    <row r="129" spans="3:8">
      <c r="C129" s="14"/>
      <c r="D129" s="14"/>
      <c r="E129" s="14"/>
      <c r="H129" s="3"/>
    </row>
    <row r="130" spans="3:8">
      <c r="C130" s="14"/>
      <c r="D130" s="14"/>
      <c r="E130" s="14"/>
      <c r="H130" s="3"/>
    </row>
    <row r="131" spans="3:8">
      <c r="C131" s="14"/>
      <c r="D131" s="14"/>
      <c r="E131" s="14"/>
      <c r="H131" s="3"/>
    </row>
    <row r="132" spans="3:8">
      <c r="C132" s="14"/>
      <c r="D132" s="14"/>
      <c r="E132" s="14"/>
      <c r="H132" s="3"/>
    </row>
    <row r="133" spans="3:8">
      <c r="C133" s="14"/>
      <c r="D133" s="14"/>
      <c r="E133" s="14"/>
      <c r="H133" s="3"/>
    </row>
    <row r="134" spans="3:8">
      <c r="C134" s="14"/>
      <c r="D134" s="14"/>
      <c r="E134" s="14"/>
      <c r="H134" s="3"/>
    </row>
    <row r="135" spans="3:8">
      <c r="C135" s="14"/>
      <c r="D135" s="14"/>
      <c r="E135" s="14"/>
      <c r="H135" s="3"/>
    </row>
    <row r="136" spans="3:8">
      <c r="C136" s="14"/>
      <c r="D136" s="14"/>
      <c r="E136" s="14"/>
      <c r="H136" s="3"/>
    </row>
    <row r="137" spans="3:8">
      <c r="C137" s="14"/>
      <c r="D137" s="14"/>
      <c r="E137" s="14"/>
      <c r="H137" s="3"/>
    </row>
    <row r="138" spans="3:8">
      <c r="C138" s="14"/>
      <c r="D138" s="14"/>
      <c r="E138" s="14"/>
      <c r="H138" s="3"/>
    </row>
    <row r="139" spans="3:8">
      <c r="C139" s="14"/>
      <c r="D139" s="14"/>
      <c r="E139" s="14"/>
      <c r="H139" s="3"/>
    </row>
    <row r="140" spans="3:8">
      <c r="C140" s="14"/>
      <c r="D140" s="14"/>
      <c r="E140" s="14"/>
      <c r="H140" s="3"/>
    </row>
    <row r="141" spans="3:8">
      <c r="C141" s="14"/>
      <c r="D141" s="14"/>
      <c r="E141" s="14"/>
      <c r="H141" s="3"/>
    </row>
    <row r="142" spans="3:8">
      <c r="C142" s="14"/>
      <c r="D142" s="14"/>
      <c r="E142" s="14"/>
      <c r="H142" s="3"/>
    </row>
    <row r="143" spans="3:8">
      <c r="C143" s="14"/>
      <c r="D143" s="14"/>
      <c r="E143" s="14"/>
      <c r="H143" s="3"/>
    </row>
    <row r="144" spans="3:8">
      <c r="C144" s="14"/>
      <c r="D144" s="14"/>
      <c r="E144" s="14"/>
      <c r="H144" s="3"/>
    </row>
    <row r="145" spans="3:8">
      <c r="C145" s="14"/>
      <c r="D145" s="14"/>
      <c r="E145" s="14"/>
      <c r="H145" s="3"/>
    </row>
    <row r="146" spans="3:8">
      <c r="C146" s="14"/>
      <c r="D146" s="14"/>
      <c r="E146" s="14"/>
      <c r="H146" s="3"/>
    </row>
    <row r="147" spans="3:8">
      <c r="C147" s="14"/>
      <c r="D147" s="14"/>
      <c r="E147" s="14"/>
      <c r="H147" s="3"/>
    </row>
    <row r="148" spans="3:8">
      <c r="C148" s="14"/>
      <c r="D148" s="14"/>
      <c r="E148" s="14"/>
      <c r="H148" s="3"/>
    </row>
    <row r="149" spans="3:8">
      <c r="C149" s="14"/>
      <c r="D149" s="14"/>
      <c r="E149" s="14"/>
      <c r="H149" s="3"/>
    </row>
    <row r="150" spans="3:8">
      <c r="C150" s="14"/>
      <c r="D150" s="14"/>
      <c r="E150" s="14"/>
      <c r="H150" s="3"/>
    </row>
    <row r="151" spans="3:8">
      <c r="C151" s="14"/>
      <c r="D151" s="14"/>
      <c r="E151" s="14"/>
      <c r="H151" s="3"/>
    </row>
    <row r="152" spans="3:8">
      <c r="C152" s="14"/>
      <c r="D152" s="14"/>
      <c r="E152" s="14"/>
      <c r="H152" s="3"/>
    </row>
    <row r="153" spans="3:8">
      <c r="C153" s="14"/>
      <c r="D153" s="14"/>
      <c r="E153" s="14"/>
      <c r="H153" s="3"/>
    </row>
    <row r="154" spans="3:8">
      <c r="C154" s="14"/>
      <c r="D154" s="14"/>
      <c r="E154" s="14"/>
      <c r="H154" s="3"/>
    </row>
    <row r="155" spans="3:8">
      <c r="C155" s="14"/>
      <c r="D155" s="14"/>
      <c r="E155" s="14"/>
      <c r="H155" s="3"/>
    </row>
    <row r="156" spans="3:8">
      <c r="C156" s="14"/>
      <c r="D156" s="14"/>
      <c r="E156" s="14"/>
      <c r="H15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8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3.375" customWidth="1"/>
    <col min="2" max="2" width="11.625" customWidth="1"/>
    <col min="3" max="3" width="15" customWidth="1"/>
    <col min="4" max="4" width="13.875" customWidth="1"/>
    <col min="5" max="5" width="8.375" customWidth="1"/>
    <col min="6" max="6" width="28.875" customWidth="1"/>
    <col min="7" max="7" width="21.625" customWidth="1"/>
    <col min="8" max="8" width="18.875" customWidth="1"/>
    <col min="9" max="10" width="10.625" customWidth="1"/>
    <col min="11" max="11" width="10" customWidth="1"/>
    <col min="12" max="12" width="36.625" customWidth="1"/>
    <col min="13" max="13" width="9.375" customWidth="1"/>
    <col min="14" max="14" width="13.375" customWidth="1"/>
    <col min="15" max="15" width="12.25" customWidth="1"/>
    <col min="16" max="16" width="14.375" customWidth="1"/>
    <col min="17" max="17" width="13.625" customWidth="1"/>
    <col min="18" max="18" width="10.625" customWidth="1"/>
    <col min="19" max="19" width="11.125" customWidth="1"/>
    <col min="20" max="20" width="14.375" customWidth="1"/>
  </cols>
  <sheetData>
    <row r="1" spans="1:20" ht="24" customHeight="1">
      <c r="A1" s="17" t="s">
        <v>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9.5" customHeight="1">
      <c r="A2" s="7" t="s">
        <v>57</v>
      </c>
    </row>
    <row r="4" spans="1:20" ht="24" customHeight="1">
      <c r="A4" s="5" t="s">
        <v>58</v>
      </c>
      <c r="B4" s="5" t="s">
        <v>23</v>
      </c>
      <c r="C4" s="5" t="s">
        <v>59</v>
      </c>
      <c r="D4" s="5" t="s">
        <v>60</v>
      </c>
      <c r="E4" s="5" t="s">
        <v>35</v>
      </c>
      <c r="F4" s="5" t="s">
        <v>3</v>
      </c>
      <c r="G4" s="5" t="s">
        <v>6</v>
      </c>
      <c r="H4" s="5" t="s">
        <v>7</v>
      </c>
      <c r="I4" s="5" t="s">
        <v>24</v>
      </c>
      <c r="J4" s="5" t="s">
        <v>25</v>
      </c>
      <c r="K4" s="5" t="s">
        <v>26</v>
      </c>
      <c r="L4" s="5" t="s">
        <v>8</v>
      </c>
      <c r="M4" s="5" t="s">
        <v>27</v>
      </c>
      <c r="N4" s="5" t="s">
        <v>28</v>
      </c>
      <c r="O4" s="5" t="s">
        <v>45</v>
      </c>
      <c r="P4" s="5" t="s">
        <v>29</v>
      </c>
      <c r="Q4" s="5" t="s">
        <v>30</v>
      </c>
      <c r="R4" s="5" t="s">
        <v>61</v>
      </c>
      <c r="S4" s="5" t="s">
        <v>62</v>
      </c>
      <c r="T4" s="5" t="s">
        <v>63</v>
      </c>
    </row>
    <row r="5" spans="1:20">
      <c r="B5" s="2" t="str">
        <f>IFERROR(INT(INDEX(tblBatidas[Data e hora],MATCH("B"&amp;MID($A5,2,99),tblBatidas[Batida ID],0))),"")</f>
        <v/>
      </c>
      <c r="C5" t="str">
        <f t="shared" ref="C5:C68" si="0">IF(B5="","",CHOOSE(WEEKDAY(B5,2),"SEGUNDA-FEIRA","TERÇA-FEIRA","QUARTA-FEIRA","QUINTA-FEIRA","SEXTA-FEIRA","SÁBADO","DOMINGO"))</f>
        <v/>
      </c>
      <c r="D5" t="str">
        <f t="shared" ref="D5:D68" si="1">IF(B5="","",IF(WEEKDAY(B5,2)&gt;5,"FDS/FERIADO","DIA ÚTIL"))</f>
        <v/>
      </c>
      <c r="E5" t="str">
        <f>IFERROR(INDEX(tblBatidas[ID],MATCH("B"&amp;MID($A5,2,99),tblBatidas[Batida ID],0)),"")</f>
        <v/>
      </c>
      <c r="F5" t="str">
        <f>IFERROR(INDEX(tblPessoas[Pessoa],MATCH(E5,tblPessoas[ID],0)),"")</f>
        <v/>
      </c>
      <c r="G5" t="str">
        <f>IFERROR(INDEX(tblBatidas[Projeto],MATCH("B"&amp;MID($A5,2,99),tblBatidas[Batida ID],0)),"")</f>
        <v/>
      </c>
      <c r="H5" t="str">
        <f>IFERROR(INDEX(tblBatidas[Atividade],MATCH("B"&amp;MID($A5,2,99),tblBatidas[Batida ID],0)),"")</f>
        <v/>
      </c>
      <c r="I5" s="4" t="str">
        <f>IFERROR(MOD(INDEX(tblBatidas[Data e hora],MATCH("B"&amp;MID($A5,2,99),tblBatidas[Batida ID],0)),1),"")</f>
        <v/>
      </c>
      <c r="J5" s="4" t="str">
        <f>IFERROR(MOD(INDEX(tblBatidas[Data e hora],MATCH("B"&amp;MID($A5,2,99),tblBatidas[Início vinculado],0)),1),"")</f>
        <v/>
      </c>
      <c r="K5" s="14" t="str">
        <f>IFERROR((INDEX(tblBatidas[Data e hora],MATCH("B"&amp;MID($A5,2,99),tblBatidas[Início vinculado],0))-INDEX(tblBatidas[Data e hora],MATCH("B"&amp;MID($A5,2,99),tblBatidas[Batida ID],0)))*24,"")</f>
        <v/>
      </c>
      <c r="L5" t="str">
        <f>IFERROR(INDEX(tblBatidas[Observação],MATCH("B"&amp;MID($A5,2,99),tblBatidas[Início vinculado],0)),"")</f>
        <v/>
      </c>
      <c r="M5" t="str">
        <f>IFERROR(INDEX(tblPessoas[Base],MATCH(E5,tblPessoas[ID],0)),"")</f>
        <v/>
      </c>
      <c r="N5" s="3">
        <f>IFERROR(IF(D5="DIA ÚTIL",INDEX(tblPessoas[R$/h útil],MATCH(E5,tblPessoas[ID],0)),INDEX(tblPessoas[R$/h FDS],MATCH(E5,tblPessoas[ID],0))),0)</f>
        <v>0</v>
      </c>
      <c r="O5" s="3">
        <f>IFERROR(INDEX(tblPessoas[R$/diária],MATCH(E5,tblPessoas[ID],0)),0)</f>
        <v>0</v>
      </c>
      <c r="P5" s="3" t="str">
        <f t="shared" ref="P5:P68" si="2">IF(Q5&lt;&gt;"CONCLUÍDO","",IF(M5="Diária",O5*R5,K5*N5))</f>
        <v/>
      </c>
      <c r="Q5" t="str">
        <f>IF(A5="","",IF(COUNTIF(tblBatidas[Início vinculado],"B"&amp;MID($A5,2,99))=0,"EM ABERTO",IF(OR(COUNTIF(tblBatidas[Início vinculado],"B"&amp;MID($A5,2,99))&gt;1,K5&lt;0,K5&gt;16,INT(INDEX(tblBatidas[Data e hora],MATCH("B"&amp;MID($A5,2,99),tblBatidas[Início vinculado],0)))&lt;&gt;B5,INDEX(tblBatidas[ID],MATCH("B"&amp;MID($A5,2,99),tblBatidas[Início vinculado],0))&lt;&gt;E5,INDEX(tblBatidas[Projeto],MATCH("B"&amp;MID($A5,2,99),tblBatidas[Início vinculado],0))&lt;&gt;G5,INDEX(tblBatidas[Atividade],MATCH("B"&amp;MID($A5,2,99),tblBatidas[Início vinculado],0))&lt;&gt;H5),"REVISAR","CONCLUÍDO")))</f>
        <v/>
      </c>
      <c r="R5">
        <f>IF(Q5&lt;&gt;"CONCLUÍDO",0,IF(COUNTIFS($E$5:E5,E5,$B$5:B5,B5,$Q$5:Q5,"CONCLUÍDO")=1,1,0))</f>
        <v>0</v>
      </c>
      <c r="S5" t="str">
        <f t="shared" ref="S5:S68" si="3">IF(B5="","",TEXT(B5,"yyyy-mm"))</f>
        <v/>
      </c>
      <c r="T5" t="str">
        <f>IF(E5="","",E5*100000+COUNTIFS(tblRegistros[ID],E5,tblRegistros[Data],"&lt;"&amp;B5)+COUNTIFS(tblRegistros[ID],E5,tblRegistros[Data],B5,tblRegistros[Início],"&lt;"&amp;I5)+COUNTIFS($E$5:E5,E5,$B$5:B5,B5,$I$5:I5,I5))</f>
        <v/>
      </c>
    </row>
    <row r="6" spans="1:20">
      <c r="B6" s="2" t="str">
        <f>IFERROR(INT(INDEX(tblBatidas[Data e hora],MATCH("B"&amp;MID($A6,2,99),tblBatidas[Batida ID],0))),"")</f>
        <v/>
      </c>
      <c r="C6" t="str">
        <f t="shared" si="0"/>
        <v/>
      </c>
      <c r="D6" t="str">
        <f t="shared" si="1"/>
        <v/>
      </c>
      <c r="E6" t="str">
        <f>IFERROR(INDEX(tblBatidas[ID],MATCH("B"&amp;MID($A6,2,99),tblBatidas[Batida ID],0)),"")</f>
        <v/>
      </c>
      <c r="F6" t="str">
        <f>IFERROR(INDEX(tblPessoas[Pessoa],MATCH(E6,tblPessoas[ID],0)),"")</f>
        <v/>
      </c>
      <c r="G6" t="str">
        <f>IFERROR(INDEX(tblBatidas[Projeto],MATCH("B"&amp;MID($A6,2,99),tblBatidas[Batida ID],0)),"")</f>
        <v/>
      </c>
      <c r="H6" t="str">
        <f>IFERROR(INDEX(tblBatidas[Atividade],MATCH("B"&amp;MID($A6,2,99),tblBatidas[Batida ID],0)),"")</f>
        <v/>
      </c>
      <c r="I6" s="4" t="str">
        <f>IFERROR(MOD(INDEX(tblBatidas[Data e hora],MATCH("B"&amp;MID($A6,2,99),tblBatidas[Batida ID],0)),1),"")</f>
        <v/>
      </c>
      <c r="J6" s="4" t="str">
        <f>IFERROR(MOD(INDEX(tblBatidas[Data e hora],MATCH("B"&amp;MID($A6,2,99),tblBatidas[Início vinculado],0)),1),"")</f>
        <v/>
      </c>
      <c r="K6" s="14" t="str">
        <f>IFERROR((INDEX(tblBatidas[Data e hora],MATCH("B"&amp;MID($A6,2,99),tblBatidas[Início vinculado],0))-INDEX(tblBatidas[Data e hora],MATCH("B"&amp;MID($A6,2,99),tblBatidas[Batida ID],0)))*24,"")</f>
        <v/>
      </c>
      <c r="L6" t="str">
        <f>IFERROR(INDEX(tblBatidas[Observação],MATCH("B"&amp;MID($A6,2,99),tblBatidas[Início vinculado],0)),"")</f>
        <v/>
      </c>
      <c r="M6" t="str">
        <f>IFERROR(INDEX(tblPessoas[Base],MATCH(E6,tblPessoas[ID],0)),"")</f>
        <v/>
      </c>
      <c r="N6" s="3">
        <f>IFERROR(IF(D6="DIA ÚTIL",INDEX(tblPessoas[R$/h útil],MATCH(E6,tblPessoas[ID],0)),INDEX(tblPessoas[R$/h FDS],MATCH(E6,tblPessoas[ID],0))),0)</f>
        <v>0</v>
      </c>
      <c r="O6" s="3">
        <f>IFERROR(INDEX(tblPessoas[R$/diária],MATCH(E6,tblPessoas[ID],0)),0)</f>
        <v>0</v>
      </c>
      <c r="P6" s="3" t="str">
        <f t="shared" si="2"/>
        <v/>
      </c>
      <c r="Q6" t="str">
        <f>IF(A6="","",IF(COUNTIF(tblBatidas[Início vinculado],"B"&amp;MID($A6,2,99))=0,"EM ABERTO",IF(OR(COUNTIF(tblBatidas[Início vinculado],"B"&amp;MID($A6,2,99))&gt;1,K6&lt;0,K6&gt;16,INT(INDEX(tblBatidas[Data e hora],MATCH("B"&amp;MID($A6,2,99),tblBatidas[Início vinculado],0)))&lt;&gt;B6,INDEX(tblBatidas[ID],MATCH("B"&amp;MID($A6,2,99),tblBatidas[Início vinculado],0))&lt;&gt;E6,INDEX(tblBatidas[Projeto],MATCH("B"&amp;MID($A6,2,99),tblBatidas[Início vinculado],0))&lt;&gt;G6,INDEX(tblBatidas[Atividade],MATCH("B"&amp;MID($A6,2,99),tblBatidas[Início vinculado],0))&lt;&gt;H6),"REVISAR","CONCLUÍDO")))</f>
        <v/>
      </c>
      <c r="R6">
        <f>IF(Q6&lt;&gt;"CONCLUÍDO",0,IF(COUNTIFS($E$5:E6,E6,$B$5:B6,B6,$Q$5:Q6,"CONCLUÍDO")=1,1,0))</f>
        <v>0</v>
      </c>
      <c r="S6" t="str">
        <f t="shared" si="3"/>
        <v/>
      </c>
      <c r="T6" t="str">
        <f>IF(E6="","",E6*100000+COUNTIFS(tblRegistros[ID],E6,tblRegistros[Data],"&lt;"&amp;B6)+COUNTIFS(tblRegistros[ID],E6,tblRegistros[Data],B6,tblRegistros[Início],"&lt;"&amp;I6)+COUNTIFS($E$5:E6,E6,$B$5:B6,B6,$I$5:I6,I6))</f>
        <v/>
      </c>
    </row>
    <row r="7" spans="1:20">
      <c r="B7" s="2" t="str">
        <f>IFERROR(INT(INDEX(tblBatidas[Data e hora],MATCH("B"&amp;MID($A7,2,99),tblBatidas[Batida ID],0))),"")</f>
        <v/>
      </c>
      <c r="C7" t="str">
        <f t="shared" si="0"/>
        <v/>
      </c>
      <c r="D7" t="str">
        <f t="shared" si="1"/>
        <v/>
      </c>
      <c r="E7" t="str">
        <f>IFERROR(INDEX(tblBatidas[ID],MATCH("B"&amp;MID($A7,2,99),tblBatidas[Batida ID],0)),"")</f>
        <v/>
      </c>
      <c r="F7" t="str">
        <f>IFERROR(INDEX(tblPessoas[Pessoa],MATCH(E7,tblPessoas[ID],0)),"")</f>
        <v/>
      </c>
      <c r="G7" t="str">
        <f>IFERROR(INDEX(tblBatidas[Projeto],MATCH("B"&amp;MID($A7,2,99),tblBatidas[Batida ID],0)),"")</f>
        <v/>
      </c>
      <c r="H7" t="str">
        <f>IFERROR(INDEX(tblBatidas[Atividade],MATCH("B"&amp;MID($A7,2,99),tblBatidas[Batida ID],0)),"")</f>
        <v/>
      </c>
      <c r="I7" s="4" t="str">
        <f>IFERROR(MOD(INDEX(tblBatidas[Data e hora],MATCH("B"&amp;MID($A7,2,99),tblBatidas[Batida ID],0)),1),"")</f>
        <v/>
      </c>
      <c r="J7" s="4" t="str">
        <f>IFERROR(MOD(INDEX(tblBatidas[Data e hora],MATCH("B"&amp;MID($A7,2,99),tblBatidas[Início vinculado],0)),1),"")</f>
        <v/>
      </c>
      <c r="K7" s="14" t="str">
        <f>IFERROR((INDEX(tblBatidas[Data e hora],MATCH("B"&amp;MID($A7,2,99),tblBatidas[Início vinculado],0))-INDEX(tblBatidas[Data e hora],MATCH("B"&amp;MID($A7,2,99),tblBatidas[Batida ID],0)))*24,"")</f>
        <v/>
      </c>
      <c r="L7" t="str">
        <f>IFERROR(INDEX(tblBatidas[Observação],MATCH("B"&amp;MID($A7,2,99),tblBatidas[Início vinculado],0)),"")</f>
        <v/>
      </c>
      <c r="M7" t="str">
        <f>IFERROR(INDEX(tblPessoas[Base],MATCH(E7,tblPessoas[ID],0)),"")</f>
        <v/>
      </c>
      <c r="N7" s="3">
        <f>IFERROR(IF(D7="DIA ÚTIL",INDEX(tblPessoas[R$/h útil],MATCH(E7,tblPessoas[ID],0)),INDEX(tblPessoas[R$/h FDS],MATCH(E7,tblPessoas[ID],0))),0)</f>
        <v>0</v>
      </c>
      <c r="O7" s="3">
        <f>IFERROR(INDEX(tblPessoas[R$/diária],MATCH(E7,tblPessoas[ID],0)),0)</f>
        <v>0</v>
      </c>
      <c r="P7" s="3" t="str">
        <f t="shared" si="2"/>
        <v/>
      </c>
      <c r="Q7" t="str">
        <f>IF(A7="","",IF(COUNTIF(tblBatidas[Início vinculado],"B"&amp;MID($A7,2,99))=0,"EM ABERTO",IF(OR(COUNTIF(tblBatidas[Início vinculado],"B"&amp;MID($A7,2,99))&gt;1,K7&lt;0,K7&gt;16,INT(INDEX(tblBatidas[Data e hora],MATCH("B"&amp;MID($A7,2,99),tblBatidas[Início vinculado],0)))&lt;&gt;B7,INDEX(tblBatidas[ID],MATCH("B"&amp;MID($A7,2,99),tblBatidas[Início vinculado],0))&lt;&gt;E7,INDEX(tblBatidas[Projeto],MATCH("B"&amp;MID($A7,2,99),tblBatidas[Início vinculado],0))&lt;&gt;G7,INDEX(tblBatidas[Atividade],MATCH("B"&amp;MID($A7,2,99),tblBatidas[Início vinculado],0))&lt;&gt;H7),"REVISAR","CONCLUÍDO")))</f>
        <v/>
      </c>
      <c r="R7">
        <f>IF(Q7&lt;&gt;"CONCLUÍDO",0,IF(COUNTIFS($E$5:E7,E7,$B$5:B7,B7,$Q$5:Q7,"CONCLUÍDO")=1,1,0))</f>
        <v>0</v>
      </c>
      <c r="S7" t="str">
        <f t="shared" si="3"/>
        <v/>
      </c>
      <c r="T7" t="str">
        <f>IF(E7="","",E7*100000+COUNTIFS(tblRegistros[ID],E7,tblRegistros[Data],"&lt;"&amp;B7)+COUNTIFS(tblRegistros[ID],E7,tblRegistros[Data],B7,tblRegistros[Início],"&lt;"&amp;I7)+COUNTIFS($E$5:E7,E7,$B$5:B7,B7,$I$5:I7,I7))</f>
        <v/>
      </c>
    </row>
    <row r="8" spans="1:20">
      <c r="B8" s="2" t="str">
        <f>IFERROR(INT(INDEX(tblBatidas[Data e hora],MATCH("B"&amp;MID($A8,2,99),tblBatidas[Batida ID],0))),"")</f>
        <v/>
      </c>
      <c r="C8" t="str">
        <f t="shared" si="0"/>
        <v/>
      </c>
      <c r="D8" t="str">
        <f t="shared" si="1"/>
        <v/>
      </c>
      <c r="E8" t="str">
        <f>IFERROR(INDEX(tblBatidas[ID],MATCH("B"&amp;MID($A8,2,99),tblBatidas[Batida ID],0)),"")</f>
        <v/>
      </c>
      <c r="F8" t="str">
        <f>IFERROR(INDEX(tblPessoas[Pessoa],MATCH(E8,tblPessoas[ID],0)),"")</f>
        <v/>
      </c>
      <c r="G8" t="str">
        <f>IFERROR(INDEX(tblBatidas[Projeto],MATCH("B"&amp;MID($A8,2,99),tblBatidas[Batida ID],0)),"")</f>
        <v/>
      </c>
      <c r="H8" t="str">
        <f>IFERROR(INDEX(tblBatidas[Atividade],MATCH("B"&amp;MID($A8,2,99),tblBatidas[Batida ID],0)),"")</f>
        <v/>
      </c>
      <c r="I8" s="4" t="str">
        <f>IFERROR(MOD(INDEX(tblBatidas[Data e hora],MATCH("B"&amp;MID($A8,2,99),tblBatidas[Batida ID],0)),1),"")</f>
        <v/>
      </c>
      <c r="J8" s="4" t="str">
        <f>IFERROR(MOD(INDEX(tblBatidas[Data e hora],MATCH("B"&amp;MID($A8,2,99),tblBatidas[Início vinculado],0)),1),"")</f>
        <v/>
      </c>
      <c r="K8" s="14" t="str">
        <f>IFERROR((INDEX(tblBatidas[Data e hora],MATCH("B"&amp;MID($A8,2,99),tblBatidas[Início vinculado],0))-INDEX(tblBatidas[Data e hora],MATCH("B"&amp;MID($A8,2,99),tblBatidas[Batida ID],0)))*24,"")</f>
        <v/>
      </c>
      <c r="L8" t="str">
        <f>IFERROR(INDEX(tblBatidas[Observação],MATCH("B"&amp;MID($A8,2,99),tblBatidas[Início vinculado],0)),"")</f>
        <v/>
      </c>
      <c r="M8" t="str">
        <f>IFERROR(INDEX(tblPessoas[Base],MATCH(E8,tblPessoas[ID],0)),"")</f>
        <v/>
      </c>
      <c r="N8" s="3">
        <f>IFERROR(IF(D8="DIA ÚTIL",INDEX(tblPessoas[R$/h útil],MATCH(E8,tblPessoas[ID],0)),INDEX(tblPessoas[R$/h FDS],MATCH(E8,tblPessoas[ID],0))),0)</f>
        <v>0</v>
      </c>
      <c r="O8" s="3">
        <f>IFERROR(INDEX(tblPessoas[R$/diária],MATCH(E8,tblPessoas[ID],0)),0)</f>
        <v>0</v>
      </c>
      <c r="P8" s="3" t="str">
        <f t="shared" si="2"/>
        <v/>
      </c>
      <c r="Q8" t="str">
        <f>IF(A8="","",IF(COUNTIF(tblBatidas[Início vinculado],"B"&amp;MID($A8,2,99))=0,"EM ABERTO",IF(OR(COUNTIF(tblBatidas[Início vinculado],"B"&amp;MID($A8,2,99))&gt;1,K8&lt;0,K8&gt;16,INT(INDEX(tblBatidas[Data e hora],MATCH("B"&amp;MID($A8,2,99),tblBatidas[Início vinculado],0)))&lt;&gt;B8,INDEX(tblBatidas[ID],MATCH("B"&amp;MID($A8,2,99),tblBatidas[Início vinculado],0))&lt;&gt;E8,INDEX(tblBatidas[Projeto],MATCH("B"&amp;MID($A8,2,99),tblBatidas[Início vinculado],0))&lt;&gt;G8,INDEX(tblBatidas[Atividade],MATCH("B"&amp;MID($A8,2,99),tblBatidas[Início vinculado],0))&lt;&gt;H8),"REVISAR","CONCLUÍDO")))</f>
        <v/>
      </c>
      <c r="R8">
        <f>IF(Q8&lt;&gt;"CONCLUÍDO",0,IF(COUNTIFS($E$5:E8,E8,$B$5:B8,B8,$Q$5:Q8,"CONCLUÍDO")=1,1,0))</f>
        <v>0</v>
      </c>
      <c r="S8" t="str">
        <f t="shared" si="3"/>
        <v/>
      </c>
      <c r="T8" t="str">
        <f>IF(E8="","",E8*100000+COUNTIFS(tblRegistros[ID],E8,tblRegistros[Data],"&lt;"&amp;B8)+COUNTIFS(tblRegistros[ID],E8,tblRegistros[Data],B8,tblRegistros[Início],"&lt;"&amp;I8)+COUNTIFS($E$5:E8,E8,$B$5:B8,B8,$I$5:I8,I8))</f>
        <v/>
      </c>
    </row>
    <row r="9" spans="1:20">
      <c r="B9" s="2" t="str">
        <f>IFERROR(INT(INDEX(tblBatidas[Data e hora],MATCH("B"&amp;MID($A9,2,99),tblBatidas[Batida ID],0))),"")</f>
        <v/>
      </c>
      <c r="C9" t="str">
        <f t="shared" si="0"/>
        <v/>
      </c>
      <c r="D9" t="str">
        <f t="shared" si="1"/>
        <v/>
      </c>
      <c r="E9" t="str">
        <f>IFERROR(INDEX(tblBatidas[ID],MATCH("B"&amp;MID($A9,2,99),tblBatidas[Batida ID],0)),"")</f>
        <v/>
      </c>
      <c r="F9" t="str">
        <f>IFERROR(INDEX(tblPessoas[Pessoa],MATCH(E9,tblPessoas[ID],0)),"")</f>
        <v/>
      </c>
      <c r="G9" t="str">
        <f>IFERROR(INDEX(tblBatidas[Projeto],MATCH("B"&amp;MID($A9,2,99),tblBatidas[Batida ID],0)),"")</f>
        <v/>
      </c>
      <c r="H9" t="str">
        <f>IFERROR(INDEX(tblBatidas[Atividade],MATCH("B"&amp;MID($A9,2,99),tblBatidas[Batida ID],0)),"")</f>
        <v/>
      </c>
      <c r="I9" s="4" t="str">
        <f>IFERROR(MOD(INDEX(tblBatidas[Data e hora],MATCH("B"&amp;MID($A9,2,99),tblBatidas[Batida ID],0)),1),"")</f>
        <v/>
      </c>
      <c r="J9" s="4" t="str">
        <f>IFERROR(MOD(INDEX(tblBatidas[Data e hora],MATCH("B"&amp;MID($A9,2,99),tblBatidas[Início vinculado],0)),1),"")</f>
        <v/>
      </c>
      <c r="K9" s="14" t="str">
        <f>IFERROR((INDEX(tblBatidas[Data e hora],MATCH("B"&amp;MID($A9,2,99),tblBatidas[Início vinculado],0))-INDEX(tblBatidas[Data e hora],MATCH("B"&amp;MID($A9,2,99),tblBatidas[Batida ID],0)))*24,"")</f>
        <v/>
      </c>
      <c r="L9" t="str">
        <f>IFERROR(INDEX(tblBatidas[Observação],MATCH("B"&amp;MID($A9,2,99),tblBatidas[Início vinculado],0)),"")</f>
        <v/>
      </c>
      <c r="M9" t="str">
        <f>IFERROR(INDEX(tblPessoas[Base],MATCH(E9,tblPessoas[ID],0)),"")</f>
        <v/>
      </c>
      <c r="N9" s="3">
        <f>IFERROR(IF(D9="DIA ÚTIL",INDEX(tblPessoas[R$/h útil],MATCH(E9,tblPessoas[ID],0)),INDEX(tblPessoas[R$/h FDS],MATCH(E9,tblPessoas[ID],0))),0)</f>
        <v>0</v>
      </c>
      <c r="O9" s="3">
        <f>IFERROR(INDEX(tblPessoas[R$/diária],MATCH(E9,tblPessoas[ID],0)),0)</f>
        <v>0</v>
      </c>
      <c r="P9" s="3" t="str">
        <f t="shared" si="2"/>
        <v/>
      </c>
      <c r="Q9" t="str">
        <f>IF(A9="","",IF(COUNTIF(tblBatidas[Início vinculado],"B"&amp;MID($A9,2,99))=0,"EM ABERTO",IF(OR(COUNTIF(tblBatidas[Início vinculado],"B"&amp;MID($A9,2,99))&gt;1,K9&lt;0,K9&gt;16,INT(INDEX(tblBatidas[Data e hora],MATCH("B"&amp;MID($A9,2,99),tblBatidas[Início vinculado],0)))&lt;&gt;B9,INDEX(tblBatidas[ID],MATCH("B"&amp;MID($A9,2,99),tblBatidas[Início vinculado],0))&lt;&gt;E9,INDEX(tblBatidas[Projeto],MATCH("B"&amp;MID($A9,2,99),tblBatidas[Início vinculado],0))&lt;&gt;G9,INDEX(tblBatidas[Atividade],MATCH("B"&amp;MID($A9,2,99),tblBatidas[Início vinculado],0))&lt;&gt;H9),"REVISAR","CONCLUÍDO")))</f>
        <v/>
      </c>
      <c r="R9">
        <f>IF(Q9&lt;&gt;"CONCLUÍDO",0,IF(COUNTIFS($E$5:E9,E9,$B$5:B9,B9,$Q$5:Q9,"CONCLUÍDO")=1,1,0))</f>
        <v>0</v>
      </c>
      <c r="S9" t="str">
        <f t="shared" si="3"/>
        <v/>
      </c>
      <c r="T9" t="str">
        <f>IF(E9="","",E9*100000+COUNTIFS(tblRegistros[ID],E9,tblRegistros[Data],"&lt;"&amp;B9)+COUNTIFS(tblRegistros[ID],E9,tblRegistros[Data],B9,tblRegistros[Início],"&lt;"&amp;I9)+COUNTIFS($E$5:E9,E9,$B$5:B9,B9,$I$5:I9,I9))</f>
        <v/>
      </c>
    </row>
    <row r="10" spans="1:20">
      <c r="B10" s="2" t="str">
        <f>IFERROR(INT(INDEX(tblBatidas[Data e hora],MATCH("B"&amp;MID($A10,2,99),tblBatidas[Batida ID],0))),"")</f>
        <v/>
      </c>
      <c r="C10" t="str">
        <f t="shared" si="0"/>
        <v/>
      </c>
      <c r="D10" t="str">
        <f t="shared" si="1"/>
        <v/>
      </c>
      <c r="E10" t="str">
        <f>IFERROR(INDEX(tblBatidas[ID],MATCH("B"&amp;MID($A10,2,99),tblBatidas[Batida ID],0)),"")</f>
        <v/>
      </c>
      <c r="F10" t="str">
        <f>IFERROR(INDEX(tblPessoas[Pessoa],MATCH(E10,tblPessoas[ID],0)),"")</f>
        <v/>
      </c>
      <c r="G10" t="str">
        <f>IFERROR(INDEX(tblBatidas[Projeto],MATCH("B"&amp;MID($A10,2,99),tblBatidas[Batida ID],0)),"")</f>
        <v/>
      </c>
      <c r="H10" t="str">
        <f>IFERROR(INDEX(tblBatidas[Atividade],MATCH("B"&amp;MID($A10,2,99),tblBatidas[Batida ID],0)),"")</f>
        <v/>
      </c>
      <c r="I10" s="4" t="str">
        <f>IFERROR(MOD(INDEX(tblBatidas[Data e hora],MATCH("B"&amp;MID($A10,2,99),tblBatidas[Batida ID],0)),1),"")</f>
        <v/>
      </c>
      <c r="J10" s="4" t="str">
        <f>IFERROR(MOD(INDEX(tblBatidas[Data e hora],MATCH("B"&amp;MID($A10,2,99),tblBatidas[Início vinculado],0)),1),"")</f>
        <v/>
      </c>
      <c r="K10" s="14" t="str">
        <f>IFERROR((INDEX(tblBatidas[Data e hora],MATCH("B"&amp;MID($A10,2,99),tblBatidas[Início vinculado],0))-INDEX(tblBatidas[Data e hora],MATCH("B"&amp;MID($A10,2,99),tblBatidas[Batida ID],0)))*24,"")</f>
        <v/>
      </c>
      <c r="L10" t="str">
        <f>IFERROR(INDEX(tblBatidas[Observação],MATCH("B"&amp;MID($A10,2,99),tblBatidas[Início vinculado],0)),"")</f>
        <v/>
      </c>
      <c r="M10" t="str">
        <f>IFERROR(INDEX(tblPessoas[Base],MATCH(E10,tblPessoas[ID],0)),"")</f>
        <v/>
      </c>
      <c r="N10" s="3">
        <f>IFERROR(IF(D10="DIA ÚTIL",INDEX(tblPessoas[R$/h útil],MATCH(E10,tblPessoas[ID],0)),INDEX(tblPessoas[R$/h FDS],MATCH(E10,tblPessoas[ID],0))),0)</f>
        <v>0</v>
      </c>
      <c r="O10" s="3">
        <f>IFERROR(INDEX(tblPessoas[R$/diária],MATCH(E10,tblPessoas[ID],0)),0)</f>
        <v>0</v>
      </c>
      <c r="P10" s="3" t="str">
        <f t="shared" si="2"/>
        <v/>
      </c>
      <c r="Q10" t="str">
        <f>IF(A10="","",IF(COUNTIF(tblBatidas[Início vinculado],"B"&amp;MID($A10,2,99))=0,"EM ABERTO",IF(OR(COUNTIF(tblBatidas[Início vinculado],"B"&amp;MID($A10,2,99))&gt;1,K10&lt;0,K10&gt;16,INT(INDEX(tblBatidas[Data e hora],MATCH("B"&amp;MID($A10,2,99),tblBatidas[Início vinculado],0)))&lt;&gt;B10,INDEX(tblBatidas[ID],MATCH("B"&amp;MID($A10,2,99),tblBatidas[Início vinculado],0))&lt;&gt;E10,INDEX(tblBatidas[Projeto],MATCH("B"&amp;MID($A10,2,99),tblBatidas[Início vinculado],0))&lt;&gt;G10,INDEX(tblBatidas[Atividade],MATCH("B"&amp;MID($A10,2,99),tblBatidas[Início vinculado],0))&lt;&gt;H10),"REVISAR","CONCLUÍDO")))</f>
        <v/>
      </c>
      <c r="R10">
        <f>IF(Q10&lt;&gt;"CONCLUÍDO",0,IF(COUNTIFS($E$5:E10,E10,$B$5:B10,B10,$Q$5:Q10,"CONCLUÍDO")=1,1,0))</f>
        <v>0</v>
      </c>
      <c r="S10" t="str">
        <f t="shared" si="3"/>
        <v/>
      </c>
      <c r="T10" t="str">
        <f>IF(E10="","",E10*100000+COUNTIFS(tblRegistros[ID],E10,tblRegistros[Data],"&lt;"&amp;B10)+COUNTIFS(tblRegistros[ID],E10,tblRegistros[Data],B10,tblRegistros[Início],"&lt;"&amp;I10)+COUNTIFS($E$5:E10,E10,$B$5:B10,B10,$I$5:I10,I10))</f>
        <v/>
      </c>
    </row>
    <row r="11" spans="1:20">
      <c r="B11" s="2" t="str">
        <f>IFERROR(INT(INDEX(tblBatidas[Data e hora],MATCH("B"&amp;MID($A11,2,99),tblBatidas[Batida ID],0))),"")</f>
        <v/>
      </c>
      <c r="C11" t="str">
        <f t="shared" si="0"/>
        <v/>
      </c>
      <c r="D11" t="str">
        <f t="shared" si="1"/>
        <v/>
      </c>
      <c r="E11" t="str">
        <f>IFERROR(INDEX(tblBatidas[ID],MATCH("B"&amp;MID($A11,2,99),tblBatidas[Batida ID],0)),"")</f>
        <v/>
      </c>
      <c r="F11" t="str">
        <f>IFERROR(INDEX(tblPessoas[Pessoa],MATCH(E11,tblPessoas[ID],0)),"")</f>
        <v/>
      </c>
      <c r="G11" t="str">
        <f>IFERROR(INDEX(tblBatidas[Projeto],MATCH("B"&amp;MID($A11,2,99),tblBatidas[Batida ID],0)),"")</f>
        <v/>
      </c>
      <c r="H11" t="str">
        <f>IFERROR(INDEX(tblBatidas[Atividade],MATCH("B"&amp;MID($A11,2,99),tblBatidas[Batida ID],0)),"")</f>
        <v/>
      </c>
      <c r="I11" s="4" t="str">
        <f>IFERROR(MOD(INDEX(tblBatidas[Data e hora],MATCH("B"&amp;MID($A11,2,99),tblBatidas[Batida ID],0)),1),"")</f>
        <v/>
      </c>
      <c r="J11" s="4" t="str">
        <f>IFERROR(MOD(INDEX(tblBatidas[Data e hora],MATCH("B"&amp;MID($A11,2,99),tblBatidas[Início vinculado],0)),1),"")</f>
        <v/>
      </c>
      <c r="K11" s="14" t="str">
        <f>IFERROR((INDEX(tblBatidas[Data e hora],MATCH("B"&amp;MID($A11,2,99),tblBatidas[Início vinculado],0))-INDEX(tblBatidas[Data e hora],MATCH("B"&amp;MID($A11,2,99),tblBatidas[Batida ID],0)))*24,"")</f>
        <v/>
      </c>
      <c r="L11" t="str">
        <f>IFERROR(INDEX(tblBatidas[Observação],MATCH("B"&amp;MID($A11,2,99),tblBatidas[Início vinculado],0)),"")</f>
        <v/>
      </c>
      <c r="M11" t="str">
        <f>IFERROR(INDEX(tblPessoas[Base],MATCH(E11,tblPessoas[ID],0)),"")</f>
        <v/>
      </c>
      <c r="N11" s="3">
        <f>IFERROR(IF(D11="DIA ÚTIL",INDEX(tblPessoas[R$/h útil],MATCH(E11,tblPessoas[ID],0)),INDEX(tblPessoas[R$/h FDS],MATCH(E11,tblPessoas[ID],0))),0)</f>
        <v>0</v>
      </c>
      <c r="O11" s="3">
        <f>IFERROR(INDEX(tblPessoas[R$/diária],MATCH(E11,tblPessoas[ID],0)),0)</f>
        <v>0</v>
      </c>
      <c r="P11" s="3" t="str">
        <f t="shared" si="2"/>
        <v/>
      </c>
      <c r="Q11" t="str">
        <f>IF(A11="","",IF(COUNTIF(tblBatidas[Início vinculado],"B"&amp;MID($A11,2,99))=0,"EM ABERTO",IF(OR(COUNTIF(tblBatidas[Início vinculado],"B"&amp;MID($A11,2,99))&gt;1,K11&lt;0,K11&gt;16,INT(INDEX(tblBatidas[Data e hora],MATCH("B"&amp;MID($A11,2,99),tblBatidas[Início vinculado],0)))&lt;&gt;B11,INDEX(tblBatidas[ID],MATCH("B"&amp;MID($A11,2,99),tblBatidas[Início vinculado],0))&lt;&gt;E11,INDEX(tblBatidas[Projeto],MATCH("B"&amp;MID($A11,2,99),tblBatidas[Início vinculado],0))&lt;&gt;G11,INDEX(tblBatidas[Atividade],MATCH("B"&amp;MID($A11,2,99),tblBatidas[Início vinculado],0))&lt;&gt;H11),"REVISAR","CONCLUÍDO")))</f>
        <v/>
      </c>
      <c r="R11">
        <f>IF(Q11&lt;&gt;"CONCLUÍDO",0,IF(COUNTIFS($E$5:E11,E11,$B$5:B11,B11,$Q$5:Q11,"CONCLUÍDO")=1,1,0))</f>
        <v>0</v>
      </c>
      <c r="S11" t="str">
        <f t="shared" si="3"/>
        <v/>
      </c>
      <c r="T11" t="str">
        <f>IF(E11="","",E11*100000+COUNTIFS(tblRegistros[ID],E11,tblRegistros[Data],"&lt;"&amp;B11)+COUNTIFS(tblRegistros[ID],E11,tblRegistros[Data],B11,tblRegistros[Início],"&lt;"&amp;I11)+COUNTIFS($E$5:E11,E11,$B$5:B11,B11,$I$5:I11,I11))</f>
        <v/>
      </c>
    </row>
    <row r="12" spans="1:20">
      <c r="B12" s="2" t="str">
        <f>IFERROR(INT(INDEX(tblBatidas[Data e hora],MATCH("B"&amp;MID($A12,2,99),tblBatidas[Batida ID],0))),"")</f>
        <v/>
      </c>
      <c r="C12" t="str">
        <f t="shared" si="0"/>
        <v/>
      </c>
      <c r="D12" t="str">
        <f t="shared" si="1"/>
        <v/>
      </c>
      <c r="E12" t="str">
        <f>IFERROR(INDEX(tblBatidas[ID],MATCH("B"&amp;MID($A12,2,99),tblBatidas[Batida ID],0)),"")</f>
        <v/>
      </c>
      <c r="F12" t="str">
        <f>IFERROR(INDEX(tblPessoas[Pessoa],MATCH(E12,tblPessoas[ID],0)),"")</f>
        <v/>
      </c>
      <c r="G12" t="str">
        <f>IFERROR(INDEX(tblBatidas[Projeto],MATCH("B"&amp;MID($A12,2,99),tblBatidas[Batida ID],0)),"")</f>
        <v/>
      </c>
      <c r="H12" t="str">
        <f>IFERROR(INDEX(tblBatidas[Atividade],MATCH("B"&amp;MID($A12,2,99),tblBatidas[Batida ID],0)),"")</f>
        <v/>
      </c>
      <c r="I12" s="4" t="str">
        <f>IFERROR(MOD(INDEX(tblBatidas[Data e hora],MATCH("B"&amp;MID($A12,2,99),tblBatidas[Batida ID],0)),1),"")</f>
        <v/>
      </c>
      <c r="J12" s="4" t="str">
        <f>IFERROR(MOD(INDEX(tblBatidas[Data e hora],MATCH("B"&amp;MID($A12,2,99),tblBatidas[Início vinculado],0)),1),"")</f>
        <v/>
      </c>
      <c r="K12" s="14" t="str">
        <f>IFERROR((INDEX(tblBatidas[Data e hora],MATCH("B"&amp;MID($A12,2,99),tblBatidas[Início vinculado],0))-INDEX(tblBatidas[Data e hora],MATCH("B"&amp;MID($A12,2,99),tblBatidas[Batida ID],0)))*24,"")</f>
        <v/>
      </c>
      <c r="L12" t="str">
        <f>IFERROR(INDEX(tblBatidas[Observação],MATCH("B"&amp;MID($A12,2,99),tblBatidas[Início vinculado],0)),"")</f>
        <v/>
      </c>
      <c r="M12" t="str">
        <f>IFERROR(INDEX(tblPessoas[Base],MATCH(E12,tblPessoas[ID],0)),"")</f>
        <v/>
      </c>
      <c r="N12" s="3">
        <f>IFERROR(IF(D12="DIA ÚTIL",INDEX(tblPessoas[R$/h útil],MATCH(E12,tblPessoas[ID],0)),INDEX(tblPessoas[R$/h FDS],MATCH(E12,tblPessoas[ID],0))),0)</f>
        <v>0</v>
      </c>
      <c r="O12" s="3">
        <f>IFERROR(INDEX(tblPessoas[R$/diária],MATCH(E12,tblPessoas[ID],0)),0)</f>
        <v>0</v>
      </c>
      <c r="P12" s="3" t="str">
        <f t="shared" si="2"/>
        <v/>
      </c>
      <c r="Q12" t="str">
        <f>IF(A12="","",IF(COUNTIF(tblBatidas[Início vinculado],"B"&amp;MID($A12,2,99))=0,"EM ABERTO",IF(OR(COUNTIF(tblBatidas[Início vinculado],"B"&amp;MID($A12,2,99))&gt;1,K12&lt;0,K12&gt;16,INT(INDEX(tblBatidas[Data e hora],MATCH("B"&amp;MID($A12,2,99),tblBatidas[Início vinculado],0)))&lt;&gt;B12,INDEX(tblBatidas[ID],MATCH("B"&amp;MID($A12,2,99),tblBatidas[Início vinculado],0))&lt;&gt;E12,INDEX(tblBatidas[Projeto],MATCH("B"&amp;MID($A12,2,99),tblBatidas[Início vinculado],0))&lt;&gt;G12,INDEX(tblBatidas[Atividade],MATCH("B"&amp;MID($A12,2,99),tblBatidas[Início vinculado],0))&lt;&gt;H12),"REVISAR","CONCLUÍDO")))</f>
        <v/>
      </c>
      <c r="R12">
        <f>IF(Q12&lt;&gt;"CONCLUÍDO",0,IF(COUNTIFS($E$5:E12,E12,$B$5:B12,B12,$Q$5:Q12,"CONCLUÍDO")=1,1,0))</f>
        <v>0</v>
      </c>
      <c r="S12" t="str">
        <f t="shared" si="3"/>
        <v/>
      </c>
      <c r="T12" t="str">
        <f>IF(E12="","",E12*100000+COUNTIFS(tblRegistros[ID],E12,tblRegistros[Data],"&lt;"&amp;B12)+COUNTIFS(tblRegistros[ID],E12,tblRegistros[Data],B12,tblRegistros[Início],"&lt;"&amp;I12)+COUNTIFS($E$5:E12,E12,$B$5:B12,B12,$I$5:I12,I12))</f>
        <v/>
      </c>
    </row>
    <row r="13" spans="1:20">
      <c r="B13" s="2" t="str">
        <f>IFERROR(INT(INDEX(tblBatidas[Data e hora],MATCH("B"&amp;MID($A13,2,99),tblBatidas[Batida ID],0))),"")</f>
        <v/>
      </c>
      <c r="C13" t="str">
        <f t="shared" si="0"/>
        <v/>
      </c>
      <c r="D13" t="str">
        <f t="shared" si="1"/>
        <v/>
      </c>
      <c r="E13" t="str">
        <f>IFERROR(INDEX(tblBatidas[ID],MATCH("B"&amp;MID($A13,2,99),tblBatidas[Batida ID],0)),"")</f>
        <v/>
      </c>
      <c r="F13" t="str">
        <f>IFERROR(INDEX(tblPessoas[Pessoa],MATCH(E13,tblPessoas[ID],0)),"")</f>
        <v/>
      </c>
      <c r="G13" t="str">
        <f>IFERROR(INDEX(tblBatidas[Projeto],MATCH("B"&amp;MID($A13,2,99),tblBatidas[Batida ID],0)),"")</f>
        <v/>
      </c>
      <c r="H13" t="str">
        <f>IFERROR(INDEX(tblBatidas[Atividade],MATCH("B"&amp;MID($A13,2,99),tblBatidas[Batida ID],0)),"")</f>
        <v/>
      </c>
      <c r="I13" s="4" t="str">
        <f>IFERROR(MOD(INDEX(tblBatidas[Data e hora],MATCH("B"&amp;MID($A13,2,99),tblBatidas[Batida ID],0)),1),"")</f>
        <v/>
      </c>
      <c r="J13" s="4" t="str">
        <f>IFERROR(MOD(INDEX(tblBatidas[Data e hora],MATCH("B"&amp;MID($A13,2,99),tblBatidas[Início vinculado],0)),1),"")</f>
        <v/>
      </c>
      <c r="K13" s="14" t="str">
        <f>IFERROR((INDEX(tblBatidas[Data e hora],MATCH("B"&amp;MID($A13,2,99),tblBatidas[Início vinculado],0))-INDEX(tblBatidas[Data e hora],MATCH("B"&amp;MID($A13,2,99),tblBatidas[Batida ID],0)))*24,"")</f>
        <v/>
      </c>
      <c r="L13" t="str">
        <f>IFERROR(INDEX(tblBatidas[Observação],MATCH("B"&amp;MID($A13,2,99),tblBatidas[Início vinculado],0)),"")</f>
        <v/>
      </c>
      <c r="M13" t="str">
        <f>IFERROR(INDEX(tblPessoas[Base],MATCH(E13,tblPessoas[ID],0)),"")</f>
        <v/>
      </c>
      <c r="N13" s="3">
        <f>IFERROR(IF(D13="DIA ÚTIL",INDEX(tblPessoas[R$/h útil],MATCH(E13,tblPessoas[ID],0)),INDEX(tblPessoas[R$/h FDS],MATCH(E13,tblPessoas[ID],0))),0)</f>
        <v>0</v>
      </c>
      <c r="O13" s="3">
        <f>IFERROR(INDEX(tblPessoas[R$/diária],MATCH(E13,tblPessoas[ID],0)),0)</f>
        <v>0</v>
      </c>
      <c r="P13" s="3" t="str">
        <f t="shared" si="2"/>
        <v/>
      </c>
      <c r="Q13" t="str">
        <f>IF(A13="","",IF(COUNTIF(tblBatidas[Início vinculado],"B"&amp;MID($A13,2,99))=0,"EM ABERTO",IF(OR(COUNTIF(tblBatidas[Início vinculado],"B"&amp;MID($A13,2,99))&gt;1,K13&lt;0,K13&gt;16,INT(INDEX(tblBatidas[Data e hora],MATCH("B"&amp;MID($A13,2,99),tblBatidas[Início vinculado],0)))&lt;&gt;B13,INDEX(tblBatidas[ID],MATCH("B"&amp;MID($A13,2,99),tblBatidas[Início vinculado],0))&lt;&gt;E13,INDEX(tblBatidas[Projeto],MATCH("B"&amp;MID($A13,2,99),tblBatidas[Início vinculado],0))&lt;&gt;G13,INDEX(tblBatidas[Atividade],MATCH("B"&amp;MID($A13,2,99),tblBatidas[Início vinculado],0))&lt;&gt;H13),"REVISAR","CONCLUÍDO")))</f>
        <v/>
      </c>
      <c r="R13">
        <f>IF(Q13&lt;&gt;"CONCLUÍDO",0,IF(COUNTIFS($E$5:E13,E13,$B$5:B13,B13,$Q$5:Q13,"CONCLUÍDO")=1,1,0))</f>
        <v>0</v>
      </c>
      <c r="S13" t="str">
        <f t="shared" si="3"/>
        <v/>
      </c>
      <c r="T13" t="str">
        <f>IF(E13="","",E13*100000+COUNTIFS(tblRegistros[ID],E13,tblRegistros[Data],"&lt;"&amp;B13)+COUNTIFS(tblRegistros[ID],E13,tblRegistros[Data],B13,tblRegistros[Início],"&lt;"&amp;I13)+COUNTIFS($E$5:E13,E13,$B$5:B13,B13,$I$5:I13,I13))</f>
        <v/>
      </c>
    </row>
    <row r="14" spans="1:20">
      <c r="B14" s="2" t="str">
        <f>IFERROR(INT(INDEX(tblBatidas[Data e hora],MATCH("B"&amp;MID($A14,2,99),tblBatidas[Batida ID],0))),"")</f>
        <v/>
      </c>
      <c r="C14" t="str">
        <f t="shared" si="0"/>
        <v/>
      </c>
      <c r="D14" t="str">
        <f t="shared" si="1"/>
        <v/>
      </c>
      <c r="E14" t="str">
        <f>IFERROR(INDEX(tblBatidas[ID],MATCH("B"&amp;MID($A14,2,99),tblBatidas[Batida ID],0)),"")</f>
        <v/>
      </c>
      <c r="F14" t="str">
        <f>IFERROR(INDEX(tblPessoas[Pessoa],MATCH(E14,tblPessoas[ID],0)),"")</f>
        <v/>
      </c>
      <c r="G14" t="str">
        <f>IFERROR(INDEX(tblBatidas[Projeto],MATCH("B"&amp;MID($A14,2,99),tblBatidas[Batida ID],0)),"")</f>
        <v/>
      </c>
      <c r="H14" t="str">
        <f>IFERROR(INDEX(tblBatidas[Atividade],MATCH("B"&amp;MID($A14,2,99),tblBatidas[Batida ID],0)),"")</f>
        <v/>
      </c>
      <c r="I14" s="4" t="str">
        <f>IFERROR(MOD(INDEX(tblBatidas[Data e hora],MATCH("B"&amp;MID($A14,2,99),tblBatidas[Batida ID],0)),1),"")</f>
        <v/>
      </c>
      <c r="J14" s="4" t="str">
        <f>IFERROR(MOD(INDEX(tblBatidas[Data e hora],MATCH("B"&amp;MID($A14,2,99),tblBatidas[Início vinculado],0)),1),"")</f>
        <v/>
      </c>
      <c r="K14" s="14" t="str">
        <f>IFERROR((INDEX(tblBatidas[Data e hora],MATCH("B"&amp;MID($A14,2,99),tblBatidas[Início vinculado],0))-INDEX(tblBatidas[Data e hora],MATCH("B"&amp;MID($A14,2,99),tblBatidas[Batida ID],0)))*24,"")</f>
        <v/>
      </c>
      <c r="L14" t="str">
        <f>IFERROR(INDEX(tblBatidas[Observação],MATCH("B"&amp;MID($A14,2,99),tblBatidas[Início vinculado],0)),"")</f>
        <v/>
      </c>
      <c r="M14" t="str">
        <f>IFERROR(INDEX(tblPessoas[Base],MATCH(E14,tblPessoas[ID],0)),"")</f>
        <v/>
      </c>
      <c r="N14" s="3">
        <f>IFERROR(IF(D14="DIA ÚTIL",INDEX(tblPessoas[R$/h útil],MATCH(E14,tblPessoas[ID],0)),INDEX(tblPessoas[R$/h FDS],MATCH(E14,tblPessoas[ID],0))),0)</f>
        <v>0</v>
      </c>
      <c r="O14" s="3">
        <f>IFERROR(INDEX(tblPessoas[R$/diária],MATCH(E14,tblPessoas[ID],0)),0)</f>
        <v>0</v>
      </c>
      <c r="P14" s="3" t="str">
        <f t="shared" si="2"/>
        <v/>
      </c>
      <c r="Q14" t="str">
        <f>IF(A14="","",IF(COUNTIF(tblBatidas[Início vinculado],"B"&amp;MID($A14,2,99))=0,"EM ABERTO",IF(OR(COUNTIF(tblBatidas[Início vinculado],"B"&amp;MID($A14,2,99))&gt;1,K14&lt;0,K14&gt;16,INT(INDEX(tblBatidas[Data e hora],MATCH("B"&amp;MID($A14,2,99),tblBatidas[Início vinculado],0)))&lt;&gt;B14,INDEX(tblBatidas[ID],MATCH("B"&amp;MID($A14,2,99),tblBatidas[Início vinculado],0))&lt;&gt;E14,INDEX(tblBatidas[Projeto],MATCH("B"&amp;MID($A14,2,99),tblBatidas[Início vinculado],0))&lt;&gt;G14,INDEX(tblBatidas[Atividade],MATCH("B"&amp;MID($A14,2,99),tblBatidas[Início vinculado],0))&lt;&gt;H14),"REVISAR","CONCLUÍDO")))</f>
        <v/>
      </c>
      <c r="R14">
        <f>IF(Q14&lt;&gt;"CONCLUÍDO",0,IF(COUNTIFS($E$5:E14,E14,$B$5:B14,B14,$Q$5:Q14,"CONCLUÍDO")=1,1,0))</f>
        <v>0</v>
      </c>
      <c r="S14" t="str">
        <f t="shared" si="3"/>
        <v/>
      </c>
      <c r="T14" t="str">
        <f>IF(E14="","",E14*100000+COUNTIFS(tblRegistros[ID],E14,tblRegistros[Data],"&lt;"&amp;B14)+COUNTIFS(tblRegistros[ID],E14,tblRegistros[Data],B14,tblRegistros[Início],"&lt;"&amp;I14)+COUNTIFS($E$5:E14,E14,$B$5:B14,B14,$I$5:I14,I14))</f>
        <v/>
      </c>
    </row>
    <row r="15" spans="1:20">
      <c r="B15" s="2" t="str">
        <f>IFERROR(INT(INDEX(tblBatidas[Data e hora],MATCH("B"&amp;MID($A15,2,99),tblBatidas[Batida ID],0))),"")</f>
        <v/>
      </c>
      <c r="C15" t="str">
        <f t="shared" si="0"/>
        <v/>
      </c>
      <c r="D15" t="str">
        <f t="shared" si="1"/>
        <v/>
      </c>
      <c r="E15" t="str">
        <f>IFERROR(INDEX(tblBatidas[ID],MATCH("B"&amp;MID($A15,2,99),tblBatidas[Batida ID],0)),"")</f>
        <v/>
      </c>
      <c r="F15" t="str">
        <f>IFERROR(INDEX(tblPessoas[Pessoa],MATCH(E15,tblPessoas[ID],0)),"")</f>
        <v/>
      </c>
      <c r="G15" t="str">
        <f>IFERROR(INDEX(tblBatidas[Projeto],MATCH("B"&amp;MID($A15,2,99),tblBatidas[Batida ID],0)),"")</f>
        <v/>
      </c>
      <c r="H15" t="str">
        <f>IFERROR(INDEX(tblBatidas[Atividade],MATCH("B"&amp;MID($A15,2,99),tblBatidas[Batida ID],0)),"")</f>
        <v/>
      </c>
      <c r="I15" s="4" t="str">
        <f>IFERROR(MOD(INDEX(tblBatidas[Data e hora],MATCH("B"&amp;MID($A15,2,99),tblBatidas[Batida ID],0)),1),"")</f>
        <v/>
      </c>
      <c r="J15" s="4" t="str">
        <f>IFERROR(MOD(INDEX(tblBatidas[Data e hora],MATCH("B"&amp;MID($A15,2,99),tblBatidas[Início vinculado],0)),1),"")</f>
        <v/>
      </c>
      <c r="K15" s="14" t="str">
        <f>IFERROR((INDEX(tblBatidas[Data e hora],MATCH("B"&amp;MID($A15,2,99),tblBatidas[Início vinculado],0))-INDEX(tblBatidas[Data e hora],MATCH("B"&amp;MID($A15,2,99),tblBatidas[Batida ID],0)))*24,"")</f>
        <v/>
      </c>
      <c r="L15" t="str">
        <f>IFERROR(INDEX(tblBatidas[Observação],MATCH("B"&amp;MID($A15,2,99),tblBatidas[Início vinculado],0)),"")</f>
        <v/>
      </c>
      <c r="M15" t="str">
        <f>IFERROR(INDEX(tblPessoas[Base],MATCH(E15,tblPessoas[ID],0)),"")</f>
        <v/>
      </c>
      <c r="N15" s="3">
        <f>IFERROR(IF(D15="DIA ÚTIL",INDEX(tblPessoas[R$/h útil],MATCH(E15,tblPessoas[ID],0)),INDEX(tblPessoas[R$/h FDS],MATCH(E15,tblPessoas[ID],0))),0)</f>
        <v>0</v>
      </c>
      <c r="O15" s="3">
        <f>IFERROR(INDEX(tblPessoas[R$/diária],MATCH(E15,tblPessoas[ID],0)),0)</f>
        <v>0</v>
      </c>
      <c r="P15" s="3" t="str">
        <f t="shared" si="2"/>
        <v/>
      </c>
      <c r="Q15" t="str">
        <f>IF(A15="","",IF(COUNTIF(tblBatidas[Início vinculado],"B"&amp;MID($A15,2,99))=0,"EM ABERTO",IF(OR(COUNTIF(tblBatidas[Início vinculado],"B"&amp;MID($A15,2,99))&gt;1,K15&lt;0,K15&gt;16,INT(INDEX(tblBatidas[Data e hora],MATCH("B"&amp;MID($A15,2,99),tblBatidas[Início vinculado],0)))&lt;&gt;B15,INDEX(tblBatidas[ID],MATCH("B"&amp;MID($A15,2,99),tblBatidas[Início vinculado],0))&lt;&gt;E15,INDEX(tblBatidas[Projeto],MATCH("B"&amp;MID($A15,2,99),tblBatidas[Início vinculado],0))&lt;&gt;G15,INDEX(tblBatidas[Atividade],MATCH("B"&amp;MID($A15,2,99),tblBatidas[Início vinculado],0))&lt;&gt;H15),"REVISAR","CONCLUÍDO")))</f>
        <v/>
      </c>
      <c r="R15">
        <f>IF(Q15&lt;&gt;"CONCLUÍDO",0,IF(COUNTIFS($E$5:E15,E15,$B$5:B15,B15,$Q$5:Q15,"CONCLUÍDO")=1,1,0))</f>
        <v>0</v>
      </c>
      <c r="S15" t="str">
        <f t="shared" si="3"/>
        <v/>
      </c>
      <c r="T15" t="str">
        <f>IF(E15="","",E15*100000+COUNTIFS(tblRegistros[ID],E15,tblRegistros[Data],"&lt;"&amp;B15)+COUNTIFS(tblRegistros[ID],E15,tblRegistros[Data],B15,tblRegistros[Início],"&lt;"&amp;I15)+COUNTIFS($E$5:E15,E15,$B$5:B15,B15,$I$5:I15,I15))</f>
        <v/>
      </c>
    </row>
    <row r="16" spans="1:20">
      <c r="B16" s="2" t="str">
        <f>IFERROR(INT(INDEX(tblBatidas[Data e hora],MATCH("B"&amp;MID($A16,2,99),tblBatidas[Batida ID],0))),"")</f>
        <v/>
      </c>
      <c r="C16" t="str">
        <f t="shared" si="0"/>
        <v/>
      </c>
      <c r="D16" t="str">
        <f t="shared" si="1"/>
        <v/>
      </c>
      <c r="E16" t="str">
        <f>IFERROR(INDEX(tblBatidas[ID],MATCH("B"&amp;MID($A16,2,99),tblBatidas[Batida ID],0)),"")</f>
        <v/>
      </c>
      <c r="F16" t="str">
        <f>IFERROR(INDEX(tblPessoas[Pessoa],MATCH(E16,tblPessoas[ID],0)),"")</f>
        <v/>
      </c>
      <c r="G16" t="str">
        <f>IFERROR(INDEX(tblBatidas[Projeto],MATCH("B"&amp;MID($A16,2,99),tblBatidas[Batida ID],0)),"")</f>
        <v/>
      </c>
      <c r="H16" t="str">
        <f>IFERROR(INDEX(tblBatidas[Atividade],MATCH("B"&amp;MID($A16,2,99),tblBatidas[Batida ID],0)),"")</f>
        <v/>
      </c>
      <c r="I16" s="4" t="str">
        <f>IFERROR(MOD(INDEX(tblBatidas[Data e hora],MATCH("B"&amp;MID($A16,2,99),tblBatidas[Batida ID],0)),1),"")</f>
        <v/>
      </c>
      <c r="J16" s="4" t="str">
        <f>IFERROR(MOD(INDEX(tblBatidas[Data e hora],MATCH("B"&amp;MID($A16,2,99),tblBatidas[Início vinculado],0)),1),"")</f>
        <v/>
      </c>
      <c r="K16" s="14" t="str">
        <f>IFERROR((INDEX(tblBatidas[Data e hora],MATCH("B"&amp;MID($A16,2,99),tblBatidas[Início vinculado],0))-INDEX(tblBatidas[Data e hora],MATCH("B"&amp;MID($A16,2,99),tblBatidas[Batida ID],0)))*24,"")</f>
        <v/>
      </c>
      <c r="L16" t="str">
        <f>IFERROR(INDEX(tblBatidas[Observação],MATCH("B"&amp;MID($A16,2,99),tblBatidas[Início vinculado],0)),"")</f>
        <v/>
      </c>
      <c r="M16" t="str">
        <f>IFERROR(INDEX(tblPessoas[Base],MATCH(E16,tblPessoas[ID],0)),"")</f>
        <v/>
      </c>
      <c r="N16" s="3">
        <f>IFERROR(IF(D16="DIA ÚTIL",INDEX(tblPessoas[R$/h útil],MATCH(E16,tblPessoas[ID],0)),INDEX(tblPessoas[R$/h FDS],MATCH(E16,tblPessoas[ID],0))),0)</f>
        <v>0</v>
      </c>
      <c r="O16" s="3">
        <f>IFERROR(INDEX(tblPessoas[R$/diária],MATCH(E16,tblPessoas[ID],0)),0)</f>
        <v>0</v>
      </c>
      <c r="P16" s="3" t="str">
        <f t="shared" si="2"/>
        <v/>
      </c>
      <c r="Q16" t="str">
        <f>IF(A16="","",IF(COUNTIF(tblBatidas[Início vinculado],"B"&amp;MID($A16,2,99))=0,"EM ABERTO",IF(OR(COUNTIF(tblBatidas[Início vinculado],"B"&amp;MID($A16,2,99))&gt;1,K16&lt;0,K16&gt;16,INT(INDEX(tblBatidas[Data e hora],MATCH("B"&amp;MID($A16,2,99),tblBatidas[Início vinculado],0)))&lt;&gt;B16,INDEX(tblBatidas[ID],MATCH("B"&amp;MID($A16,2,99),tblBatidas[Início vinculado],0))&lt;&gt;E16,INDEX(tblBatidas[Projeto],MATCH("B"&amp;MID($A16,2,99),tblBatidas[Início vinculado],0))&lt;&gt;G16,INDEX(tblBatidas[Atividade],MATCH("B"&amp;MID($A16,2,99),tblBatidas[Início vinculado],0))&lt;&gt;H16),"REVISAR","CONCLUÍDO")))</f>
        <v/>
      </c>
      <c r="R16">
        <f>IF(Q16&lt;&gt;"CONCLUÍDO",0,IF(COUNTIFS($E$5:E16,E16,$B$5:B16,B16,$Q$5:Q16,"CONCLUÍDO")=1,1,0))</f>
        <v>0</v>
      </c>
      <c r="S16" t="str">
        <f t="shared" si="3"/>
        <v/>
      </c>
      <c r="T16" t="str">
        <f>IF(E16="","",E16*100000+COUNTIFS(tblRegistros[ID],E16,tblRegistros[Data],"&lt;"&amp;B16)+COUNTIFS(tblRegistros[ID],E16,tblRegistros[Data],B16,tblRegistros[Início],"&lt;"&amp;I16)+COUNTIFS($E$5:E16,E16,$B$5:B16,B16,$I$5:I16,I16))</f>
        <v/>
      </c>
    </row>
    <row r="17" spans="2:20">
      <c r="B17" s="2" t="str">
        <f>IFERROR(INT(INDEX(tblBatidas[Data e hora],MATCH("B"&amp;MID($A17,2,99),tblBatidas[Batida ID],0))),"")</f>
        <v/>
      </c>
      <c r="C17" t="str">
        <f t="shared" si="0"/>
        <v/>
      </c>
      <c r="D17" t="str">
        <f t="shared" si="1"/>
        <v/>
      </c>
      <c r="E17" t="str">
        <f>IFERROR(INDEX(tblBatidas[ID],MATCH("B"&amp;MID($A17,2,99),tblBatidas[Batida ID],0)),"")</f>
        <v/>
      </c>
      <c r="F17" t="str">
        <f>IFERROR(INDEX(tblPessoas[Pessoa],MATCH(E17,tblPessoas[ID],0)),"")</f>
        <v/>
      </c>
      <c r="G17" t="str">
        <f>IFERROR(INDEX(tblBatidas[Projeto],MATCH("B"&amp;MID($A17,2,99),tblBatidas[Batida ID],0)),"")</f>
        <v/>
      </c>
      <c r="H17" t="str">
        <f>IFERROR(INDEX(tblBatidas[Atividade],MATCH("B"&amp;MID($A17,2,99),tblBatidas[Batida ID],0)),"")</f>
        <v/>
      </c>
      <c r="I17" s="4" t="str">
        <f>IFERROR(MOD(INDEX(tblBatidas[Data e hora],MATCH("B"&amp;MID($A17,2,99),tblBatidas[Batida ID],0)),1),"")</f>
        <v/>
      </c>
      <c r="J17" s="4" t="str">
        <f>IFERROR(MOD(INDEX(tblBatidas[Data e hora],MATCH("B"&amp;MID($A17,2,99),tblBatidas[Início vinculado],0)),1),"")</f>
        <v/>
      </c>
      <c r="K17" s="14" t="str">
        <f>IFERROR((INDEX(tblBatidas[Data e hora],MATCH("B"&amp;MID($A17,2,99),tblBatidas[Início vinculado],0))-INDEX(tblBatidas[Data e hora],MATCH("B"&amp;MID($A17,2,99),tblBatidas[Batida ID],0)))*24,"")</f>
        <v/>
      </c>
      <c r="L17" t="str">
        <f>IFERROR(INDEX(tblBatidas[Observação],MATCH("B"&amp;MID($A17,2,99),tblBatidas[Início vinculado],0)),"")</f>
        <v/>
      </c>
      <c r="M17" t="str">
        <f>IFERROR(INDEX(tblPessoas[Base],MATCH(E17,tblPessoas[ID],0)),"")</f>
        <v/>
      </c>
      <c r="N17" s="3">
        <f>IFERROR(IF(D17="DIA ÚTIL",INDEX(tblPessoas[R$/h útil],MATCH(E17,tblPessoas[ID],0)),INDEX(tblPessoas[R$/h FDS],MATCH(E17,tblPessoas[ID],0))),0)</f>
        <v>0</v>
      </c>
      <c r="O17" s="3">
        <f>IFERROR(INDEX(tblPessoas[R$/diária],MATCH(E17,tblPessoas[ID],0)),0)</f>
        <v>0</v>
      </c>
      <c r="P17" s="3" t="str">
        <f t="shared" si="2"/>
        <v/>
      </c>
      <c r="Q17" t="str">
        <f>IF(A17="","",IF(COUNTIF(tblBatidas[Início vinculado],"B"&amp;MID($A17,2,99))=0,"EM ABERTO",IF(OR(COUNTIF(tblBatidas[Início vinculado],"B"&amp;MID($A17,2,99))&gt;1,K17&lt;0,K17&gt;16,INT(INDEX(tblBatidas[Data e hora],MATCH("B"&amp;MID($A17,2,99),tblBatidas[Início vinculado],0)))&lt;&gt;B17,INDEX(tblBatidas[ID],MATCH("B"&amp;MID($A17,2,99),tblBatidas[Início vinculado],0))&lt;&gt;E17,INDEX(tblBatidas[Projeto],MATCH("B"&amp;MID($A17,2,99),tblBatidas[Início vinculado],0))&lt;&gt;G17,INDEX(tblBatidas[Atividade],MATCH("B"&amp;MID($A17,2,99),tblBatidas[Início vinculado],0))&lt;&gt;H17),"REVISAR","CONCLUÍDO")))</f>
        <v/>
      </c>
      <c r="R17">
        <f>IF(Q17&lt;&gt;"CONCLUÍDO",0,IF(COUNTIFS($E$5:E17,E17,$B$5:B17,B17,$Q$5:Q17,"CONCLUÍDO")=1,1,0))</f>
        <v>0</v>
      </c>
      <c r="S17" t="str">
        <f t="shared" si="3"/>
        <v/>
      </c>
      <c r="T17" t="str">
        <f>IF(E17="","",E17*100000+COUNTIFS(tblRegistros[ID],E17,tblRegistros[Data],"&lt;"&amp;B17)+COUNTIFS(tblRegistros[ID],E17,tblRegistros[Data],B17,tblRegistros[Início],"&lt;"&amp;I17)+COUNTIFS($E$5:E17,E17,$B$5:B17,B17,$I$5:I17,I17))</f>
        <v/>
      </c>
    </row>
    <row r="18" spans="2:20">
      <c r="B18" s="2" t="str">
        <f>IFERROR(INT(INDEX(tblBatidas[Data e hora],MATCH("B"&amp;MID($A18,2,99),tblBatidas[Batida ID],0))),"")</f>
        <v/>
      </c>
      <c r="C18" t="str">
        <f t="shared" si="0"/>
        <v/>
      </c>
      <c r="D18" t="str">
        <f t="shared" si="1"/>
        <v/>
      </c>
      <c r="E18" t="str">
        <f>IFERROR(INDEX(tblBatidas[ID],MATCH("B"&amp;MID($A18,2,99),tblBatidas[Batida ID],0)),"")</f>
        <v/>
      </c>
      <c r="F18" t="str">
        <f>IFERROR(INDEX(tblPessoas[Pessoa],MATCH(E18,tblPessoas[ID],0)),"")</f>
        <v/>
      </c>
      <c r="G18" t="str">
        <f>IFERROR(INDEX(tblBatidas[Projeto],MATCH("B"&amp;MID($A18,2,99),tblBatidas[Batida ID],0)),"")</f>
        <v/>
      </c>
      <c r="H18" t="str">
        <f>IFERROR(INDEX(tblBatidas[Atividade],MATCH("B"&amp;MID($A18,2,99),tblBatidas[Batida ID],0)),"")</f>
        <v/>
      </c>
      <c r="I18" s="4" t="str">
        <f>IFERROR(MOD(INDEX(tblBatidas[Data e hora],MATCH("B"&amp;MID($A18,2,99),tblBatidas[Batida ID],0)),1),"")</f>
        <v/>
      </c>
      <c r="J18" s="4" t="str">
        <f>IFERROR(MOD(INDEX(tblBatidas[Data e hora],MATCH("B"&amp;MID($A18,2,99),tblBatidas[Início vinculado],0)),1),"")</f>
        <v/>
      </c>
      <c r="K18" s="14" t="str">
        <f>IFERROR((INDEX(tblBatidas[Data e hora],MATCH("B"&amp;MID($A18,2,99),tblBatidas[Início vinculado],0))-INDEX(tblBatidas[Data e hora],MATCH("B"&amp;MID($A18,2,99),tblBatidas[Batida ID],0)))*24,"")</f>
        <v/>
      </c>
      <c r="L18" t="str">
        <f>IFERROR(INDEX(tblBatidas[Observação],MATCH("B"&amp;MID($A18,2,99),tblBatidas[Início vinculado],0)),"")</f>
        <v/>
      </c>
      <c r="M18" t="str">
        <f>IFERROR(INDEX(tblPessoas[Base],MATCH(E18,tblPessoas[ID],0)),"")</f>
        <v/>
      </c>
      <c r="N18" s="3">
        <f>IFERROR(IF(D18="DIA ÚTIL",INDEX(tblPessoas[R$/h útil],MATCH(E18,tblPessoas[ID],0)),INDEX(tblPessoas[R$/h FDS],MATCH(E18,tblPessoas[ID],0))),0)</f>
        <v>0</v>
      </c>
      <c r="O18" s="3">
        <f>IFERROR(INDEX(tblPessoas[R$/diária],MATCH(E18,tblPessoas[ID],0)),0)</f>
        <v>0</v>
      </c>
      <c r="P18" s="3" t="str">
        <f t="shared" si="2"/>
        <v/>
      </c>
      <c r="Q18" t="str">
        <f>IF(A18="","",IF(COUNTIF(tblBatidas[Início vinculado],"B"&amp;MID($A18,2,99))=0,"EM ABERTO",IF(OR(COUNTIF(tblBatidas[Início vinculado],"B"&amp;MID($A18,2,99))&gt;1,K18&lt;0,K18&gt;16,INT(INDEX(tblBatidas[Data e hora],MATCH("B"&amp;MID($A18,2,99),tblBatidas[Início vinculado],0)))&lt;&gt;B18,INDEX(tblBatidas[ID],MATCH("B"&amp;MID($A18,2,99),tblBatidas[Início vinculado],0))&lt;&gt;E18,INDEX(tblBatidas[Projeto],MATCH("B"&amp;MID($A18,2,99),tblBatidas[Início vinculado],0))&lt;&gt;G18,INDEX(tblBatidas[Atividade],MATCH("B"&amp;MID($A18,2,99),tblBatidas[Início vinculado],0))&lt;&gt;H18),"REVISAR","CONCLUÍDO")))</f>
        <v/>
      </c>
      <c r="R18">
        <f>IF(Q18&lt;&gt;"CONCLUÍDO",0,IF(COUNTIFS($E$5:E18,E18,$B$5:B18,B18,$Q$5:Q18,"CONCLUÍDO")=1,1,0))</f>
        <v>0</v>
      </c>
      <c r="S18" t="str">
        <f t="shared" si="3"/>
        <v/>
      </c>
      <c r="T18" t="str">
        <f>IF(E18="","",E18*100000+COUNTIFS(tblRegistros[ID],E18,tblRegistros[Data],"&lt;"&amp;B18)+COUNTIFS(tblRegistros[ID],E18,tblRegistros[Data],B18,tblRegistros[Início],"&lt;"&amp;I18)+COUNTIFS($E$5:E18,E18,$B$5:B18,B18,$I$5:I18,I18))</f>
        <v/>
      </c>
    </row>
    <row r="19" spans="2:20">
      <c r="B19" s="2" t="str">
        <f>IFERROR(INT(INDEX(tblBatidas[Data e hora],MATCH("B"&amp;MID($A19,2,99),tblBatidas[Batida ID],0))),"")</f>
        <v/>
      </c>
      <c r="C19" t="str">
        <f t="shared" si="0"/>
        <v/>
      </c>
      <c r="D19" t="str">
        <f t="shared" si="1"/>
        <v/>
      </c>
      <c r="E19" t="str">
        <f>IFERROR(INDEX(tblBatidas[ID],MATCH("B"&amp;MID($A19,2,99),tblBatidas[Batida ID],0)),"")</f>
        <v/>
      </c>
      <c r="F19" t="str">
        <f>IFERROR(INDEX(tblPessoas[Pessoa],MATCH(E19,tblPessoas[ID],0)),"")</f>
        <v/>
      </c>
      <c r="G19" t="str">
        <f>IFERROR(INDEX(tblBatidas[Projeto],MATCH("B"&amp;MID($A19,2,99),tblBatidas[Batida ID],0)),"")</f>
        <v/>
      </c>
      <c r="H19" t="str">
        <f>IFERROR(INDEX(tblBatidas[Atividade],MATCH("B"&amp;MID($A19,2,99),tblBatidas[Batida ID],0)),"")</f>
        <v/>
      </c>
      <c r="I19" s="4" t="str">
        <f>IFERROR(MOD(INDEX(tblBatidas[Data e hora],MATCH("B"&amp;MID($A19,2,99),tblBatidas[Batida ID],0)),1),"")</f>
        <v/>
      </c>
      <c r="J19" s="4" t="str">
        <f>IFERROR(MOD(INDEX(tblBatidas[Data e hora],MATCH("B"&amp;MID($A19,2,99),tblBatidas[Início vinculado],0)),1),"")</f>
        <v/>
      </c>
      <c r="K19" s="14" t="str">
        <f>IFERROR((INDEX(tblBatidas[Data e hora],MATCH("B"&amp;MID($A19,2,99),tblBatidas[Início vinculado],0))-INDEX(tblBatidas[Data e hora],MATCH("B"&amp;MID($A19,2,99),tblBatidas[Batida ID],0)))*24,"")</f>
        <v/>
      </c>
      <c r="L19" t="str">
        <f>IFERROR(INDEX(tblBatidas[Observação],MATCH("B"&amp;MID($A19,2,99),tblBatidas[Início vinculado],0)),"")</f>
        <v/>
      </c>
      <c r="M19" t="str">
        <f>IFERROR(INDEX(tblPessoas[Base],MATCH(E19,tblPessoas[ID],0)),"")</f>
        <v/>
      </c>
      <c r="N19" s="3">
        <f>IFERROR(IF(D19="DIA ÚTIL",INDEX(tblPessoas[R$/h útil],MATCH(E19,tblPessoas[ID],0)),INDEX(tblPessoas[R$/h FDS],MATCH(E19,tblPessoas[ID],0))),0)</f>
        <v>0</v>
      </c>
      <c r="O19" s="3">
        <f>IFERROR(INDEX(tblPessoas[R$/diária],MATCH(E19,tblPessoas[ID],0)),0)</f>
        <v>0</v>
      </c>
      <c r="P19" s="3" t="str">
        <f t="shared" si="2"/>
        <v/>
      </c>
      <c r="Q19" t="str">
        <f>IF(A19="","",IF(COUNTIF(tblBatidas[Início vinculado],"B"&amp;MID($A19,2,99))=0,"EM ABERTO",IF(OR(COUNTIF(tblBatidas[Início vinculado],"B"&amp;MID($A19,2,99))&gt;1,K19&lt;0,K19&gt;16,INT(INDEX(tblBatidas[Data e hora],MATCH("B"&amp;MID($A19,2,99),tblBatidas[Início vinculado],0)))&lt;&gt;B19,INDEX(tblBatidas[ID],MATCH("B"&amp;MID($A19,2,99),tblBatidas[Início vinculado],0))&lt;&gt;E19,INDEX(tblBatidas[Projeto],MATCH("B"&amp;MID($A19,2,99),tblBatidas[Início vinculado],0))&lt;&gt;G19,INDEX(tblBatidas[Atividade],MATCH("B"&amp;MID($A19,2,99),tblBatidas[Início vinculado],0))&lt;&gt;H19),"REVISAR","CONCLUÍDO")))</f>
        <v/>
      </c>
      <c r="R19">
        <f>IF(Q19&lt;&gt;"CONCLUÍDO",0,IF(COUNTIFS($E$5:E19,E19,$B$5:B19,B19,$Q$5:Q19,"CONCLUÍDO")=1,1,0))</f>
        <v>0</v>
      </c>
      <c r="S19" t="str">
        <f t="shared" si="3"/>
        <v/>
      </c>
      <c r="T19" t="str">
        <f>IF(E19="","",E19*100000+COUNTIFS(tblRegistros[ID],E19,tblRegistros[Data],"&lt;"&amp;B19)+COUNTIFS(tblRegistros[ID],E19,tblRegistros[Data],B19,tblRegistros[Início],"&lt;"&amp;I19)+COUNTIFS($E$5:E19,E19,$B$5:B19,B19,$I$5:I19,I19))</f>
        <v/>
      </c>
    </row>
    <row r="20" spans="2:20">
      <c r="B20" s="2" t="str">
        <f>IFERROR(INT(INDEX(tblBatidas[Data e hora],MATCH("B"&amp;MID($A20,2,99),tblBatidas[Batida ID],0))),"")</f>
        <v/>
      </c>
      <c r="C20" t="str">
        <f t="shared" si="0"/>
        <v/>
      </c>
      <c r="D20" t="str">
        <f t="shared" si="1"/>
        <v/>
      </c>
      <c r="E20" t="str">
        <f>IFERROR(INDEX(tblBatidas[ID],MATCH("B"&amp;MID($A20,2,99),tblBatidas[Batida ID],0)),"")</f>
        <v/>
      </c>
      <c r="F20" t="str">
        <f>IFERROR(INDEX(tblPessoas[Pessoa],MATCH(E20,tblPessoas[ID],0)),"")</f>
        <v/>
      </c>
      <c r="G20" t="str">
        <f>IFERROR(INDEX(tblBatidas[Projeto],MATCH("B"&amp;MID($A20,2,99),tblBatidas[Batida ID],0)),"")</f>
        <v/>
      </c>
      <c r="H20" t="str">
        <f>IFERROR(INDEX(tblBatidas[Atividade],MATCH("B"&amp;MID($A20,2,99),tblBatidas[Batida ID],0)),"")</f>
        <v/>
      </c>
      <c r="I20" s="4" t="str">
        <f>IFERROR(MOD(INDEX(tblBatidas[Data e hora],MATCH("B"&amp;MID($A20,2,99),tblBatidas[Batida ID],0)),1),"")</f>
        <v/>
      </c>
      <c r="J20" s="4" t="str">
        <f>IFERROR(MOD(INDEX(tblBatidas[Data e hora],MATCH("B"&amp;MID($A20,2,99),tblBatidas[Início vinculado],0)),1),"")</f>
        <v/>
      </c>
      <c r="K20" s="14" t="str">
        <f>IFERROR((INDEX(tblBatidas[Data e hora],MATCH("B"&amp;MID($A20,2,99),tblBatidas[Início vinculado],0))-INDEX(tblBatidas[Data e hora],MATCH("B"&amp;MID($A20,2,99),tblBatidas[Batida ID],0)))*24,"")</f>
        <v/>
      </c>
      <c r="L20" t="str">
        <f>IFERROR(INDEX(tblBatidas[Observação],MATCH("B"&amp;MID($A20,2,99),tblBatidas[Início vinculado],0)),"")</f>
        <v/>
      </c>
      <c r="M20" t="str">
        <f>IFERROR(INDEX(tblPessoas[Base],MATCH(E20,tblPessoas[ID],0)),"")</f>
        <v/>
      </c>
      <c r="N20" s="3">
        <f>IFERROR(IF(D20="DIA ÚTIL",INDEX(tblPessoas[R$/h útil],MATCH(E20,tblPessoas[ID],0)),INDEX(tblPessoas[R$/h FDS],MATCH(E20,tblPessoas[ID],0))),0)</f>
        <v>0</v>
      </c>
      <c r="O20" s="3">
        <f>IFERROR(INDEX(tblPessoas[R$/diária],MATCH(E20,tblPessoas[ID],0)),0)</f>
        <v>0</v>
      </c>
      <c r="P20" s="3" t="str">
        <f t="shared" si="2"/>
        <v/>
      </c>
      <c r="Q20" t="str">
        <f>IF(A20="","",IF(COUNTIF(tblBatidas[Início vinculado],"B"&amp;MID($A20,2,99))=0,"EM ABERTO",IF(OR(COUNTIF(tblBatidas[Início vinculado],"B"&amp;MID($A20,2,99))&gt;1,K20&lt;0,K20&gt;16,INT(INDEX(tblBatidas[Data e hora],MATCH("B"&amp;MID($A20,2,99),tblBatidas[Início vinculado],0)))&lt;&gt;B20,INDEX(tblBatidas[ID],MATCH("B"&amp;MID($A20,2,99),tblBatidas[Início vinculado],0))&lt;&gt;E20,INDEX(tblBatidas[Projeto],MATCH("B"&amp;MID($A20,2,99),tblBatidas[Início vinculado],0))&lt;&gt;G20,INDEX(tblBatidas[Atividade],MATCH("B"&amp;MID($A20,2,99),tblBatidas[Início vinculado],0))&lt;&gt;H20),"REVISAR","CONCLUÍDO")))</f>
        <v/>
      </c>
      <c r="R20">
        <f>IF(Q20&lt;&gt;"CONCLUÍDO",0,IF(COUNTIFS($E$5:E20,E20,$B$5:B20,B20,$Q$5:Q20,"CONCLUÍDO")=1,1,0))</f>
        <v>0</v>
      </c>
      <c r="S20" t="str">
        <f t="shared" si="3"/>
        <v/>
      </c>
      <c r="T20" t="str">
        <f>IF(E20="","",E20*100000+COUNTIFS(tblRegistros[ID],E20,tblRegistros[Data],"&lt;"&amp;B20)+COUNTIFS(tblRegistros[ID],E20,tblRegistros[Data],B20,tblRegistros[Início],"&lt;"&amp;I20)+COUNTIFS($E$5:E20,E20,$B$5:B20,B20,$I$5:I20,I20))</f>
        <v/>
      </c>
    </row>
    <row r="21" spans="2:20">
      <c r="B21" s="2" t="str">
        <f>IFERROR(INT(INDEX(tblBatidas[Data e hora],MATCH("B"&amp;MID($A21,2,99),tblBatidas[Batida ID],0))),"")</f>
        <v/>
      </c>
      <c r="C21" t="str">
        <f t="shared" si="0"/>
        <v/>
      </c>
      <c r="D21" t="str">
        <f t="shared" si="1"/>
        <v/>
      </c>
      <c r="E21" t="str">
        <f>IFERROR(INDEX(tblBatidas[ID],MATCH("B"&amp;MID($A21,2,99),tblBatidas[Batida ID],0)),"")</f>
        <v/>
      </c>
      <c r="F21" t="str">
        <f>IFERROR(INDEX(tblPessoas[Pessoa],MATCH(E21,tblPessoas[ID],0)),"")</f>
        <v/>
      </c>
      <c r="G21" t="str">
        <f>IFERROR(INDEX(tblBatidas[Projeto],MATCH("B"&amp;MID($A21,2,99),tblBatidas[Batida ID],0)),"")</f>
        <v/>
      </c>
      <c r="H21" t="str">
        <f>IFERROR(INDEX(tblBatidas[Atividade],MATCH("B"&amp;MID($A21,2,99),tblBatidas[Batida ID],0)),"")</f>
        <v/>
      </c>
      <c r="I21" s="4" t="str">
        <f>IFERROR(MOD(INDEX(tblBatidas[Data e hora],MATCH("B"&amp;MID($A21,2,99),tblBatidas[Batida ID],0)),1),"")</f>
        <v/>
      </c>
      <c r="J21" s="4" t="str">
        <f>IFERROR(MOD(INDEX(tblBatidas[Data e hora],MATCH("B"&amp;MID($A21,2,99),tblBatidas[Início vinculado],0)),1),"")</f>
        <v/>
      </c>
      <c r="K21" s="14" t="str">
        <f>IFERROR((INDEX(tblBatidas[Data e hora],MATCH("B"&amp;MID($A21,2,99),tblBatidas[Início vinculado],0))-INDEX(tblBatidas[Data e hora],MATCH("B"&amp;MID($A21,2,99),tblBatidas[Batida ID],0)))*24,"")</f>
        <v/>
      </c>
      <c r="L21" t="str">
        <f>IFERROR(INDEX(tblBatidas[Observação],MATCH("B"&amp;MID($A21,2,99),tblBatidas[Início vinculado],0)),"")</f>
        <v/>
      </c>
      <c r="M21" t="str">
        <f>IFERROR(INDEX(tblPessoas[Base],MATCH(E21,tblPessoas[ID],0)),"")</f>
        <v/>
      </c>
      <c r="N21" s="3">
        <f>IFERROR(IF(D21="DIA ÚTIL",INDEX(tblPessoas[R$/h útil],MATCH(E21,tblPessoas[ID],0)),INDEX(tblPessoas[R$/h FDS],MATCH(E21,tblPessoas[ID],0))),0)</f>
        <v>0</v>
      </c>
      <c r="O21" s="3">
        <f>IFERROR(INDEX(tblPessoas[R$/diária],MATCH(E21,tblPessoas[ID],0)),0)</f>
        <v>0</v>
      </c>
      <c r="P21" s="3" t="str">
        <f t="shared" si="2"/>
        <v/>
      </c>
      <c r="Q21" t="str">
        <f>IF(A21="","",IF(COUNTIF(tblBatidas[Início vinculado],"B"&amp;MID($A21,2,99))=0,"EM ABERTO",IF(OR(COUNTIF(tblBatidas[Início vinculado],"B"&amp;MID($A21,2,99))&gt;1,K21&lt;0,K21&gt;16,INT(INDEX(tblBatidas[Data e hora],MATCH("B"&amp;MID($A21,2,99),tblBatidas[Início vinculado],0)))&lt;&gt;B21,INDEX(tblBatidas[ID],MATCH("B"&amp;MID($A21,2,99),tblBatidas[Início vinculado],0))&lt;&gt;E21,INDEX(tblBatidas[Projeto],MATCH("B"&amp;MID($A21,2,99),tblBatidas[Início vinculado],0))&lt;&gt;G21,INDEX(tblBatidas[Atividade],MATCH("B"&amp;MID($A21,2,99),tblBatidas[Início vinculado],0))&lt;&gt;H21),"REVISAR","CONCLUÍDO")))</f>
        <v/>
      </c>
      <c r="R21">
        <f>IF(Q21&lt;&gt;"CONCLUÍDO",0,IF(COUNTIFS($E$5:E21,E21,$B$5:B21,B21,$Q$5:Q21,"CONCLUÍDO")=1,1,0))</f>
        <v>0</v>
      </c>
      <c r="S21" t="str">
        <f t="shared" si="3"/>
        <v/>
      </c>
      <c r="T21" t="str">
        <f>IF(E21="","",E21*100000+COUNTIFS(tblRegistros[ID],E21,tblRegistros[Data],"&lt;"&amp;B21)+COUNTIFS(tblRegistros[ID],E21,tblRegistros[Data],B21,tblRegistros[Início],"&lt;"&amp;I21)+COUNTIFS($E$5:E21,E21,$B$5:B21,B21,$I$5:I21,I21))</f>
        <v/>
      </c>
    </row>
    <row r="22" spans="2:20">
      <c r="B22" s="2" t="str">
        <f>IFERROR(INT(INDEX(tblBatidas[Data e hora],MATCH("B"&amp;MID($A22,2,99),tblBatidas[Batida ID],0))),"")</f>
        <v/>
      </c>
      <c r="C22" t="str">
        <f t="shared" si="0"/>
        <v/>
      </c>
      <c r="D22" t="str">
        <f t="shared" si="1"/>
        <v/>
      </c>
      <c r="E22" t="str">
        <f>IFERROR(INDEX(tblBatidas[ID],MATCH("B"&amp;MID($A22,2,99),tblBatidas[Batida ID],0)),"")</f>
        <v/>
      </c>
      <c r="F22" t="str">
        <f>IFERROR(INDEX(tblPessoas[Pessoa],MATCH(E22,tblPessoas[ID],0)),"")</f>
        <v/>
      </c>
      <c r="G22" t="str">
        <f>IFERROR(INDEX(tblBatidas[Projeto],MATCH("B"&amp;MID($A22,2,99),tblBatidas[Batida ID],0)),"")</f>
        <v/>
      </c>
      <c r="H22" t="str">
        <f>IFERROR(INDEX(tblBatidas[Atividade],MATCH("B"&amp;MID($A22,2,99),tblBatidas[Batida ID],0)),"")</f>
        <v/>
      </c>
      <c r="I22" s="4" t="str">
        <f>IFERROR(MOD(INDEX(tblBatidas[Data e hora],MATCH("B"&amp;MID($A22,2,99),tblBatidas[Batida ID],0)),1),"")</f>
        <v/>
      </c>
      <c r="J22" s="4" t="str">
        <f>IFERROR(MOD(INDEX(tblBatidas[Data e hora],MATCH("B"&amp;MID($A22,2,99),tblBatidas[Início vinculado],0)),1),"")</f>
        <v/>
      </c>
      <c r="K22" s="14" t="str">
        <f>IFERROR((INDEX(tblBatidas[Data e hora],MATCH("B"&amp;MID($A22,2,99),tblBatidas[Início vinculado],0))-INDEX(tblBatidas[Data e hora],MATCH("B"&amp;MID($A22,2,99),tblBatidas[Batida ID],0)))*24,"")</f>
        <v/>
      </c>
      <c r="L22" t="str">
        <f>IFERROR(INDEX(tblBatidas[Observação],MATCH("B"&amp;MID($A22,2,99),tblBatidas[Início vinculado],0)),"")</f>
        <v/>
      </c>
      <c r="M22" t="str">
        <f>IFERROR(INDEX(tblPessoas[Base],MATCH(E22,tblPessoas[ID],0)),"")</f>
        <v/>
      </c>
      <c r="N22" s="3">
        <f>IFERROR(IF(D22="DIA ÚTIL",INDEX(tblPessoas[R$/h útil],MATCH(E22,tblPessoas[ID],0)),INDEX(tblPessoas[R$/h FDS],MATCH(E22,tblPessoas[ID],0))),0)</f>
        <v>0</v>
      </c>
      <c r="O22" s="3">
        <f>IFERROR(INDEX(tblPessoas[R$/diária],MATCH(E22,tblPessoas[ID],0)),0)</f>
        <v>0</v>
      </c>
      <c r="P22" s="3" t="str">
        <f t="shared" si="2"/>
        <v/>
      </c>
      <c r="Q22" t="str">
        <f>IF(A22="","",IF(COUNTIF(tblBatidas[Início vinculado],"B"&amp;MID($A22,2,99))=0,"EM ABERTO",IF(OR(COUNTIF(tblBatidas[Início vinculado],"B"&amp;MID($A22,2,99))&gt;1,K22&lt;0,K22&gt;16,INT(INDEX(tblBatidas[Data e hora],MATCH("B"&amp;MID($A22,2,99),tblBatidas[Início vinculado],0)))&lt;&gt;B22,INDEX(tblBatidas[ID],MATCH("B"&amp;MID($A22,2,99),tblBatidas[Início vinculado],0))&lt;&gt;E22,INDEX(tblBatidas[Projeto],MATCH("B"&amp;MID($A22,2,99),tblBatidas[Início vinculado],0))&lt;&gt;G22,INDEX(tblBatidas[Atividade],MATCH("B"&amp;MID($A22,2,99),tblBatidas[Início vinculado],0))&lt;&gt;H22),"REVISAR","CONCLUÍDO")))</f>
        <v/>
      </c>
      <c r="R22">
        <f>IF(Q22&lt;&gt;"CONCLUÍDO",0,IF(COUNTIFS($E$5:E22,E22,$B$5:B22,B22,$Q$5:Q22,"CONCLUÍDO")=1,1,0))</f>
        <v>0</v>
      </c>
      <c r="S22" t="str">
        <f t="shared" si="3"/>
        <v/>
      </c>
      <c r="T22" t="str">
        <f>IF(E22="","",E22*100000+COUNTIFS(tblRegistros[ID],E22,tblRegistros[Data],"&lt;"&amp;B22)+COUNTIFS(tblRegistros[ID],E22,tblRegistros[Data],B22,tblRegistros[Início],"&lt;"&amp;I22)+COUNTIFS($E$5:E22,E22,$B$5:B22,B22,$I$5:I22,I22))</f>
        <v/>
      </c>
    </row>
    <row r="23" spans="2:20">
      <c r="B23" s="2" t="str">
        <f>IFERROR(INT(INDEX(tblBatidas[Data e hora],MATCH("B"&amp;MID($A23,2,99),tblBatidas[Batida ID],0))),"")</f>
        <v/>
      </c>
      <c r="C23" t="str">
        <f t="shared" si="0"/>
        <v/>
      </c>
      <c r="D23" t="str">
        <f t="shared" si="1"/>
        <v/>
      </c>
      <c r="E23" t="str">
        <f>IFERROR(INDEX(tblBatidas[ID],MATCH("B"&amp;MID($A23,2,99),tblBatidas[Batida ID],0)),"")</f>
        <v/>
      </c>
      <c r="F23" t="str">
        <f>IFERROR(INDEX(tblPessoas[Pessoa],MATCH(E23,tblPessoas[ID],0)),"")</f>
        <v/>
      </c>
      <c r="G23" t="str">
        <f>IFERROR(INDEX(tblBatidas[Projeto],MATCH("B"&amp;MID($A23,2,99),tblBatidas[Batida ID],0)),"")</f>
        <v/>
      </c>
      <c r="H23" t="str">
        <f>IFERROR(INDEX(tblBatidas[Atividade],MATCH("B"&amp;MID($A23,2,99),tblBatidas[Batida ID],0)),"")</f>
        <v/>
      </c>
      <c r="I23" s="4" t="str">
        <f>IFERROR(MOD(INDEX(tblBatidas[Data e hora],MATCH("B"&amp;MID($A23,2,99),tblBatidas[Batida ID],0)),1),"")</f>
        <v/>
      </c>
      <c r="J23" s="4" t="str">
        <f>IFERROR(MOD(INDEX(tblBatidas[Data e hora],MATCH("B"&amp;MID($A23,2,99),tblBatidas[Início vinculado],0)),1),"")</f>
        <v/>
      </c>
      <c r="K23" s="14" t="str">
        <f>IFERROR((INDEX(tblBatidas[Data e hora],MATCH("B"&amp;MID($A23,2,99),tblBatidas[Início vinculado],0))-INDEX(tblBatidas[Data e hora],MATCH("B"&amp;MID($A23,2,99),tblBatidas[Batida ID],0)))*24,"")</f>
        <v/>
      </c>
      <c r="L23" t="str">
        <f>IFERROR(INDEX(tblBatidas[Observação],MATCH("B"&amp;MID($A23,2,99),tblBatidas[Início vinculado],0)),"")</f>
        <v/>
      </c>
      <c r="M23" t="str">
        <f>IFERROR(INDEX(tblPessoas[Base],MATCH(E23,tblPessoas[ID],0)),"")</f>
        <v/>
      </c>
      <c r="N23" s="3">
        <f>IFERROR(IF(D23="DIA ÚTIL",INDEX(tblPessoas[R$/h útil],MATCH(E23,tblPessoas[ID],0)),INDEX(tblPessoas[R$/h FDS],MATCH(E23,tblPessoas[ID],0))),0)</f>
        <v>0</v>
      </c>
      <c r="O23" s="3">
        <f>IFERROR(INDEX(tblPessoas[R$/diária],MATCH(E23,tblPessoas[ID],0)),0)</f>
        <v>0</v>
      </c>
      <c r="P23" s="3" t="str">
        <f t="shared" si="2"/>
        <v/>
      </c>
      <c r="Q23" t="str">
        <f>IF(A23="","",IF(COUNTIF(tblBatidas[Início vinculado],"B"&amp;MID($A23,2,99))=0,"EM ABERTO",IF(OR(COUNTIF(tblBatidas[Início vinculado],"B"&amp;MID($A23,2,99))&gt;1,K23&lt;0,K23&gt;16,INT(INDEX(tblBatidas[Data e hora],MATCH("B"&amp;MID($A23,2,99),tblBatidas[Início vinculado],0)))&lt;&gt;B23,INDEX(tblBatidas[ID],MATCH("B"&amp;MID($A23,2,99),tblBatidas[Início vinculado],0))&lt;&gt;E23,INDEX(tblBatidas[Projeto],MATCH("B"&amp;MID($A23,2,99),tblBatidas[Início vinculado],0))&lt;&gt;G23,INDEX(tblBatidas[Atividade],MATCH("B"&amp;MID($A23,2,99),tblBatidas[Início vinculado],0))&lt;&gt;H23),"REVISAR","CONCLUÍDO")))</f>
        <v/>
      </c>
      <c r="R23">
        <f>IF(Q23&lt;&gt;"CONCLUÍDO",0,IF(COUNTIFS($E$5:E23,E23,$B$5:B23,B23,$Q$5:Q23,"CONCLUÍDO")=1,1,0))</f>
        <v>0</v>
      </c>
      <c r="S23" t="str">
        <f t="shared" si="3"/>
        <v/>
      </c>
      <c r="T23" t="str">
        <f>IF(E23="","",E23*100000+COUNTIFS(tblRegistros[ID],E23,tblRegistros[Data],"&lt;"&amp;B23)+COUNTIFS(tblRegistros[ID],E23,tblRegistros[Data],B23,tblRegistros[Início],"&lt;"&amp;I23)+COUNTIFS($E$5:E23,E23,$B$5:B23,B23,$I$5:I23,I23))</f>
        <v/>
      </c>
    </row>
    <row r="24" spans="2:20">
      <c r="B24" s="2" t="str">
        <f>IFERROR(INT(INDEX(tblBatidas[Data e hora],MATCH("B"&amp;MID($A24,2,99),tblBatidas[Batida ID],0))),"")</f>
        <v/>
      </c>
      <c r="C24" t="str">
        <f t="shared" si="0"/>
        <v/>
      </c>
      <c r="D24" t="str">
        <f t="shared" si="1"/>
        <v/>
      </c>
      <c r="E24" t="str">
        <f>IFERROR(INDEX(tblBatidas[ID],MATCH("B"&amp;MID($A24,2,99),tblBatidas[Batida ID],0)),"")</f>
        <v/>
      </c>
      <c r="F24" t="str">
        <f>IFERROR(INDEX(tblPessoas[Pessoa],MATCH(E24,tblPessoas[ID],0)),"")</f>
        <v/>
      </c>
      <c r="G24" t="str">
        <f>IFERROR(INDEX(tblBatidas[Projeto],MATCH("B"&amp;MID($A24,2,99),tblBatidas[Batida ID],0)),"")</f>
        <v/>
      </c>
      <c r="H24" t="str">
        <f>IFERROR(INDEX(tblBatidas[Atividade],MATCH("B"&amp;MID($A24,2,99),tblBatidas[Batida ID],0)),"")</f>
        <v/>
      </c>
      <c r="I24" s="4" t="str">
        <f>IFERROR(MOD(INDEX(tblBatidas[Data e hora],MATCH("B"&amp;MID($A24,2,99),tblBatidas[Batida ID],0)),1),"")</f>
        <v/>
      </c>
      <c r="J24" s="4" t="str">
        <f>IFERROR(MOD(INDEX(tblBatidas[Data e hora],MATCH("B"&amp;MID($A24,2,99),tblBatidas[Início vinculado],0)),1),"")</f>
        <v/>
      </c>
      <c r="K24" s="14" t="str">
        <f>IFERROR((INDEX(tblBatidas[Data e hora],MATCH("B"&amp;MID($A24,2,99),tblBatidas[Início vinculado],0))-INDEX(tblBatidas[Data e hora],MATCH("B"&amp;MID($A24,2,99),tblBatidas[Batida ID],0)))*24,"")</f>
        <v/>
      </c>
      <c r="L24" t="str">
        <f>IFERROR(INDEX(tblBatidas[Observação],MATCH("B"&amp;MID($A24,2,99),tblBatidas[Início vinculado],0)),"")</f>
        <v/>
      </c>
      <c r="M24" t="str">
        <f>IFERROR(INDEX(tblPessoas[Base],MATCH(E24,tblPessoas[ID],0)),"")</f>
        <v/>
      </c>
      <c r="N24" s="3">
        <f>IFERROR(IF(D24="DIA ÚTIL",INDEX(tblPessoas[R$/h útil],MATCH(E24,tblPessoas[ID],0)),INDEX(tblPessoas[R$/h FDS],MATCH(E24,tblPessoas[ID],0))),0)</f>
        <v>0</v>
      </c>
      <c r="O24" s="3">
        <f>IFERROR(INDEX(tblPessoas[R$/diária],MATCH(E24,tblPessoas[ID],0)),0)</f>
        <v>0</v>
      </c>
      <c r="P24" s="3" t="str">
        <f t="shared" si="2"/>
        <v/>
      </c>
      <c r="Q24" t="str">
        <f>IF(A24="","",IF(COUNTIF(tblBatidas[Início vinculado],"B"&amp;MID($A24,2,99))=0,"EM ABERTO",IF(OR(COUNTIF(tblBatidas[Início vinculado],"B"&amp;MID($A24,2,99))&gt;1,K24&lt;0,K24&gt;16,INT(INDEX(tblBatidas[Data e hora],MATCH("B"&amp;MID($A24,2,99),tblBatidas[Início vinculado],0)))&lt;&gt;B24,INDEX(tblBatidas[ID],MATCH("B"&amp;MID($A24,2,99),tblBatidas[Início vinculado],0))&lt;&gt;E24,INDEX(tblBatidas[Projeto],MATCH("B"&amp;MID($A24,2,99),tblBatidas[Início vinculado],0))&lt;&gt;G24,INDEX(tblBatidas[Atividade],MATCH("B"&amp;MID($A24,2,99),tblBatidas[Início vinculado],0))&lt;&gt;H24),"REVISAR","CONCLUÍDO")))</f>
        <v/>
      </c>
      <c r="R24">
        <f>IF(Q24&lt;&gt;"CONCLUÍDO",0,IF(COUNTIFS($E$5:E24,E24,$B$5:B24,B24,$Q$5:Q24,"CONCLUÍDO")=1,1,0))</f>
        <v>0</v>
      </c>
      <c r="S24" t="str">
        <f t="shared" si="3"/>
        <v/>
      </c>
      <c r="T24" t="str">
        <f>IF(E24="","",E24*100000+COUNTIFS(tblRegistros[ID],E24,tblRegistros[Data],"&lt;"&amp;B24)+COUNTIFS(tblRegistros[ID],E24,tblRegistros[Data],B24,tblRegistros[Início],"&lt;"&amp;I24)+COUNTIFS($E$5:E24,E24,$B$5:B24,B24,$I$5:I24,I24))</f>
        <v/>
      </c>
    </row>
    <row r="25" spans="2:20">
      <c r="B25" s="2" t="str">
        <f>IFERROR(INT(INDEX(tblBatidas[Data e hora],MATCH("B"&amp;MID($A25,2,99),tblBatidas[Batida ID],0))),"")</f>
        <v/>
      </c>
      <c r="C25" t="str">
        <f t="shared" si="0"/>
        <v/>
      </c>
      <c r="D25" t="str">
        <f t="shared" si="1"/>
        <v/>
      </c>
      <c r="E25" t="str">
        <f>IFERROR(INDEX(tblBatidas[ID],MATCH("B"&amp;MID($A25,2,99),tblBatidas[Batida ID],0)),"")</f>
        <v/>
      </c>
      <c r="F25" t="str">
        <f>IFERROR(INDEX(tblPessoas[Pessoa],MATCH(E25,tblPessoas[ID],0)),"")</f>
        <v/>
      </c>
      <c r="G25" t="str">
        <f>IFERROR(INDEX(tblBatidas[Projeto],MATCH("B"&amp;MID($A25,2,99),tblBatidas[Batida ID],0)),"")</f>
        <v/>
      </c>
      <c r="H25" t="str">
        <f>IFERROR(INDEX(tblBatidas[Atividade],MATCH("B"&amp;MID($A25,2,99),tblBatidas[Batida ID],0)),"")</f>
        <v/>
      </c>
      <c r="I25" s="4" t="str">
        <f>IFERROR(MOD(INDEX(tblBatidas[Data e hora],MATCH("B"&amp;MID($A25,2,99),tblBatidas[Batida ID],0)),1),"")</f>
        <v/>
      </c>
      <c r="J25" s="4" t="str">
        <f>IFERROR(MOD(INDEX(tblBatidas[Data e hora],MATCH("B"&amp;MID($A25,2,99),tblBatidas[Início vinculado],0)),1),"")</f>
        <v/>
      </c>
      <c r="K25" s="14" t="str">
        <f>IFERROR((INDEX(tblBatidas[Data e hora],MATCH("B"&amp;MID($A25,2,99),tblBatidas[Início vinculado],0))-INDEX(tblBatidas[Data e hora],MATCH("B"&amp;MID($A25,2,99),tblBatidas[Batida ID],0)))*24,"")</f>
        <v/>
      </c>
      <c r="L25" t="str">
        <f>IFERROR(INDEX(tblBatidas[Observação],MATCH("B"&amp;MID($A25,2,99),tblBatidas[Início vinculado],0)),"")</f>
        <v/>
      </c>
      <c r="M25" t="str">
        <f>IFERROR(INDEX(tblPessoas[Base],MATCH(E25,tblPessoas[ID],0)),"")</f>
        <v/>
      </c>
      <c r="N25" s="3">
        <f>IFERROR(IF(D25="DIA ÚTIL",INDEX(tblPessoas[R$/h útil],MATCH(E25,tblPessoas[ID],0)),INDEX(tblPessoas[R$/h FDS],MATCH(E25,tblPessoas[ID],0))),0)</f>
        <v>0</v>
      </c>
      <c r="O25" s="3">
        <f>IFERROR(INDEX(tblPessoas[R$/diária],MATCH(E25,tblPessoas[ID],0)),0)</f>
        <v>0</v>
      </c>
      <c r="P25" s="3" t="str">
        <f t="shared" si="2"/>
        <v/>
      </c>
      <c r="Q25" t="str">
        <f>IF(A25="","",IF(COUNTIF(tblBatidas[Início vinculado],"B"&amp;MID($A25,2,99))=0,"EM ABERTO",IF(OR(COUNTIF(tblBatidas[Início vinculado],"B"&amp;MID($A25,2,99))&gt;1,K25&lt;0,K25&gt;16,INT(INDEX(tblBatidas[Data e hora],MATCH("B"&amp;MID($A25,2,99),tblBatidas[Início vinculado],0)))&lt;&gt;B25,INDEX(tblBatidas[ID],MATCH("B"&amp;MID($A25,2,99),tblBatidas[Início vinculado],0))&lt;&gt;E25,INDEX(tblBatidas[Projeto],MATCH("B"&amp;MID($A25,2,99),tblBatidas[Início vinculado],0))&lt;&gt;G25,INDEX(tblBatidas[Atividade],MATCH("B"&amp;MID($A25,2,99),tblBatidas[Início vinculado],0))&lt;&gt;H25),"REVISAR","CONCLUÍDO")))</f>
        <v/>
      </c>
      <c r="R25">
        <f>IF(Q25&lt;&gt;"CONCLUÍDO",0,IF(COUNTIFS($E$5:E25,E25,$B$5:B25,B25,$Q$5:Q25,"CONCLUÍDO")=1,1,0))</f>
        <v>0</v>
      </c>
      <c r="S25" t="str">
        <f t="shared" si="3"/>
        <v/>
      </c>
      <c r="T25" t="str">
        <f>IF(E25="","",E25*100000+COUNTIFS(tblRegistros[ID],E25,tblRegistros[Data],"&lt;"&amp;B25)+COUNTIFS(tblRegistros[ID],E25,tblRegistros[Data],B25,tblRegistros[Início],"&lt;"&amp;I25)+COUNTIFS($E$5:E25,E25,$B$5:B25,B25,$I$5:I25,I25))</f>
        <v/>
      </c>
    </row>
    <row r="26" spans="2:20">
      <c r="B26" s="2" t="str">
        <f>IFERROR(INT(INDEX(tblBatidas[Data e hora],MATCH("B"&amp;MID($A26,2,99),tblBatidas[Batida ID],0))),"")</f>
        <v/>
      </c>
      <c r="C26" t="str">
        <f t="shared" si="0"/>
        <v/>
      </c>
      <c r="D26" t="str">
        <f t="shared" si="1"/>
        <v/>
      </c>
      <c r="E26" t="str">
        <f>IFERROR(INDEX(tblBatidas[ID],MATCH("B"&amp;MID($A26,2,99),tblBatidas[Batida ID],0)),"")</f>
        <v/>
      </c>
      <c r="F26" t="str">
        <f>IFERROR(INDEX(tblPessoas[Pessoa],MATCH(E26,tblPessoas[ID],0)),"")</f>
        <v/>
      </c>
      <c r="G26" t="str">
        <f>IFERROR(INDEX(tblBatidas[Projeto],MATCH("B"&amp;MID($A26,2,99),tblBatidas[Batida ID],0)),"")</f>
        <v/>
      </c>
      <c r="H26" t="str">
        <f>IFERROR(INDEX(tblBatidas[Atividade],MATCH("B"&amp;MID($A26,2,99),tblBatidas[Batida ID],0)),"")</f>
        <v/>
      </c>
      <c r="I26" s="4" t="str">
        <f>IFERROR(MOD(INDEX(tblBatidas[Data e hora],MATCH("B"&amp;MID($A26,2,99),tblBatidas[Batida ID],0)),1),"")</f>
        <v/>
      </c>
      <c r="J26" s="4" t="str">
        <f>IFERROR(MOD(INDEX(tblBatidas[Data e hora],MATCH("B"&amp;MID($A26,2,99),tblBatidas[Início vinculado],0)),1),"")</f>
        <v/>
      </c>
      <c r="K26" s="14" t="str">
        <f>IFERROR((INDEX(tblBatidas[Data e hora],MATCH("B"&amp;MID($A26,2,99),tblBatidas[Início vinculado],0))-INDEX(tblBatidas[Data e hora],MATCH("B"&amp;MID($A26,2,99),tblBatidas[Batida ID],0)))*24,"")</f>
        <v/>
      </c>
      <c r="L26" t="str">
        <f>IFERROR(INDEX(tblBatidas[Observação],MATCH("B"&amp;MID($A26,2,99),tblBatidas[Início vinculado],0)),"")</f>
        <v/>
      </c>
      <c r="M26" t="str">
        <f>IFERROR(INDEX(tblPessoas[Base],MATCH(E26,tblPessoas[ID],0)),"")</f>
        <v/>
      </c>
      <c r="N26" s="3">
        <f>IFERROR(IF(D26="DIA ÚTIL",INDEX(tblPessoas[R$/h útil],MATCH(E26,tblPessoas[ID],0)),INDEX(tblPessoas[R$/h FDS],MATCH(E26,tblPessoas[ID],0))),0)</f>
        <v>0</v>
      </c>
      <c r="O26" s="3">
        <f>IFERROR(INDEX(tblPessoas[R$/diária],MATCH(E26,tblPessoas[ID],0)),0)</f>
        <v>0</v>
      </c>
      <c r="P26" s="3" t="str">
        <f t="shared" si="2"/>
        <v/>
      </c>
      <c r="Q26" t="str">
        <f>IF(A26="","",IF(COUNTIF(tblBatidas[Início vinculado],"B"&amp;MID($A26,2,99))=0,"EM ABERTO",IF(OR(COUNTIF(tblBatidas[Início vinculado],"B"&amp;MID($A26,2,99))&gt;1,K26&lt;0,K26&gt;16,INT(INDEX(tblBatidas[Data e hora],MATCH("B"&amp;MID($A26,2,99),tblBatidas[Início vinculado],0)))&lt;&gt;B26,INDEX(tblBatidas[ID],MATCH("B"&amp;MID($A26,2,99),tblBatidas[Início vinculado],0))&lt;&gt;E26,INDEX(tblBatidas[Projeto],MATCH("B"&amp;MID($A26,2,99),tblBatidas[Início vinculado],0))&lt;&gt;G26,INDEX(tblBatidas[Atividade],MATCH("B"&amp;MID($A26,2,99),tblBatidas[Início vinculado],0))&lt;&gt;H26),"REVISAR","CONCLUÍDO")))</f>
        <v/>
      </c>
      <c r="R26">
        <f>IF(Q26&lt;&gt;"CONCLUÍDO",0,IF(COUNTIFS($E$5:E26,E26,$B$5:B26,B26,$Q$5:Q26,"CONCLUÍDO")=1,1,0))</f>
        <v>0</v>
      </c>
      <c r="S26" t="str">
        <f t="shared" si="3"/>
        <v/>
      </c>
      <c r="T26" t="str">
        <f>IF(E26="","",E26*100000+COUNTIFS(tblRegistros[ID],E26,tblRegistros[Data],"&lt;"&amp;B26)+COUNTIFS(tblRegistros[ID],E26,tblRegistros[Data],B26,tblRegistros[Início],"&lt;"&amp;I26)+COUNTIFS($E$5:E26,E26,$B$5:B26,B26,$I$5:I26,I26))</f>
        <v/>
      </c>
    </row>
    <row r="27" spans="2:20">
      <c r="B27" s="2" t="str">
        <f>IFERROR(INT(INDEX(tblBatidas[Data e hora],MATCH("B"&amp;MID($A27,2,99),tblBatidas[Batida ID],0))),"")</f>
        <v/>
      </c>
      <c r="C27" t="str">
        <f t="shared" si="0"/>
        <v/>
      </c>
      <c r="D27" t="str">
        <f t="shared" si="1"/>
        <v/>
      </c>
      <c r="E27" t="str">
        <f>IFERROR(INDEX(tblBatidas[ID],MATCH("B"&amp;MID($A27,2,99),tblBatidas[Batida ID],0)),"")</f>
        <v/>
      </c>
      <c r="F27" t="str">
        <f>IFERROR(INDEX(tblPessoas[Pessoa],MATCH(E27,tblPessoas[ID],0)),"")</f>
        <v/>
      </c>
      <c r="G27" t="str">
        <f>IFERROR(INDEX(tblBatidas[Projeto],MATCH("B"&amp;MID($A27,2,99),tblBatidas[Batida ID],0)),"")</f>
        <v/>
      </c>
      <c r="H27" t="str">
        <f>IFERROR(INDEX(tblBatidas[Atividade],MATCH("B"&amp;MID($A27,2,99),tblBatidas[Batida ID],0)),"")</f>
        <v/>
      </c>
      <c r="I27" s="4" t="str">
        <f>IFERROR(MOD(INDEX(tblBatidas[Data e hora],MATCH("B"&amp;MID($A27,2,99),tblBatidas[Batida ID],0)),1),"")</f>
        <v/>
      </c>
      <c r="J27" s="4" t="str">
        <f>IFERROR(MOD(INDEX(tblBatidas[Data e hora],MATCH("B"&amp;MID($A27,2,99),tblBatidas[Início vinculado],0)),1),"")</f>
        <v/>
      </c>
      <c r="K27" s="14" t="str">
        <f>IFERROR((INDEX(tblBatidas[Data e hora],MATCH("B"&amp;MID($A27,2,99),tblBatidas[Início vinculado],0))-INDEX(tblBatidas[Data e hora],MATCH("B"&amp;MID($A27,2,99),tblBatidas[Batida ID],0)))*24,"")</f>
        <v/>
      </c>
      <c r="L27" t="str">
        <f>IFERROR(INDEX(tblBatidas[Observação],MATCH("B"&amp;MID($A27,2,99),tblBatidas[Início vinculado],0)),"")</f>
        <v/>
      </c>
      <c r="M27" t="str">
        <f>IFERROR(INDEX(tblPessoas[Base],MATCH(E27,tblPessoas[ID],0)),"")</f>
        <v/>
      </c>
      <c r="N27" s="3">
        <f>IFERROR(IF(D27="DIA ÚTIL",INDEX(tblPessoas[R$/h útil],MATCH(E27,tblPessoas[ID],0)),INDEX(tblPessoas[R$/h FDS],MATCH(E27,tblPessoas[ID],0))),0)</f>
        <v>0</v>
      </c>
      <c r="O27" s="3">
        <f>IFERROR(INDEX(tblPessoas[R$/diária],MATCH(E27,tblPessoas[ID],0)),0)</f>
        <v>0</v>
      </c>
      <c r="P27" s="3" t="str">
        <f t="shared" si="2"/>
        <v/>
      </c>
      <c r="Q27" t="str">
        <f>IF(A27="","",IF(COUNTIF(tblBatidas[Início vinculado],"B"&amp;MID($A27,2,99))=0,"EM ABERTO",IF(OR(COUNTIF(tblBatidas[Início vinculado],"B"&amp;MID($A27,2,99))&gt;1,K27&lt;0,K27&gt;16,INT(INDEX(tblBatidas[Data e hora],MATCH("B"&amp;MID($A27,2,99),tblBatidas[Início vinculado],0)))&lt;&gt;B27,INDEX(tblBatidas[ID],MATCH("B"&amp;MID($A27,2,99),tblBatidas[Início vinculado],0))&lt;&gt;E27,INDEX(tblBatidas[Projeto],MATCH("B"&amp;MID($A27,2,99),tblBatidas[Início vinculado],0))&lt;&gt;G27,INDEX(tblBatidas[Atividade],MATCH("B"&amp;MID($A27,2,99),tblBatidas[Início vinculado],0))&lt;&gt;H27),"REVISAR","CONCLUÍDO")))</f>
        <v/>
      </c>
      <c r="R27">
        <f>IF(Q27&lt;&gt;"CONCLUÍDO",0,IF(COUNTIFS($E$5:E27,E27,$B$5:B27,B27,$Q$5:Q27,"CONCLUÍDO")=1,1,0))</f>
        <v>0</v>
      </c>
      <c r="S27" t="str">
        <f t="shared" si="3"/>
        <v/>
      </c>
      <c r="T27" t="str">
        <f>IF(E27="","",E27*100000+COUNTIFS(tblRegistros[ID],E27,tblRegistros[Data],"&lt;"&amp;B27)+COUNTIFS(tblRegistros[ID],E27,tblRegistros[Data],B27,tblRegistros[Início],"&lt;"&amp;I27)+COUNTIFS($E$5:E27,E27,$B$5:B27,B27,$I$5:I27,I27))</f>
        <v/>
      </c>
    </row>
    <row r="28" spans="2:20">
      <c r="B28" s="2" t="str">
        <f>IFERROR(INT(INDEX(tblBatidas[Data e hora],MATCH("B"&amp;MID($A28,2,99),tblBatidas[Batida ID],0))),"")</f>
        <v/>
      </c>
      <c r="C28" t="str">
        <f t="shared" si="0"/>
        <v/>
      </c>
      <c r="D28" t="str">
        <f t="shared" si="1"/>
        <v/>
      </c>
      <c r="E28" t="str">
        <f>IFERROR(INDEX(tblBatidas[ID],MATCH("B"&amp;MID($A28,2,99),tblBatidas[Batida ID],0)),"")</f>
        <v/>
      </c>
      <c r="F28" t="str">
        <f>IFERROR(INDEX(tblPessoas[Pessoa],MATCH(E28,tblPessoas[ID],0)),"")</f>
        <v/>
      </c>
      <c r="G28" t="str">
        <f>IFERROR(INDEX(tblBatidas[Projeto],MATCH("B"&amp;MID($A28,2,99),tblBatidas[Batida ID],0)),"")</f>
        <v/>
      </c>
      <c r="H28" t="str">
        <f>IFERROR(INDEX(tblBatidas[Atividade],MATCH("B"&amp;MID($A28,2,99),tblBatidas[Batida ID],0)),"")</f>
        <v/>
      </c>
      <c r="I28" s="4" t="str">
        <f>IFERROR(MOD(INDEX(tblBatidas[Data e hora],MATCH("B"&amp;MID($A28,2,99),tblBatidas[Batida ID],0)),1),"")</f>
        <v/>
      </c>
      <c r="J28" s="4" t="str">
        <f>IFERROR(MOD(INDEX(tblBatidas[Data e hora],MATCH("B"&amp;MID($A28,2,99),tblBatidas[Início vinculado],0)),1),"")</f>
        <v/>
      </c>
      <c r="K28" s="14" t="str">
        <f>IFERROR((INDEX(tblBatidas[Data e hora],MATCH("B"&amp;MID($A28,2,99),tblBatidas[Início vinculado],0))-INDEX(tblBatidas[Data e hora],MATCH("B"&amp;MID($A28,2,99),tblBatidas[Batida ID],0)))*24,"")</f>
        <v/>
      </c>
      <c r="L28" t="str">
        <f>IFERROR(INDEX(tblBatidas[Observação],MATCH("B"&amp;MID($A28,2,99),tblBatidas[Início vinculado],0)),"")</f>
        <v/>
      </c>
      <c r="M28" t="str">
        <f>IFERROR(INDEX(tblPessoas[Base],MATCH(E28,tblPessoas[ID],0)),"")</f>
        <v/>
      </c>
      <c r="N28" s="3">
        <f>IFERROR(IF(D28="DIA ÚTIL",INDEX(tblPessoas[R$/h útil],MATCH(E28,tblPessoas[ID],0)),INDEX(tblPessoas[R$/h FDS],MATCH(E28,tblPessoas[ID],0))),0)</f>
        <v>0</v>
      </c>
      <c r="O28" s="3">
        <f>IFERROR(INDEX(tblPessoas[R$/diária],MATCH(E28,tblPessoas[ID],0)),0)</f>
        <v>0</v>
      </c>
      <c r="P28" s="3" t="str">
        <f t="shared" si="2"/>
        <v/>
      </c>
      <c r="Q28" t="str">
        <f>IF(A28="","",IF(COUNTIF(tblBatidas[Início vinculado],"B"&amp;MID($A28,2,99))=0,"EM ABERTO",IF(OR(COUNTIF(tblBatidas[Início vinculado],"B"&amp;MID($A28,2,99))&gt;1,K28&lt;0,K28&gt;16,INT(INDEX(tblBatidas[Data e hora],MATCH("B"&amp;MID($A28,2,99),tblBatidas[Início vinculado],0)))&lt;&gt;B28,INDEX(tblBatidas[ID],MATCH("B"&amp;MID($A28,2,99),tblBatidas[Início vinculado],0))&lt;&gt;E28,INDEX(tblBatidas[Projeto],MATCH("B"&amp;MID($A28,2,99),tblBatidas[Início vinculado],0))&lt;&gt;G28,INDEX(tblBatidas[Atividade],MATCH("B"&amp;MID($A28,2,99),tblBatidas[Início vinculado],0))&lt;&gt;H28),"REVISAR","CONCLUÍDO")))</f>
        <v/>
      </c>
      <c r="R28">
        <f>IF(Q28&lt;&gt;"CONCLUÍDO",0,IF(COUNTIFS($E$5:E28,E28,$B$5:B28,B28,$Q$5:Q28,"CONCLUÍDO")=1,1,0))</f>
        <v>0</v>
      </c>
      <c r="S28" t="str">
        <f t="shared" si="3"/>
        <v/>
      </c>
      <c r="T28" t="str">
        <f>IF(E28="","",E28*100000+COUNTIFS(tblRegistros[ID],E28,tblRegistros[Data],"&lt;"&amp;B28)+COUNTIFS(tblRegistros[ID],E28,tblRegistros[Data],B28,tblRegistros[Início],"&lt;"&amp;I28)+COUNTIFS($E$5:E28,E28,$B$5:B28,B28,$I$5:I28,I28))</f>
        <v/>
      </c>
    </row>
    <row r="29" spans="2:20">
      <c r="B29" s="2" t="str">
        <f>IFERROR(INT(INDEX(tblBatidas[Data e hora],MATCH("B"&amp;MID($A29,2,99),tblBatidas[Batida ID],0))),"")</f>
        <v/>
      </c>
      <c r="C29" t="str">
        <f t="shared" si="0"/>
        <v/>
      </c>
      <c r="D29" t="str">
        <f t="shared" si="1"/>
        <v/>
      </c>
      <c r="E29" t="str">
        <f>IFERROR(INDEX(tblBatidas[ID],MATCH("B"&amp;MID($A29,2,99),tblBatidas[Batida ID],0)),"")</f>
        <v/>
      </c>
      <c r="F29" t="str">
        <f>IFERROR(INDEX(tblPessoas[Pessoa],MATCH(E29,tblPessoas[ID],0)),"")</f>
        <v/>
      </c>
      <c r="G29" t="str">
        <f>IFERROR(INDEX(tblBatidas[Projeto],MATCH("B"&amp;MID($A29,2,99),tblBatidas[Batida ID],0)),"")</f>
        <v/>
      </c>
      <c r="H29" t="str">
        <f>IFERROR(INDEX(tblBatidas[Atividade],MATCH("B"&amp;MID($A29,2,99),tblBatidas[Batida ID],0)),"")</f>
        <v/>
      </c>
      <c r="I29" s="4" t="str">
        <f>IFERROR(MOD(INDEX(tblBatidas[Data e hora],MATCH("B"&amp;MID($A29,2,99),tblBatidas[Batida ID],0)),1),"")</f>
        <v/>
      </c>
      <c r="J29" s="4" t="str">
        <f>IFERROR(MOD(INDEX(tblBatidas[Data e hora],MATCH("B"&amp;MID($A29,2,99),tblBatidas[Início vinculado],0)),1),"")</f>
        <v/>
      </c>
      <c r="K29" s="14" t="str">
        <f>IFERROR((INDEX(tblBatidas[Data e hora],MATCH("B"&amp;MID($A29,2,99),tblBatidas[Início vinculado],0))-INDEX(tblBatidas[Data e hora],MATCH("B"&amp;MID($A29,2,99),tblBatidas[Batida ID],0)))*24,"")</f>
        <v/>
      </c>
      <c r="L29" t="str">
        <f>IFERROR(INDEX(tblBatidas[Observação],MATCH("B"&amp;MID($A29,2,99),tblBatidas[Início vinculado],0)),"")</f>
        <v/>
      </c>
      <c r="M29" t="str">
        <f>IFERROR(INDEX(tblPessoas[Base],MATCH(E29,tblPessoas[ID],0)),"")</f>
        <v/>
      </c>
      <c r="N29" s="3">
        <f>IFERROR(IF(D29="DIA ÚTIL",INDEX(tblPessoas[R$/h útil],MATCH(E29,tblPessoas[ID],0)),INDEX(tblPessoas[R$/h FDS],MATCH(E29,tblPessoas[ID],0))),0)</f>
        <v>0</v>
      </c>
      <c r="O29" s="3">
        <f>IFERROR(INDEX(tblPessoas[R$/diária],MATCH(E29,tblPessoas[ID],0)),0)</f>
        <v>0</v>
      </c>
      <c r="P29" s="3" t="str">
        <f t="shared" si="2"/>
        <v/>
      </c>
      <c r="Q29" t="str">
        <f>IF(A29="","",IF(COUNTIF(tblBatidas[Início vinculado],"B"&amp;MID($A29,2,99))=0,"EM ABERTO",IF(OR(COUNTIF(tblBatidas[Início vinculado],"B"&amp;MID($A29,2,99))&gt;1,K29&lt;0,K29&gt;16,INT(INDEX(tblBatidas[Data e hora],MATCH("B"&amp;MID($A29,2,99),tblBatidas[Início vinculado],0)))&lt;&gt;B29,INDEX(tblBatidas[ID],MATCH("B"&amp;MID($A29,2,99),tblBatidas[Início vinculado],0))&lt;&gt;E29,INDEX(tblBatidas[Projeto],MATCH("B"&amp;MID($A29,2,99),tblBatidas[Início vinculado],0))&lt;&gt;G29,INDEX(tblBatidas[Atividade],MATCH("B"&amp;MID($A29,2,99),tblBatidas[Início vinculado],0))&lt;&gt;H29),"REVISAR","CONCLUÍDO")))</f>
        <v/>
      </c>
      <c r="R29">
        <f>IF(Q29&lt;&gt;"CONCLUÍDO",0,IF(COUNTIFS($E$5:E29,E29,$B$5:B29,B29,$Q$5:Q29,"CONCLUÍDO")=1,1,0))</f>
        <v>0</v>
      </c>
      <c r="S29" t="str">
        <f t="shared" si="3"/>
        <v/>
      </c>
      <c r="T29" t="str">
        <f>IF(E29="","",E29*100000+COUNTIFS(tblRegistros[ID],E29,tblRegistros[Data],"&lt;"&amp;B29)+COUNTIFS(tblRegistros[ID],E29,tblRegistros[Data],B29,tblRegistros[Início],"&lt;"&amp;I29)+COUNTIFS($E$5:E29,E29,$B$5:B29,B29,$I$5:I29,I29))</f>
        <v/>
      </c>
    </row>
    <row r="30" spans="2:20">
      <c r="B30" s="2" t="str">
        <f>IFERROR(INT(INDEX(tblBatidas[Data e hora],MATCH("B"&amp;MID($A30,2,99),tblBatidas[Batida ID],0))),"")</f>
        <v/>
      </c>
      <c r="C30" t="str">
        <f t="shared" si="0"/>
        <v/>
      </c>
      <c r="D30" t="str">
        <f t="shared" si="1"/>
        <v/>
      </c>
      <c r="E30" t="str">
        <f>IFERROR(INDEX(tblBatidas[ID],MATCH("B"&amp;MID($A30,2,99),tblBatidas[Batida ID],0)),"")</f>
        <v/>
      </c>
      <c r="F30" t="str">
        <f>IFERROR(INDEX(tblPessoas[Pessoa],MATCH(E30,tblPessoas[ID],0)),"")</f>
        <v/>
      </c>
      <c r="G30" t="str">
        <f>IFERROR(INDEX(tblBatidas[Projeto],MATCH("B"&amp;MID($A30,2,99),tblBatidas[Batida ID],0)),"")</f>
        <v/>
      </c>
      <c r="H30" t="str">
        <f>IFERROR(INDEX(tblBatidas[Atividade],MATCH("B"&amp;MID($A30,2,99),tblBatidas[Batida ID],0)),"")</f>
        <v/>
      </c>
      <c r="I30" s="4" t="str">
        <f>IFERROR(MOD(INDEX(tblBatidas[Data e hora],MATCH("B"&amp;MID($A30,2,99),tblBatidas[Batida ID],0)),1),"")</f>
        <v/>
      </c>
      <c r="J30" s="4" t="str">
        <f>IFERROR(MOD(INDEX(tblBatidas[Data e hora],MATCH("B"&amp;MID($A30,2,99),tblBatidas[Início vinculado],0)),1),"")</f>
        <v/>
      </c>
      <c r="K30" s="14" t="str">
        <f>IFERROR((INDEX(tblBatidas[Data e hora],MATCH("B"&amp;MID($A30,2,99),tblBatidas[Início vinculado],0))-INDEX(tblBatidas[Data e hora],MATCH("B"&amp;MID($A30,2,99),tblBatidas[Batida ID],0)))*24,"")</f>
        <v/>
      </c>
      <c r="L30" t="str">
        <f>IFERROR(INDEX(tblBatidas[Observação],MATCH("B"&amp;MID($A30,2,99),tblBatidas[Início vinculado],0)),"")</f>
        <v/>
      </c>
      <c r="M30" t="str">
        <f>IFERROR(INDEX(tblPessoas[Base],MATCH(E30,tblPessoas[ID],0)),"")</f>
        <v/>
      </c>
      <c r="N30" s="3">
        <f>IFERROR(IF(D30="DIA ÚTIL",INDEX(tblPessoas[R$/h útil],MATCH(E30,tblPessoas[ID],0)),INDEX(tblPessoas[R$/h FDS],MATCH(E30,tblPessoas[ID],0))),0)</f>
        <v>0</v>
      </c>
      <c r="O30" s="3">
        <f>IFERROR(INDEX(tblPessoas[R$/diária],MATCH(E30,tblPessoas[ID],0)),0)</f>
        <v>0</v>
      </c>
      <c r="P30" s="3" t="str">
        <f t="shared" si="2"/>
        <v/>
      </c>
      <c r="Q30" t="str">
        <f>IF(A30="","",IF(COUNTIF(tblBatidas[Início vinculado],"B"&amp;MID($A30,2,99))=0,"EM ABERTO",IF(OR(COUNTIF(tblBatidas[Início vinculado],"B"&amp;MID($A30,2,99))&gt;1,K30&lt;0,K30&gt;16,INT(INDEX(tblBatidas[Data e hora],MATCH("B"&amp;MID($A30,2,99),tblBatidas[Início vinculado],0)))&lt;&gt;B30,INDEX(tblBatidas[ID],MATCH("B"&amp;MID($A30,2,99),tblBatidas[Início vinculado],0))&lt;&gt;E30,INDEX(tblBatidas[Projeto],MATCH("B"&amp;MID($A30,2,99),tblBatidas[Início vinculado],0))&lt;&gt;G30,INDEX(tblBatidas[Atividade],MATCH("B"&amp;MID($A30,2,99),tblBatidas[Início vinculado],0))&lt;&gt;H30),"REVISAR","CONCLUÍDO")))</f>
        <v/>
      </c>
      <c r="R30">
        <f>IF(Q30&lt;&gt;"CONCLUÍDO",0,IF(COUNTIFS($E$5:E30,E30,$B$5:B30,B30,$Q$5:Q30,"CONCLUÍDO")=1,1,0))</f>
        <v>0</v>
      </c>
      <c r="S30" t="str">
        <f t="shared" si="3"/>
        <v/>
      </c>
      <c r="T30" t="str">
        <f>IF(E30="","",E30*100000+COUNTIFS(tblRegistros[ID],E30,tblRegistros[Data],"&lt;"&amp;B30)+COUNTIFS(tblRegistros[ID],E30,tblRegistros[Data],B30,tblRegistros[Início],"&lt;"&amp;I30)+COUNTIFS($E$5:E30,E30,$B$5:B30,B30,$I$5:I30,I30))</f>
        <v/>
      </c>
    </row>
    <row r="31" spans="2:20">
      <c r="B31" s="2" t="str">
        <f>IFERROR(INT(INDEX(tblBatidas[Data e hora],MATCH("B"&amp;MID($A31,2,99),tblBatidas[Batida ID],0))),"")</f>
        <v/>
      </c>
      <c r="C31" t="str">
        <f t="shared" si="0"/>
        <v/>
      </c>
      <c r="D31" t="str">
        <f t="shared" si="1"/>
        <v/>
      </c>
      <c r="E31" t="str">
        <f>IFERROR(INDEX(tblBatidas[ID],MATCH("B"&amp;MID($A31,2,99),tblBatidas[Batida ID],0)),"")</f>
        <v/>
      </c>
      <c r="F31" t="str">
        <f>IFERROR(INDEX(tblPessoas[Pessoa],MATCH(E31,tblPessoas[ID],0)),"")</f>
        <v/>
      </c>
      <c r="G31" t="str">
        <f>IFERROR(INDEX(tblBatidas[Projeto],MATCH("B"&amp;MID($A31,2,99),tblBatidas[Batida ID],0)),"")</f>
        <v/>
      </c>
      <c r="H31" t="str">
        <f>IFERROR(INDEX(tblBatidas[Atividade],MATCH("B"&amp;MID($A31,2,99),tblBatidas[Batida ID],0)),"")</f>
        <v/>
      </c>
      <c r="I31" s="4" t="str">
        <f>IFERROR(MOD(INDEX(tblBatidas[Data e hora],MATCH("B"&amp;MID($A31,2,99),tblBatidas[Batida ID],0)),1),"")</f>
        <v/>
      </c>
      <c r="J31" s="4" t="str">
        <f>IFERROR(MOD(INDEX(tblBatidas[Data e hora],MATCH("B"&amp;MID($A31,2,99),tblBatidas[Início vinculado],0)),1),"")</f>
        <v/>
      </c>
      <c r="K31" s="14" t="str">
        <f>IFERROR((INDEX(tblBatidas[Data e hora],MATCH("B"&amp;MID($A31,2,99),tblBatidas[Início vinculado],0))-INDEX(tblBatidas[Data e hora],MATCH("B"&amp;MID($A31,2,99),tblBatidas[Batida ID],0)))*24,"")</f>
        <v/>
      </c>
      <c r="L31" t="str">
        <f>IFERROR(INDEX(tblBatidas[Observação],MATCH("B"&amp;MID($A31,2,99),tblBatidas[Início vinculado],0)),"")</f>
        <v/>
      </c>
      <c r="M31" t="str">
        <f>IFERROR(INDEX(tblPessoas[Base],MATCH(E31,tblPessoas[ID],0)),"")</f>
        <v/>
      </c>
      <c r="N31" s="3">
        <f>IFERROR(IF(D31="DIA ÚTIL",INDEX(tblPessoas[R$/h útil],MATCH(E31,tblPessoas[ID],0)),INDEX(tblPessoas[R$/h FDS],MATCH(E31,tblPessoas[ID],0))),0)</f>
        <v>0</v>
      </c>
      <c r="O31" s="3">
        <f>IFERROR(INDEX(tblPessoas[R$/diária],MATCH(E31,tblPessoas[ID],0)),0)</f>
        <v>0</v>
      </c>
      <c r="P31" s="3" t="str">
        <f t="shared" si="2"/>
        <v/>
      </c>
      <c r="Q31" t="str">
        <f>IF(A31="","",IF(COUNTIF(tblBatidas[Início vinculado],"B"&amp;MID($A31,2,99))=0,"EM ABERTO",IF(OR(COUNTIF(tblBatidas[Início vinculado],"B"&amp;MID($A31,2,99))&gt;1,K31&lt;0,K31&gt;16,INT(INDEX(tblBatidas[Data e hora],MATCH("B"&amp;MID($A31,2,99),tblBatidas[Início vinculado],0)))&lt;&gt;B31,INDEX(tblBatidas[ID],MATCH("B"&amp;MID($A31,2,99),tblBatidas[Início vinculado],0))&lt;&gt;E31,INDEX(tblBatidas[Projeto],MATCH("B"&amp;MID($A31,2,99),tblBatidas[Início vinculado],0))&lt;&gt;G31,INDEX(tblBatidas[Atividade],MATCH("B"&amp;MID($A31,2,99),tblBatidas[Início vinculado],0))&lt;&gt;H31),"REVISAR","CONCLUÍDO")))</f>
        <v/>
      </c>
      <c r="R31">
        <f>IF(Q31&lt;&gt;"CONCLUÍDO",0,IF(COUNTIFS($E$5:E31,E31,$B$5:B31,B31,$Q$5:Q31,"CONCLUÍDO")=1,1,0))</f>
        <v>0</v>
      </c>
      <c r="S31" t="str">
        <f t="shared" si="3"/>
        <v/>
      </c>
      <c r="T31" t="str">
        <f>IF(E31="","",E31*100000+COUNTIFS(tblRegistros[ID],E31,tblRegistros[Data],"&lt;"&amp;B31)+COUNTIFS(tblRegistros[ID],E31,tblRegistros[Data],B31,tblRegistros[Início],"&lt;"&amp;I31)+COUNTIFS($E$5:E31,E31,$B$5:B31,B31,$I$5:I31,I31))</f>
        <v/>
      </c>
    </row>
    <row r="32" spans="2:20">
      <c r="B32" s="2" t="str">
        <f>IFERROR(INT(INDEX(tblBatidas[Data e hora],MATCH("B"&amp;MID($A32,2,99),tblBatidas[Batida ID],0))),"")</f>
        <v/>
      </c>
      <c r="C32" t="str">
        <f t="shared" si="0"/>
        <v/>
      </c>
      <c r="D32" t="str">
        <f t="shared" si="1"/>
        <v/>
      </c>
      <c r="E32" t="str">
        <f>IFERROR(INDEX(tblBatidas[ID],MATCH("B"&amp;MID($A32,2,99),tblBatidas[Batida ID],0)),"")</f>
        <v/>
      </c>
      <c r="F32" t="str">
        <f>IFERROR(INDEX(tblPessoas[Pessoa],MATCH(E32,tblPessoas[ID],0)),"")</f>
        <v/>
      </c>
      <c r="G32" t="str">
        <f>IFERROR(INDEX(tblBatidas[Projeto],MATCH("B"&amp;MID($A32,2,99),tblBatidas[Batida ID],0)),"")</f>
        <v/>
      </c>
      <c r="H32" t="str">
        <f>IFERROR(INDEX(tblBatidas[Atividade],MATCH("B"&amp;MID($A32,2,99),tblBatidas[Batida ID],0)),"")</f>
        <v/>
      </c>
      <c r="I32" s="4" t="str">
        <f>IFERROR(MOD(INDEX(tblBatidas[Data e hora],MATCH("B"&amp;MID($A32,2,99),tblBatidas[Batida ID],0)),1),"")</f>
        <v/>
      </c>
      <c r="J32" s="4" t="str">
        <f>IFERROR(MOD(INDEX(tblBatidas[Data e hora],MATCH("B"&amp;MID($A32,2,99),tblBatidas[Início vinculado],0)),1),"")</f>
        <v/>
      </c>
      <c r="K32" s="14" t="str">
        <f>IFERROR((INDEX(tblBatidas[Data e hora],MATCH("B"&amp;MID($A32,2,99),tblBatidas[Início vinculado],0))-INDEX(tblBatidas[Data e hora],MATCH("B"&amp;MID($A32,2,99),tblBatidas[Batida ID],0)))*24,"")</f>
        <v/>
      </c>
      <c r="L32" t="str">
        <f>IFERROR(INDEX(tblBatidas[Observação],MATCH("B"&amp;MID($A32,2,99),tblBatidas[Início vinculado],0)),"")</f>
        <v/>
      </c>
      <c r="M32" t="str">
        <f>IFERROR(INDEX(tblPessoas[Base],MATCH(E32,tblPessoas[ID],0)),"")</f>
        <v/>
      </c>
      <c r="N32" s="3">
        <f>IFERROR(IF(D32="DIA ÚTIL",INDEX(tblPessoas[R$/h útil],MATCH(E32,tblPessoas[ID],0)),INDEX(tblPessoas[R$/h FDS],MATCH(E32,tblPessoas[ID],0))),0)</f>
        <v>0</v>
      </c>
      <c r="O32" s="3">
        <f>IFERROR(INDEX(tblPessoas[R$/diária],MATCH(E32,tblPessoas[ID],0)),0)</f>
        <v>0</v>
      </c>
      <c r="P32" s="3" t="str">
        <f t="shared" si="2"/>
        <v/>
      </c>
      <c r="Q32" t="str">
        <f>IF(A32="","",IF(COUNTIF(tblBatidas[Início vinculado],"B"&amp;MID($A32,2,99))=0,"EM ABERTO",IF(OR(COUNTIF(tblBatidas[Início vinculado],"B"&amp;MID($A32,2,99))&gt;1,K32&lt;0,K32&gt;16,INT(INDEX(tblBatidas[Data e hora],MATCH("B"&amp;MID($A32,2,99),tblBatidas[Início vinculado],0)))&lt;&gt;B32,INDEX(tblBatidas[ID],MATCH("B"&amp;MID($A32,2,99),tblBatidas[Início vinculado],0))&lt;&gt;E32,INDEX(tblBatidas[Projeto],MATCH("B"&amp;MID($A32,2,99),tblBatidas[Início vinculado],0))&lt;&gt;G32,INDEX(tblBatidas[Atividade],MATCH("B"&amp;MID($A32,2,99),tblBatidas[Início vinculado],0))&lt;&gt;H32),"REVISAR","CONCLUÍDO")))</f>
        <v/>
      </c>
      <c r="R32">
        <f>IF(Q32&lt;&gt;"CONCLUÍDO",0,IF(COUNTIFS($E$5:E32,E32,$B$5:B32,B32,$Q$5:Q32,"CONCLUÍDO")=1,1,0))</f>
        <v>0</v>
      </c>
      <c r="S32" t="str">
        <f t="shared" si="3"/>
        <v/>
      </c>
      <c r="T32" t="str">
        <f>IF(E32="","",E32*100000+COUNTIFS(tblRegistros[ID],E32,tblRegistros[Data],"&lt;"&amp;B32)+COUNTIFS(tblRegistros[ID],E32,tblRegistros[Data],B32,tblRegistros[Início],"&lt;"&amp;I32)+COUNTIFS($E$5:E32,E32,$B$5:B32,B32,$I$5:I32,I32))</f>
        <v/>
      </c>
    </row>
    <row r="33" spans="2:20">
      <c r="B33" s="2" t="str">
        <f>IFERROR(INT(INDEX(tblBatidas[Data e hora],MATCH("B"&amp;MID($A33,2,99),tblBatidas[Batida ID],0))),"")</f>
        <v/>
      </c>
      <c r="C33" t="str">
        <f t="shared" si="0"/>
        <v/>
      </c>
      <c r="D33" t="str">
        <f t="shared" si="1"/>
        <v/>
      </c>
      <c r="E33" t="str">
        <f>IFERROR(INDEX(tblBatidas[ID],MATCH("B"&amp;MID($A33,2,99),tblBatidas[Batida ID],0)),"")</f>
        <v/>
      </c>
      <c r="F33" t="str">
        <f>IFERROR(INDEX(tblPessoas[Pessoa],MATCH(E33,tblPessoas[ID],0)),"")</f>
        <v/>
      </c>
      <c r="G33" t="str">
        <f>IFERROR(INDEX(tblBatidas[Projeto],MATCH("B"&amp;MID($A33,2,99),tblBatidas[Batida ID],0)),"")</f>
        <v/>
      </c>
      <c r="H33" t="str">
        <f>IFERROR(INDEX(tblBatidas[Atividade],MATCH("B"&amp;MID($A33,2,99),tblBatidas[Batida ID],0)),"")</f>
        <v/>
      </c>
      <c r="I33" s="4" t="str">
        <f>IFERROR(MOD(INDEX(tblBatidas[Data e hora],MATCH("B"&amp;MID($A33,2,99),tblBatidas[Batida ID],0)),1),"")</f>
        <v/>
      </c>
      <c r="J33" s="4" t="str">
        <f>IFERROR(MOD(INDEX(tblBatidas[Data e hora],MATCH("B"&amp;MID($A33,2,99),tblBatidas[Início vinculado],0)),1),"")</f>
        <v/>
      </c>
      <c r="K33" s="14" t="str">
        <f>IFERROR((INDEX(tblBatidas[Data e hora],MATCH("B"&amp;MID($A33,2,99),tblBatidas[Início vinculado],0))-INDEX(tblBatidas[Data e hora],MATCH("B"&amp;MID($A33,2,99),tblBatidas[Batida ID],0)))*24,"")</f>
        <v/>
      </c>
      <c r="L33" t="str">
        <f>IFERROR(INDEX(tblBatidas[Observação],MATCH("B"&amp;MID($A33,2,99),tblBatidas[Início vinculado],0)),"")</f>
        <v/>
      </c>
      <c r="M33" t="str">
        <f>IFERROR(INDEX(tblPessoas[Base],MATCH(E33,tblPessoas[ID],0)),"")</f>
        <v/>
      </c>
      <c r="N33" s="3">
        <f>IFERROR(IF(D33="DIA ÚTIL",INDEX(tblPessoas[R$/h útil],MATCH(E33,tblPessoas[ID],0)),INDEX(tblPessoas[R$/h FDS],MATCH(E33,tblPessoas[ID],0))),0)</f>
        <v>0</v>
      </c>
      <c r="O33" s="3">
        <f>IFERROR(INDEX(tblPessoas[R$/diária],MATCH(E33,tblPessoas[ID],0)),0)</f>
        <v>0</v>
      </c>
      <c r="P33" s="3" t="str">
        <f t="shared" si="2"/>
        <v/>
      </c>
      <c r="Q33" t="str">
        <f>IF(A33="","",IF(COUNTIF(tblBatidas[Início vinculado],"B"&amp;MID($A33,2,99))=0,"EM ABERTO",IF(OR(COUNTIF(tblBatidas[Início vinculado],"B"&amp;MID($A33,2,99))&gt;1,K33&lt;0,K33&gt;16,INT(INDEX(tblBatidas[Data e hora],MATCH("B"&amp;MID($A33,2,99),tblBatidas[Início vinculado],0)))&lt;&gt;B33,INDEX(tblBatidas[ID],MATCH("B"&amp;MID($A33,2,99),tblBatidas[Início vinculado],0))&lt;&gt;E33,INDEX(tblBatidas[Projeto],MATCH("B"&amp;MID($A33,2,99),tblBatidas[Início vinculado],0))&lt;&gt;G33,INDEX(tblBatidas[Atividade],MATCH("B"&amp;MID($A33,2,99),tblBatidas[Início vinculado],0))&lt;&gt;H33),"REVISAR","CONCLUÍDO")))</f>
        <v/>
      </c>
      <c r="R33">
        <f>IF(Q33&lt;&gt;"CONCLUÍDO",0,IF(COUNTIFS($E$5:E33,E33,$B$5:B33,B33,$Q$5:Q33,"CONCLUÍDO")=1,1,0))</f>
        <v>0</v>
      </c>
      <c r="S33" t="str">
        <f t="shared" si="3"/>
        <v/>
      </c>
      <c r="T33" t="str">
        <f>IF(E33="","",E33*100000+COUNTIFS(tblRegistros[ID],E33,tblRegistros[Data],"&lt;"&amp;B33)+COUNTIFS(tblRegistros[ID],E33,tblRegistros[Data],B33,tblRegistros[Início],"&lt;"&amp;I33)+COUNTIFS($E$5:E33,E33,$B$5:B33,B33,$I$5:I33,I33))</f>
        <v/>
      </c>
    </row>
    <row r="34" spans="2:20">
      <c r="B34" s="2" t="str">
        <f>IFERROR(INT(INDEX(tblBatidas[Data e hora],MATCH("B"&amp;MID($A34,2,99),tblBatidas[Batida ID],0))),"")</f>
        <v/>
      </c>
      <c r="C34" t="str">
        <f t="shared" si="0"/>
        <v/>
      </c>
      <c r="D34" t="str">
        <f t="shared" si="1"/>
        <v/>
      </c>
      <c r="E34" t="str">
        <f>IFERROR(INDEX(tblBatidas[ID],MATCH("B"&amp;MID($A34,2,99),tblBatidas[Batida ID],0)),"")</f>
        <v/>
      </c>
      <c r="F34" t="str">
        <f>IFERROR(INDEX(tblPessoas[Pessoa],MATCH(E34,tblPessoas[ID],0)),"")</f>
        <v/>
      </c>
      <c r="G34" t="str">
        <f>IFERROR(INDEX(tblBatidas[Projeto],MATCH("B"&amp;MID($A34,2,99),tblBatidas[Batida ID],0)),"")</f>
        <v/>
      </c>
      <c r="H34" t="str">
        <f>IFERROR(INDEX(tblBatidas[Atividade],MATCH("B"&amp;MID($A34,2,99),tblBatidas[Batida ID],0)),"")</f>
        <v/>
      </c>
      <c r="I34" s="4" t="str">
        <f>IFERROR(MOD(INDEX(tblBatidas[Data e hora],MATCH("B"&amp;MID($A34,2,99),tblBatidas[Batida ID],0)),1),"")</f>
        <v/>
      </c>
      <c r="J34" s="4" t="str">
        <f>IFERROR(MOD(INDEX(tblBatidas[Data e hora],MATCH("B"&amp;MID($A34,2,99),tblBatidas[Início vinculado],0)),1),"")</f>
        <v/>
      </c>
      <c r="K34" s="14" t="str">
        <f>IFERROR((INDEX(tblBatidas[Data e hora],MATCH("B"&amp;MID($A34,2,99),tblBatidas[Início vinculado],0))-INDEX(tblBatidas[Data e hora],MATCH("B"&amp;MID($A34,2,99),tblBatidas[Batida ID],0)))*24,"")</f>
        <v/>
      </c>
      <c r="L34" t="str">
        <f>IFERROR(INDEX(tblBatidas[Observação],MATCH("B"&amp;MID($A34,2,99),tblBatidas[Início vinculado],0)),"")</f>
        <v/>
      </c>
      <c r="M34" t="str">
        <f>IFERROR(INDEX(tblPessoas[Base],MATCH(E34,tblPessoas[ID],0)),"")</f>
        <v/>
      </c>
      <c r="N34" s="3">
        <f>IFERROR(IF(D34="DIA ÚTIL",INDEX(tblPessoas[R$/h útil],MATCH(E34,tblPessoas[ID],0)),INDEX(tblPessoas[R$/h FDS],MATCH(E34,tblPessoas[ID],0))),0)</f>
        <v>0</v>
      </c>
      <c r="O34" s="3">
        <f>IFERROR(INDEX(tblPessoas[R$/diária],MATCH(E34,tblPessoas[ID],0)),0)</f>
        <v>0</v>
      </c>
      <c r="P34" s="3" t="str">
        <f t="shared" si="2"/>
        <v/>
      </c>
      <c r="Q34" t="str">
        <f>IF(A34="","",IF(COUNTIF(tblBatidas[Início vinculado],"B"&amp;MID($A34,2,99))=0,"EM ABERTO",IF(OR(COUNTIF(tblBatidas[Início vinculado],"B"&amp;MID($A34,2,99))&gt;1,K34&lt;0,K34&gt;16,INT(INDEX(tblBatidas[Data e hora],MATCH("B"&amp;MID($A34,2,99),tblBatidas[Início vinculado],0)))&lt;&gt;B34,INDEX(tblBatidas[ID],MATCH("B"&amp;MID($A34,2,99),tblBatidas[Início vinculado],0))&lt;&gt;E34,INDEX(tblBatidas[Projeto],MATCH("B"&amp;MID($A34,2,99),tblBatidas[Início vinculado],0))&lt;&gt;G34,INDEX(tblBatidas[Atividade],MATCH("B"&amp;MID($A34,2,99),tblBatidas[Início vinculado],0))&lt;&gt;H34),"REVISAR","CONCLUÍDO")))</f>
        <v/>
      </c>
      <c r="R34">
        <f>IF(Q34&lt;&gt;"CONCLUÍDO",0,IF(COUNTIFS($E$5:E34,E34,$B$5:B34,B34,$Q$5:Q34,"CONCLUÍDO")=1,1,0))</f>
        <v>0</v>
      </c>
      <c r="S34" t="str">
        <f t="shared" si="3"/>
        <v/>
      </c>
      <c r="T34" t="str">
        <f>IF(E34="","",E34*100000+COUNTIFS(tblRegistros[ID],E34,tblRegistros[Data],"&lt;"&amp;B34)+COUNTIFS(tblRegistros[ID],E34,tblRegistros[Data],B34,tblRegistros[Início],"&lt;"&amp;I34)+COUNTIFS($E$5:E34,E34,$B$5:B34,B34,$I$5:I34,I34))</f>
        <v/>
      </c>
    </row>
    <row r="35" spans="2:20">
      <c r="B35" s="2" t="str">
        <f>IFERROR(INT(INDEX(tblBatidas[Data e hora],MATCH("B"&amp;MID($A35,2,99),tblBatidas[Batida ID],0))),"")</f>
        <v/>
      </c>
      <c r="C35" t="str">
        <f t="shared" si="0"/>
        <v/>
      </c>
      <c r="D35" t="str">
        <f t="shared" si="1"/>
        <v/>
      </c>
      <c r="E35" t="str">
        <f>IFERROR(INDEX(tblBatidas[ID],MATCH("B"&amp;MID($A35,2,99),tblBatidas[Batida ID],0)),"")</f>
        <v/>
      </c>
      <c r="F35" t="str">
        <f>IFERROR(INDEX(tblPessoas[Pessoa],MATCH(E35,tblPessoas[ID],0)),"")</f>
        <v/>
      </c>
      <c r="G35" t="str">
        <f>IFERROR(INDEX(tblBatidas[Projeto],MATCH("B"&amp;MID($A35,2,99),tblBatidas[Batida ID],0)),"")</f>
        <v/>
      </c>
      <c r="H35" t="str">
        <f>IFERROR(INDEX(tblBatidas[Atividade],MATCH("B"&amp;MID($A35,2,99),tblBatidas[Batida ID],0)),"")</f>
        <v/>
      </c>
      <c r="I35" s="4" t="str">
        <f>IFERROR(MOD(INDEX(tblBatidas[Data e hora],MATCH("B"&amp;MID($A35,2,99),tblBatidas[Batida ID],0)),1),"")</f>
        <v/>
      </c>
      <c r="J35" s="4" t="str">
        <f>IFERROR(MOD(INDEX(tblBatidas[Data e hora],MATCH("B"&amp;MID($A35,2,99),tblBatidas[Início vinculado],0)),1),"")</f>
        <v/>
      </c>
      <c r="K35" s="14" t="str">
        <f>IFERROR((INDEX(tblBatidas[Data e hora],MATCH("B"&amp;MID($A35,2,99),tblBatidas[Início vinculado],0))-INDEX(tblBatidas[Data e hora],MATCH("B"&amp;MID($A35,2,99),tblBatidas[Batida ID],0)))*24,"")</f>
        <v/>
      </c>
      <c r="L35" t="str">
        <f>IFERROR(INDEX(tblBatidas[Observação],MATCH("B"&amp;MID($A35,2,99),tblBatidas[Início vinculado],0)),"")</f>
        <v/>
      </c>
      <c r="M35" t="str">
        <f>IFERROR(INDEX(tblPessoas[Base],MATCH(E35,tblPessoas[ID],0)),"")</f>
        <v/>
      </c>
      <c r="N35" s="3">
        <f>IFERROR(IF(D35="DIA ÚTIL",INDEX(tblPessoas[R$/h útil],MATCH(E35,tblPessoas[ID],0)),INDEX(tblPessoas[R$/h FDS],MATCH(E35,tblPessoas[ID],0))),0)</f>
        <v>0</v>
      </c>
      <c r="O35" s="3">
        <f>IFERROR(INDEX(tblPessoas[R$/diária],MATCH(E35,tblPessoas[ID],0)),0)</f>
        <v>0</v>
      </c>
      <c r="P35" s="3" t="str">
        <f t="shared" si="2"/>
        <v/>
      </c>
      <c r="Q35" t="str">
        <f>IF(A35="","",IF(COUNTIF(tblBatidas[Início vinculado],"B"&amp;MID($A35,2,99))=0,"EM ABERTO",IF(OR(COUNTIF(tblBatidas[Início vinculado],"B"&amp;MID($A35,2,99))&gt;1,K35&lt;0,K35&gt;16,INT(INDEX(tblBatidas[Data e hora],MATCH("B"&amp;MID($A35,2,99),tblBatidas[Início vinculado],0)))&lt;&gt;B35,INDEX(tblBatidas[ID],MATCH("B"&amp;MID($A35,2,99),tblBatidas[Início vinculado],0))&lt;&gt;E35,INDEX(tblBatidas[Projeto],MATCH("B"&amp;MID($A35,2,99),tblBatidas[Início vinculado],0))&lt;&gt;G35,INDEX(tblBatidas[Atividade],MATCH("B"&amp;MID($A35,2,99),tblBatidas[Início vinculado],0))&lt;&gt;H35),"REVISAR","CONCLUÍDO")))</f>
        <v/>
      </c>
      <c r="R35">
        <f>IF(Q35&lt;&gt;"CONCLUÍDO",0,IF(COUNTIFS($E$5:E35,E35,$B$5:B35,B35,$Q$5:Q35,"CONCLUÍDO")=1,1,0))</f>
        <v>0</v>
      </c>
      <c r="S35" t="str">
        <f t="shared" si="3"/>
        <v/>
      </c>
      <c r="T35" t="str">
        <f>IF(E35="","",E35*100000+COUNTIFS(tblRegistros[ID],E35,tblRegistros[Data],"&lt;"&amp;B35)+COUNTIFS(tblRegistros[ID],E35,tblRegistros[Data],B35,tblRegistros[Início],"&lt;"&amp;I35)+COUNTIFS($E$5:E35,E35,$B$5:B35,B35,$I$5:I35,I35))</f>
        <v/>
      </c>
    </row>
    <row r="36" spans="2:20">
      <c r="B36" s="2" t="str">
        <f>IFERROR(INT(INDEX(tblBatidas[Data e hora],MATCH("B"&amp;MID($A36,2,99),tblBatidas[Batida ID],0))),"")</f>
        <v/>
      </c>
      <c r="C36" t="str">
        <f t="shared" si="0"/>
        <v/>
      </c>
      <c r="D36" t="str">
        <f t="shared" si="1"/>
        <v/>
      </c>
      <c r="E36" t="str">
        <f>IFERROR(INDEX(tblBatidas[ID],MATCH("B"&amp;MID($A36,2,99),tblBatidas[Batida ID],0)),"")</f>
        <v/>
      </c>
      <c r="F36" t="str">
        <f>IFERROR(INDEX(tblPessoas[Pessoa],MATCH(E36,tblPessoas[ID],0)),"")</f>
        <v/>
      </c>
      <c r="G36" t="str">
        <f>IFERROR(INDEX(tblBatidas[Projeto],MATCH("B"&amp;MID($A36,2,99),tblBatidas[Batida ID],0)),"")</f>
        <v/>
      </c>
      <c r="H36" t="str">
        <f>IFERROR(INDEX(tblBatidas[Atividade],MATCH("B"&amp;MID($A36,2,99),tblBatidas[Batida ID],0)),"")</f>
        <v/>
      </c>
      <c r="I36" s="4" t="str">
        <f>IFERROR(MOD(INDEX(tblBatidas[Data e hora],MATCH("B"&amp;MID($A36,2,99),tblBatidas[Batida ID],0)),1),"")</f>
        <v/>
      </c>
      <c r="J36" s="4" t="str">
        <f>IFERROR(MOD(INDEX(tblBatidas[Data e hora],MATCH("B"&amp;MID($A36,2,99),tblBatidas[Início vinculado],0)),1),"")</f>
        <v/>
      </c>
      <c r="K36" s="14" t="str">
        <f>IFERROR((INDEX(tblBatidas[Data e hora],MATCH("B"&amp;MID($A36,2,99),tblBatidas[Início vinculado],0))-INDEX(tblBatidas[Data e hora],MATCH("B"&amp;MID($A36,2,99),tblBatidas[Batida ID],0)))*24,"")</f>
        <v/>
      </c>
      <c r="L36" t="str">
        <f>IFERROR(INDEX(tblBatidas[Observação],MATCH("B"&amp;MID($A36,2,99),tblBatidas[Início vinculado],0)),"")</f>
        <v/>
      </c>
      <c r="M36" t="str">
        <f>IFERROR(INDEX(tblPessoas[Base],MATCH(E36,tblPessoas[ID],0)),"")</f>
        <v/>
      </c>
      <c r="N36" s="3">
        <f>IFERROR(IF(D36="DIA ÚTIL",INDEX(tblPessoas[R$/h útil],MATCH(E36,tblPessoas[ID],0)),INDEX(tblPessoas[R$/h FDS],MATCH(E36,tblPessoas[ID],0))),0)</f>
        <v>0</v>
      </c>
      <c r="O36" s="3">
        <f>IFERROR(INDEX(tblPessoas[R$/diária],MATCH(E36,tblPessoas[ID],0)),0)</f>
        <v>0</v>
      </c>
      <c r="P36" s="3" t="str">
        <f t="shared" si="2"/>
        <v/>
      </c>
      <c r="Q36" t="str">
        <f>IF(A36="","",IF(COUNTIF(tblBatidas[Início vinculado],"B"&amp;MID($A36,2,99))=0,"EM ABERTO",IF(OR(COUNTIF(tblBatidas[Início vinculado],"B"&amp;MID($A36,2,99))&gt;1,K36&lt;0,K36&gt;16,INT(INDEX(tblBatidas[Data e hora],MATCH("B"&amp;MID($A36,2,99),tblBatidas[Início vinculado],0)))&lt;&gt;B36,INDEX(tblBatidas[ID],MATCH("B"&amp;MID($A36,2,99),tblBatidas[Início vinculado],0))&lt;&gt;E36,INDEX(tblBatidas[Projeto],MATCH("B"&amp;MID($A36,2,99),tblBatidas[Início vinculado],0))&lt;&gt;G36,INDEX(tblBatidas[Atividade],MATCH("B"&amp;MID($A36,2,99),tblBatidas[Início vinculado],0))&lt;&gt;H36),"REVISAR","CONCLUÍDO")))</f>
        <v/>
      </c>
      <c r="R36">
        <f>IF(Q36&lt;&gt;"CONCLUÍDO",0,IF(COUNTIFS($E$5:E36,E36,$B$5:B36,B36,$Q$5:Q36,"CONCLUÍDO")=1,1,0))</f>
        <v>0</v>
      </c>
      <c r="S36" t="str">
        <f t="shared" si="3"/>
        <v/>
      </c>
      <c r="T36" t="str">
        <f>IF(E36="","",E36*100000+COUNTIFS(tblRegistros[ID],E36,tblRegistros[Data],"&lt;"&amp;B36)+COUNTIFS(tblRegistros[ID],E36,tblRegistros[Data],B36,tblRegistros[Início],"&lt;"&amp;I36)+COUNTIFS($E$5:E36,E36,$B$5:B36,B36,$I$5:I36,I36))</f>
        <v/>
      </c>
    </row>
    <row r="37" spans="2:20">
      <c r="B37" s="2" t="str">
        <f>IFERROR(INT(INDEX(tblBatidas[Data e hora],MATCH("B"&amp;MID($A37,2,99),tblBatidas[Batida ID],0))),"")</f>
        <v/>
      </c>
      <c r="C37" t="str">
        <f t="shared" si="0"/>
        <v/>
      </c>
      <c r="D37" t="str">
        <f t="shared" si="1"/>
        <v/>
      </c>
      <c r="E37" t="str">
        <f>IFERROR(INDEX(tblBatidas[ID],MATCH("B"&amp;MID($A37,2,99),tblBatidas[Batida ID],0)),"")</f>
        <v/>
      </c>
      <c r="F37" t="str">
        <f>IFERROR(INDEX(tblPessoas[Pessoa],MATCH(E37,tblPessoas[ID],0)),"")</f>
        <v/>
      </c>
      <c r="G37" t="str">
        <f>IFERROR(INDEX(tblBatidas[Projeto],MATCH("B"&amp;MID($A37,2,99),tblBatidas[Batida ID],0)),"")</f>
        <v/>
      </c>
      <c r="H37" t="str">
        <f>IFERROR(INDEX(tblBatidas[Atividade],MATCH("B"&amp;MID($A37,2,99),tblBatidas[Batida ID],0)),"")</f>
        <v/>
      </c>
      <c r="I37" s="4" t="str">
        <f>IFERROR(MOD(INDEX(tblBatidas[Data e hora],MATCH("B"&amp;MID($A37,2,99),tblBatidas[Batida ID],0)),1),"")</f>
        <v/>
      </c>
      <c r="J37" s="4" t="str">
        <f>IFERROR(MOD(INDEX(tblBatidas[Data e hora],MATCH("B"&amp;MID($A37,2,99),tblBatidas[Início vinculado],0)),1),"")</f>
        <v/>
      </c>
      <c r="K37" s="14" t="str">
        <f>IFERROR((INDEX(tblBatidas[Data e hora],MATCH("B"&amp;MID($A37,2,99),tblBatidas[Início vinculado],0))-INDEX(tblBatidas[Data e hora],MATCH("B"&amp;MID($A37,2,99),tblBatidas[Batida ID],0)))*24,"")</f>
        <v/>
      </c>
      <c r="L37" t="str">
        <f>IFERROR(INDEX(tblBatidas[Observação],MATCH("B"&amp;MID($A37,2,99),tblBatidas[Início vinculado],0)),"")</f>
        <v/>
      </c>
      <c r="M37" t="str">
        <f>IFERROR(INDEX(tblPessoas[Base],MATCH(E37,tblPessoas[ID],0)),"")</f>
        <v/>
      </c>
      <c r="N37" s="3">
        <f>IFERROR(IF(D37="DIA ÚTIL",INDEX(tblPessoas[R$/h útil],MATCH(E37,tblPessoas[ID],0)),INDEX(tblPessoas[R$/h FDS],MATCH(E37,tblPessoas[ID],0))),0)</f>
        <v>0</v>
      </c>
      <c r="O37" s="3">
        <f>IFERROR(INDEX(tblPessoas[R$/diária],MATCH(E37,tblPessoas[ID],0)),0)</f>
        <v>0</v>
      </c>
      <c r="P37" s="3" t="str">
        <f t="shared" si="2"/>
        <v/>
      </c>
      <c r="Q37" t="str">
        <f>IF(A37="","",IF(COUNTIF(tblBatidas[Início vinculado],"B"&amp;MID($A37,2,99))=0,"EM ABERTO",IF(OR(COUNTIF(tblBatidas[Início vinculado],"B"&amp;MID($A37,2,99))&gt;1,K37&lt;0,K37&gt;16,INT(INDEX(tblBatidas[Data e hora],MATCH("B"&amp;MID($A37,2,99),tblBatidas[Início vinculado],0)))&lt;&gt;B37,INDEX(tblBatidas[ID],MATCH("B"&amp;MID($A37,2,99),tblBatidas[Início vinculado],0))&lt;&gt;E37,INDEX(tblBatidas[Projeto],MATCH("B"&amp;MID($A37,2,99),tblBatidas[Início vinculado],0))&lt;&gt;G37,INDEX(tblBatidas[Atividade],MATCH("B"&amp;MID($A37,2,99),tblBatidas[Início vinculado],0))&lt;&gt;H37),"REVISAR","CONCLUÍDO")))</f>
        <v/>
      </c>
      <c r="R37">
        <f>IF(Q37&lt;&gt;"CONCLUÍDO",0,IF(COUNTIFS($E$5:E37,E37,$B$5:B37,B37,$Q$5:Q37,"CONCLUÍDO")=1,1,0))</f>
        <v>0</v>
      </c>
      <c r="S37" t="str">
        <f t="shared" si="3"/>
        <v/>
      </c>
      <c r="T37" t="str">
        <f>IF(E37="","",E37*100000+COUNTIFS(tblRegistros[ID],E37,tblRegistros[Data],"&lt;"&amp;B37)+COUNTIFS(tblRegistros[ID],E37,tblRegistros[Data],B37,tblRegistros[Início],"&lt;"&amp;I37)+COUNTIFS($E$5:E37,E37,$B$5:B37,B37,$I$5:I37,I37))</f>
        <v/>
      </c>
    </row>
    <row r="38" spans="2:20">
      <c r="B38" s="2" t="str">
        <f>IFERROR(INT(INDEX(tblBatidas[Data e hora],MATCH("B"&amp;MID($A38,2,99),tblBatidas[Batida ID],0))),"")</f>
        <v/>
      </c>
      <c r="C38" t="str">
        <f t="shared" si="0"/>
        <v/>
      </c>
      <c r="D38" t="str">
        <f t="shared" si="1"/>
        <v/>
      </c>
      <c r="E38" t="str">
        <f>IFERROR(INDEX(tblBatidas[ID],MATCH("B"&amp;MID($A38,2,99),tblBatidas[Batida ID],0)),"")</f>
        <v/>
      </c>
      <c r="F38" t="str">
        <f>IFERROR(INDEX(tblPessoas[Pessoa],MATCH(E38,tblPessoas[ID],0)),"")</f>
        <v/>
      </c>
      <c r="G38" t="str">
        <f>IFERROR(INDEX(tblBatidas[Projeto],MATCH("B"&amp;MID($A38,2,99),tblBatidas[Batida ID],0)),"")</f>
        <v/>
      </c>
      <c r="H38" t="str">
        <f>IFERROR(INDEX(tblBatidas[Atividade],MATCH("B"&amp;MID($A38,2,99),tblBatidas[Batida ID],0)),"")</f>
        <v/>
      </c>
      <c r="I38" s="4" t="str">
        <f>IFERROR(MOD(INDEX(tblBatidas[Data e hora],MATCH("B"&amp;MID($A38,2,99),tblBatidas[Batida ID],0)),1),"")</f>
        <v/>
      </c>
      <c r="J38" s="4" t="str">
        <f>IFERROR(MOD(INDEX(tblBatidas[Data e hora],MATCH("B"&amp;MID($A38,2,99),tblBatidas[Início vinculado],0)),1),"")</f>
        <v/>
      </c>
      <c r="K38" s="14" t="str">
        <f>IFERROR((INDEX(tblBatidas[Data e hora],MATCH("B"&amp;MID($A38,2,99),tblBatidas[Início vinculado],0))-INDEX(tblBatidas[Data e hora],MATCH("B"&amp;MID($A38,2,99),tblBatidas[Batida ID],0)))*24,"")</f>
        <v/>
      </c>
      <c r="L38" t="str">
        <f>IFERROR(INDEX(tblBatidas[Observação],MATCH("B"&amp;MID($A38,2,99),tblBatidas[Início vinculado],0)),"")</f>
        <v/>
      </c>
      <c r="M38" t="str">
        <f>IFERROR(INDEX(tblPessoas[Base],MATCH(E38,tblPessoas[ID],0)),"")</f>
        <v/>
      </c>
      <c r="N38" s="3">
        <f>IFERROR(IF(D38="DIA ÚTIL",INDEX(tblPessoas[R$/h útil],MATCH(E38,tblPessoas[ID],0)),INDEX(tblPessoas[R$/h FDS],MATCH(E38,tblPessoas[ID],0))),0)</f>
        <v>0</v>
      </c>
      <c r="O38" s="3">
        <f>IFERROR(INDEX(tblPessoas[R$/diária],MATCH(E38,tblPessoas[ID],0)),0)</f>
        <v>0</v>
      </c>
      <c r="P38" s="3" t="str">
        <f t="shared" si="2"/>
        <v/>
      </c>
      <c r="Q38" t="str">
        <f>IF(A38="","",IF(COUNTIF(tblBatidas[Início vinculado],"B"&amp;MID($A38,2,99))=0,"EM ABERTO",IF(OR(COUNTIF(tblBatidas[Início vinculado],"B"&amp;MID($A38,2,99))&gt;1,K38&lt;0,K38&gt;16,INT(INDEX(tblBatidas[Data e hora],MATCH("B"&amp;MID($A38,2,99),tblBatidas[Início vinculado],0)))&lt;&gt;B38,INDEX(tblBatidas[ID],MATCH("B"&amp;MID($A38,2,99),tblBatidas[Início vinculado],0))&lt;&gt;E38,INDEX(tblBatidas[Projeto],MATCH("B"&amp;MID($A38,2,99),tblBatidas[Início vinculado],0))&lt;&gt;G38,INDEX(tblBatidas[Atividade],MATCH("B"&amp;MID($A38,2,99),tblBatidas[Início vinculado],0))&lt;&gt;H38),"REVISAR","CONCLUÍDO")))</f>
        <v/>
      </c>
      <c r="R38">
        <f>IF(Q38&lt;&gt;"CONCLUÍDO",0,IF(COUNTIFS($E$5:E38,E38,$B$5:B38,B38,$Q$5:Q38,"CONCLUÍDO")=1,1,0))</f>
        <v>0</v>
      </c>
      <c r="S38" t="str">
        <f t="shared" si="3"/>
        <v/>
      </c>
      <c r="T38" t="str">
        <f>IF(E38="","",E38*100000+COUNTIFS(tblRegistros[ID],E38,tblRegistros[Data],"&lt;"&amp;B38)+COUNTIFS(tblRegistros[ID],E38,tblRegistros[Data],B38,tblRegistros[Início],"&lt;"&amp;I38)+COUNTIFS($E$5:E38,E38,$B$5:B38,B38,$I$5:I38,I38))</f>
        <v/>
      </c>
    </row>
    <row r="39" spans="2:20">
      <c r="B39" s="2" t="str">
        <f>IFERROR(INT(INDEX(tblBatidas[Data e hora],MATCH("B"&amp;MID($A39,2,99),tblBatidas[Batida ID],0))),"")</f>
        <v/>
      </c>
      <c r="C39" t="str">
        <f t="shared" si="0"/>
        <v/>
      </c>
      <c r="D39" t="str">
        <f t="shared" si="1"/>
        <v/>
      </c>
      <c r="E39" t="str">
        <f>IFERROR(INDEX(tblBatidas[ID],MATCH("B"&amp;MID($A39,2,99),tblBatidas[Batida ID],0)),"")</f>
        <v/>
      </c>
      <c r="F39" t="str">
        <f>IFERROR(INDEX(tblPessoas[Pessoa],MATCH(E39,tblPessoas[ID],0)),"")</f>
        <v/>
      </c>
      <c r="G39" t="str">
        <f>IFERROR(INDEX(tblBatidas[Projeto],MATCH("B"&amp;MID($A39,2,99),tblBatidas[Batida ID],0)),"")</f>
        <v/>
      </c>
      <c r="H39" t="str">
        <f>IFERROR(INDEX(tblBatidas[Atividade],MATCH("B"&amp;MID($A39,2,99),tblBatidas[Batida ID],0)),"")</f>
        <v/>
      </c>
      <c r="I39" s="4" t="str">
        <f>IFERROR(MOD(INDEX(tblBatidas[Data e hora],MATCH("B"&amp;MID($A39,2,99),tblBatidas[Batida ID],0)),1),"")</f>
        <v/>
      </c>
      <c r="J39" s="4" t="str">
        <f>IFERROR(MOD(INDEX(tblBatidas[Data e hora],MATCH("B"&amp;MID($A39,2,99),tblBatidas[Início vinculado],0)),1),"")</f>
        <v/>
      </c>
      <c r="K39" s="14" t="str">
        <f>IFERROR((INDEX(tblBatidas[Data e hora],MATCH("B"&amp;MID($A39,2,99),tblBatidas[Início vinculado],0))-INDEX(tblBatidas[Data e hora],MATCH("B"&amp;MID($A39,2,99),tblBatidas[Batida ID],0)))*24,"")</f>
        <v/>
      </c>
      <c r="L39" t="str">
        <f>IFERROR(INDEX(tblBatidas[Observação],MATCH("B"&amp;MID($A39,2,99),tblBatidas[Início vinculado],0)),"")</f>
        <v/>
      </c>
      <c r="M39" t="str">
        <f>IFERROR(INDEX(tblPessoas[Base],MATCH(E39,tblPessoas[ID],0)),"")</f>
        <v/>
      </c>
      <c r="N39" s="3">
        <f>IFERROR(IF(D39="DIA ÚTIL",INDEX(tblPessoas[R$/h útil],MATCH(E39,tblPessoas[ID],0)),INDEX(tblPessoas[R$/h FDS],MATCH(E39,tblPessoas[ID],0))),0)</f>
        <v>0</v>
      </c>
      <c r="O39" s="3">
        <f>IFERROR(INDEX(tblPessoas[R$/diária],MATCH(E39,tblPessoas[ID],0)),0)</f>
        <v>0</v>
      </c>
      <c r="P39" s="3" t="str">
        <f t="shared" si="2"/>
        <v/>
      </c>
      <c r="Q39" t="str">
        <f>IF(A39="","",IF(COUNTIF(tblBatidas[Início vinculado],"B"&amp;MID($A39,2,99))=0,"EM ABERTO",IF(OR(COUNTIF(tblBatidas[Início vinculado],"B"&amp;MID($A39,2,99))&gt;1,K39&lt;0,K39&gt;16,INT(INDEX(tblBatidas[Data e hora],MATCH("B"&amp;MID($A39,2,99),tblBatidas[Início vinculado],0)))&lt;&gt;B39,INDEX(tblBatidas[ID],MATCH("B"&amp;MID($A39,2,99),tblBatidas[Início vinculado],0))&lt;&gt;E39,INDEX(tblBatidas[Projeto],MATCH("B"&amp;MID($A39,2,99),tblBatidas[Início vinculado],0))&lt;&gt;G39,INDEX(tblBatidas[Atividade],MATCH("B"&amp;MID($A39,2,99),tblBatidas[Início vinculado],0))&lt;&gt;H39),"REVISAR","CONCLUÍDO")))</f>
        <v/>
      </c>
      <c r="R39">
        <f>IF(Q39&lt;&gt;"CONCLUÍDO",0,IF(COUNTIFS($E$5:E39,E39,$B$5:B39,B39,$Q$5:Q39,"CONCLUÍDO")=1,1,0))</f>
        <v>0</v>
      </c>
      <c r="S39" t="str">
        <f t="shared" si="3"/>
        <v/>
      </c>
      <c r="T39" t="str">
        <f>IF(E39="","",E39*100000+COUNTIFS(tblRegistros[ID],E39,tblRegistros[Data],"&lt;"&amp;B39)+COUNTIFS(tblRegistros[ID],E39,tblRegistros[Data],B39,tblRegistros[Início],"&lt;"&amp;I39)+COUNTIFS($E$5:E39,E39,$B$5:B39,B39,$I$5:I39,I39))</f>
        <v/>
      </c>
    </row>
    <row r="40" spans="2:20">
      <c r="B40" s="2" t="str">
        <f>IFERROR(INT(INDEX(tblBatidas[Data e hora],MATCH("B"&amp;MID($A40,2,99),tblBatidas[Batida ID],0))),"")</f>
        <v/>
      </c>
      <c r="C40" t="str">
        <f t="shared" si="0"/>
        <v/>
      </c>
      <c r="D40" t="str">
        <f t="shared" si="1"/>
        <v/>
      </c>
      <c r="E40" t="str">
        <f>IFERROR(INDEX(tblBatidas[ID],MATCH("B"&amp;MID($A40,2,99),tblBatidas[Batida ID],0)),"")</f>
        <v/>
      </c>
      <c r="F40" t="str">
        <f>IFERROR(INDEX(tblPessoas[Pessoa],MATCH(E40,tblPessoas[ID],0)),"")</f>
        <v/>
      </c>
      <c r="G40" t="str">
        <f>IFERROR(INDEX(tblBatidas[Projeto],MATCH("B"&amp;MID($A40,2,99),tblBatidas[Batida ID],0)),"")</f>
        <v/>
      </c>
      <c r="H40" t="str">
        <f>IFERROR(INDEX(tblBatidas[Atividade],MATCH("B"&amp;MID($A40,2,99),tblBatidas[Batida ID],0)),"")</f>
        <v/>
      </c>
      <c r="I40" s="4" t="str">
        <f>IFERROR(MOD(INDEX(tblBatidas[Data e hora],MATCH("B"&amp;MID($A40,2,99),tblBatidas[Batida ID],0)),1),"")</f>
        <v/>
      </c>
      <c r="J40" s="4" t="str">
        <f>IFERROR(MOD(INDEX(tblBatidas[Data e hora],MATCH("B"&amp;MID($A40,2,99),tblBatidas[Início vinculado],0)),1),"")</f>
        <v/>
      </c>
      <c r="K40" s="14" t="str">
        <f>IFERROR((INDEX(tblBatidas[Data e hora],MATCH("B"&amp;MID($A40,2,99),tblBatidas[Início vinculado],0))-INDEX(tblBatidas[Data e hora],MATCH("B"&amp;MID($A40,2,99),tblBatidas[Batida ID],0)))*24,"")</f>
        <v/>
      </c>
      <c r="L40" t="str">
        <f>IFERROR(INDEX(tblBatidas[Observação],MATCH("B"&amp;MID($A40,2,99),tblBatidas[Início vinculado],0)),"")</f>
        <v/>
      </c>
      <c r="M40" t="str">
        <f>IFERROR(INDEX(tblPessoas[Base],MATCH(E40,tblPessoas[ID],0)),"")</f>
        <v/>
      </c>
      <c r="N40" s="3">
        <f>IFERROR(IF(D40="DIA ÚTIL",INDEX(tblPessoas[R$/h útil],MATCH(E40,tblPessoas[ID],0)),INDEX(tblPessoas[R$/h FDS],MATCH(E40,tblPessoas[ID],0))),0)</f>
        <v>0</v>
      </c>
      <c r="O40" s="3">
        <f>IFERROR(INDEX(tblPessoas[R$/diária],MATCH(E40,tblPessoas[ID],0)),0)</f>
        <v>0</v>
      </c>
      <c r="P40" s="3" t="str">
        <f t="shared" si="2"/>
        <v/>
      </c>
      <c r="Q40" t="str">
        <f>IF(A40="","",IF(COUNTIF(tblBatidas[Início vinculado],"B"&amp;MID($A40,2,99))=0,"EM ABERTO",IF(OR(COUNTIF(tblBatidas[Início vinculado],"B"&amp;MID($A40,2,99))&gt;1,K40&lt;0,K40&gt;16,INT(INDEX(tblBatidas[Data e hora],MATCH("B"&amp;MID($A40,2,99),tblBatidas[Início vinculado],0)))&lt;&gt;B40,INDEX(tblBatidas[ID],MATCH("B"&amp;MID($A40,2,99),tblBatidas[Início vinculado],0))&lt;&gt;E40,INDEX(tblBatidas[Projeto],MATCH("B"&amp;MID($A40,2,99),tblBatidas[Início vinculado],0))&lt;&gt;G40,INDEX(tblBatidas[Atividade],MATCH("B"&amp;MID($A40,2,99),tblBatidas[Início vinculado],0))&lt;&gt;H40),"REVISAR","CONCLUÍDO")))</f>
        <v/>
      </c>
      <c r="R40">
        <f>IF(Q40&lt;&gt;"CONCLUÍDO",0,IF(COUNTIFS($E$5:E40,E40,$B$5:B40,B40,$Q$5:Q40,"CONCLUÍDO")=1,1,0))</f>
        <v>0</v>
      </c>
      <c r="S40" t="str">
        <f t="shared" si="3"/>
        <v/>
      </c>
      <c r="T40" t="str">
        <f>IF(E40="","",E40*100000+COUNTIFS(tblRegistros[ID],E40,tblRegistros[Data],"&lt;"&amp;B40)+COUNTIFS(tblRegistros[ID],E40,tblRegistros[Data],B40,tblRegistros[Início],"&lt;"&amp;I40)+COUNTIFS($E$5:E40,E40,$B$5:B40,B40,$I$5:I40,I40))</f>
        <v/>
      </c>
    </row>
    <row r="41" spans="2:20">
      <c r="B41" s="2" t="str">
        <f>IFERROR(INT(INDEX(tblBatidas[Data e hora],MATCH("B"&amp;MID($A41,2,99),tblBatidas[Batida ID],0))),"")</f>
        <v/>
      </c>
      <c r="C41" t="str">
        <f t="shared" si="0"/>
        <v/>
      </c>
      <c r="D41" t="str">
        <f t="shared" si="1"/>
        <v/>
      </c>
      <c r="E41" t="str">
        <f>IFERROR(INDEX(tblBatidas[ID],MATCH("B"&amp;MID($A41,2,99),tblBatidas[Batida ID],0)),"")</f>
        <v/>
      </c>
      <c r="F41" t="str">
        <f>IFERROR(INDEX(tblPessoas[Pessoa],MATCH(E41,tblPessoas[ID],0)),"")</f>
        <v/>
      </c>
      <c r="G41" t="str">
        <f>IFERROR(INDEX(tblBatidas[Projeto],MATCH("B"&amp;MID($A41,2,99),tblBatidas[Batida ID],0)),"")</f>
        <v/>
      </c>
      <c r="H41" t="str">
        <f>IFERROR(INDEX(tblBatidas[Atividade],MATCH("B"&amp;MID($A41,2,99),tblBatidas[Batida ID],0)),"")</f>
        <v/>
      </c>
      <c r="I41" s="4" t="str">
        <f>IFERROR(MOD(INDEX(tblBatidas[Data e hora],MATCH("B"&amp;MID($A41,2,99),tblBatidas[Batida ID],0)),1),"")</f>
        <v/>
      </c>
      <c r="J41" s="4" t="str">
        <f>IFERROR(MOD(INDEX(tblBatidas[Data e hora],MATCH("B"&amp;MID($A41,2,99),tblBatidas[Início vinculado],0)),1),"")</f>
        <v/>
      </c>
      <c r="K41" s="14" t="str">
        <f>IFERROR((INDEX(tblBatidas[Data e hora],MATCH("B"&amp;MID($A41,2,99),tblBatidas[Início vinculado],0))-INDEX(tblBatidas[Data e hora],MATCH("B"&amp;MID($A41,2,99),tblBatidas[Batida ID],0)))*24,"")</f>
        <v/>
      </c>
      <c r="L41" t="str">
        <f>IFERROR(INDEX(tblBatidas[Observação],MATCH("B"&amp;MID($A41,2,99),tblBatidas[Início vinculado],0)),"")</f>
        <v/>
      </c>
      <c r="M41" t="str">
        <f>IFERROR(INDEX(tblPessoas[Base],MATCH(E41,tblPessoas[ID],0)),"")</f>
        <v/>
      </c>
      <c r="N41" s="3">
        <f>IFERROR(IF(D41="DIA ÚTIL",INDEX(tblPessoas[R$/h útil],MATCH(E41,tblPessoas[ID],0)),INDEX(tblPessoas[R$/h FDS],MATCH(E41,tblPessoas[ID],0))),0)</f>
        <v>0</v>
      </c>
      <c r="O41" s="3">
        <f>IFERROR(INDEX(tblPessoas[R$/diária],MATCH(E41,tblPessoas[ID],0)),0)</f>
        <v>0</v>
      </c>
      <c r="P41" s="3" t="str">
        <f t="shared" si="2"/>
        <v/>
      </c>
      <c r="Q41" t="str">
        <f>IF(A41="","",IF(COUNTIF(tblBatidas[Início vinculado],"B"&amp;MID($A41,2,99))=0,"EM ABERTO",IF(OR(COUNTIF(tblBatidas[Início vinculado],"B"&amp;MID($A41,2,99))&gt;1,K41&lt;0,K41&gt;16,INT(INDEX(tblBatidas[Data e hora],MATCH("B"&amp;MID($A41,2,99),tblBatidas[Início vinculado],0)))&lt;&gt;B41,INDEX(tblBatidas[ID],MATCH("B"&amp;MID($A41,2,99),tblBatidas[Início vinculado],0))&lt;&gt;E41,INDEX(tblBatidas[Projeto],MATCH("B"&amp;MID($A41,2,99),tblBatidas[Início vinculado],0))&lt;&gt;G41,INDEX(tblBatidas[Atividade],MATCH("B"&amp;MID($A41,2,99),tblBatidas[Início vinculado],0))&lt;&gt;H41),"REVISAR","CONCLUÍDO")))</f>
        <v/>
      </c>
      <c r="R41">
        <f>IF(Q41&lt;&gt;"CONCLUÍDO",0,IF(COUNTIFS($E$5:E41,E41,$B$5:B41,B41,$Q$5:Q41,"CONCLUÍDO")=1,1,0))</f>
        <v>0</v>
      </c>
      <c r="S41" t="str">
        <f t="shared" si="3"/>
        <v/>
      </c>
      <c r="T41" t="str">
        <f>IF(E41="","",E41*100000+COUNTIFS(tblRegistros[ID],E41,tblRegistros[Data],"&lt;"&amp;B41)+COUNTIFS(tblRegistros[ID],E41,tblRegistros[Data],B41,tblRegistros[Início],"&lt;"&amp;I41)+COUNTIFS($E$5:E41,E41,$B$5:B41,B41,$I$5:I41,I41))</f>
        <v/>
      </c>
    </row>
    <row r="42" spans="2:20">
      <c r="B42" s="2" t="str">
        <f>IFERROR(INT(INDEX(tblBatidas[Data e hora],MATCH("B"&amp;MID($A42,2,99),tblBatidas[Batida ID],0))),"")</f>
        <v/>
      </c>
      <c r="C42" t="str">
        <f t="shared" si="0"/>
        <v/>
      </c>
      <c r="D42" t="str">
        <f t="shared" si="1"/>
        <v/>
      </c>
      <c r="E42" t="str">
        <f>IFERROR(INDEX(tblBatidas[ID],MATCH("B"&amp;MID($A42,2,99),tblBatidas[Batida ID],0)),"")</f>
        <v/>
      </c>
      <c r="F42" t="str">
        <f>IFERROR(INDEX(tblPessoas[Pessoa],MATCH(E42,tblPessoas[ID],0)),"")</f>
        <v/>
      </c>
      <c r="G42" t="str">
        <f>IFERROR(INDEX(tblBatidas[Projeto],MATCH("B"&amp;MID($A42,2,99),tblBatidas[Batida ID],0)),"")</f>
        <v/>
      </c>
      <c r="H42" t="str">
        <f>IFERROR(INDEX(tblBatidas[Atividade],MATCH("B"&amp;MID($A42,2,99),tblBatidas[Batida ID],0)),"")</f>
        <v/>
      </c>
      <c r="I42" s="4" t="str">
        <f>IFERROR(MOD(INDEX(tblBatidas[Data e hora],MATCH("B"&amp;MID($A42,2,99),tblBatidas[Batida ID],0)),1),"")</f>
        <v/>
      </c>
      <c r="J42" s="4" t="str">
        <f>IFERROR(MOD(INDEX(tblBatidas[Data e hora],MATCH("B"&amp;MID($A42,2,99),tblBatidas[Início vinculado],0)),1),"")</f>
        <v/>
      </c>
      <c r="K42" s="14" t="str">
        <f>IFERROR((INDEX(tblBatidas[Data e hora],MATCH("B"&amp;MID($A42,2,99),tblBatidas[Início vinculado],0))-INDEX(tblBatidas[Data e hora],MATCH("B"&amp;MID($A42,2,99),tblBatidas[Batida ID],0)))*24,"")</f>
        <v/>
      </c>
      <c r="L42" t="str">
        <f>IFERROR(INDEX(tblBatidas[Observação],MATCH("B"&amp;MID($A42,2,99),tblBatidas[Início vinculado],0)),"")</f>
        <v/>
      </c>
      <c r="M42" t="str">
        <f>IFERROR(INDEX(tblPessoas[Base],MATCH(E42,tblPessoas[ID],0)),"")</f>
        <v/>
      </c>
      <c r="N42" s="3">
        <f>IFERROR(IF(D42="DIA ÚTIL",INDEX(tblPessoas[R$/h útil],MATCH(E42,tblPessoas[ID],0)),INDEX(tblPessoas[R$/h FDS],MATCH(E42,tblPessoas[ID],0))),0)</f>
        <v>0</v>
      </c>
      <c r="O42" s="3">
        <f>IFERROR(INDEX(tblPessoas[R$/diária],MATCH(E42,tblPessoas[ID],0)),0)</f>
        <v>0</v>
      </c>
      <c r="P42" s="3" t="str">
        <f t="shared" si="2"/>
        <v/>
      </c>
      <c r="Q42" t="str">
        <f>IF(A42="","",IF(COUNTIF(tblBatidas[Início vinculado],"B"&amp;MID($A42,2,99))=0,"EM ABERTO",IF(OR(COUNTIF(tblBatidas[Início vinculado],"B"&amp;MID($A42,2,99))&gt;1,K42&lt;0,K42&gt;16,INT(INDEX(tblBatidas[Data e hora],MATCH("B"&amp;MID($A42,2,99),tblBatidas[Início vinculado],0)))&lt;&gt;B42,INDEX(tblBatidas[ID],MATCH("B"&amp;MID($A42,2,99),tblBatidas[Início vinculado],0))&lt;&gt;E42,INDEX(tblBatidas[Projeto],MATCH("B"&amp;MID($A42,2,99),tblBatidas[Início vinculado],0))&lt;&gt;G42,INDEX(tblBatidas[Atividade],MATCH("B"&amp;MID($A42,2,99),tblBatidas[Início vinculado],0))&lt;&gt;H42),"REVISAR","CONCLUÍDO")))</f>
        <v/>
      </c>
      <c r="R42">
        <f>IF(Q42&lt;&gt;"CONCLUÍDO",0,IF(COUNTIFS($E$5:E42,E42,$B$5:B42,B42,$Q$5:Q42,"CONCLUÍDO")=1,1,0))</f>
        <v>0</v>
      </c>
      <c r="S42" t="str">
        <f t="shared" si="3"/>
        <v/>
      </c>
      <c r="T42" t="str">
        <f>IF(E42="","",E42*100000+COUNTIFS(tblRegistros[ID],E42,tblRegistros[Data],"&lt;"&amp;B42)+COUNTIFS(tblRegistros[ID],E42,tblRegistros[Data],B42,tblRegistros[Início],"&lt;"&amp;I42)+COUNTIFS($E$5:E42,E42,$B$5:B42,B42,$I$5:I42,I42))</f>
        <v/>
      </c>
    </row>
    <row r="43" spans="2:20">
      <c r="B43" s="2" t="str">
        <f>IFERROR(INT(INDEX(tblBatidas[Data e hora],MATCH("B"&amp;MID($A43,2,99),tblBatidas[Batida ID],0))),"")</f>
        <v/>
      </c>
      <c r="C43" t="str">
        <f t="shared" si="0"/>
        <v/>
      </c>
      <c r="D43" t="str">
        <f t="shared" si="1"/>
        <v/>
      </c>
      <c r="E43" t="str">
        <f>IFERROR(INDEX(tblBatidas[ID],MATCH("B"&amp;MID($A43,2,99),tblBatidas[Batida ID],0)),"")</f>
        <v/>
      </c>
      <c r="F43" t="str">
        <f>IFERROR(INDEX(tblPessoas[Pessoa],MATCH(E43,tblPessoas[ID],0)),"")</f>
        <v/>
      </c>
      <c r="G43" t="str">
        <f>IFERROR(INDEX(tblBatidas[Projeto],MATCH("B"&amp;MID($A43,2,99),tblBatidas[Batida ID],0)),"")</f>
        <v/>
      </c>
      <c r="H43" t="str">
        <f>IFERROR(INDEX(tblBatidas[Atividade],MATCH("B"&amp;MID($A43,2,99),tblBatidas[Batida ID],0)),"")</f>
        <v/>
      </c>
      <c r="I43" s="4" t="str">
        <f>IFERROR(MOD(INDEX(tblBatidas[Data e hora],MATCH("B"&amp;MID($A43,2,99),tblBatidas[Batida ID],0)),1),"")</f>
        <v/>
      </c>
      <c r="J43" s="4" t="str">
        <f>IFERROR(MOD(INDEX(tblBatidas[Data e hora],MATCH("B"&amp;MID($A43,2,99),tblBatidas[Início vinculado],0)),1),"")</f>
        <v/>
      </c>
      <c r="K43" s="14" t="str">
        <f>IFERROR((INDEX(tblBatidas[Data e hora],MATCH("B"&amp;MID($A43,2,99),tblBatidas[Início vinculado],0))-INDEX(tblBatidas[Data e hora],MATCH("B"&amp;MID($A43,2,99),tblBatidas[Batida ID],0)))*24,"")</f>
        <v/>
      </c>
      <c r="L43" t="str">
        <f>IFERROR(INDEX(tblBatidas[Observação],MATCH("B"&amp;MID($A43,2,99),tblBatidas[Início vinculado],0)),"")</f>
        <v/>
      </c>
      <c r="M43" t="str">
        <f>IFERROR(INDEX(tblPessoas[Base],MATCH(E43,tblPessoas[ID],0)),"")</f>
        <v/>
      </c>
      <c r="N43" s="3">
        <f>IFERROR(IF(D43="DIA ÚTIL",INDEX(tblPessoas[R$/h útil],MATCH(E43,tblPessoas[ID],0)),INDEX(tblPessoas[R$/h FDS],MATCH(E43,tblPessoas[ID],0))),0)</f>
        <v>0</v>
      </c>
      <c r="O43" s="3">
        <f>IFERROR(INDEX(tblPessoas[R$/diária],MATCH(E43,tblPessoas[ID],0)),0)</f>
        <v>0</v>
      </c>
      <c r="P43" s="3" t="str">
        <f t="shared" si="2"/>
        <v/>
      </c>
      <c r="Q43" t="str">
        <f>IF(A43="","",IF(COUNTIF(tblBatidas[Início vinculado],"B"&amp;MID($A43,2,99))=0,"EM ABERTO",IF(OR(COUNTIF(tblBatidas[Início vinculado],"B"&amp;MID($A43,2,99))&gt;1,K43&lt;0,K43&gt;16,INT(INDEX(tblBatidas[Data e hora],MATCH("B"&amp;MID($A43,2,99),tblBatidas[Início vinculado],0)))&lt;&gt;B43,INDEX(tblBatidas[ID],MATCH("B"&amp;MID($A43,2,99),tblBatidas[Início vinculado],0))&lt;&gt;E43,INDEX(tblBatidas[Projeto],MATCH("B"&amp;MID($A43,2,99),tblBatidas[Início vinculado],0))&lt;&gt;G43,INDEX(tblBatidas[Atividade],MATCH("B"&amp;MID($A43,2,99),tblBatidas[Início vinculado],0))&lt;&gt;H43),"REVISAR","CONCLUÍDO")))</f>
        <v/>
      </c>
      <c r="R43">
        <f>IF(Q43&lt;&gt;"CONCLUÍDO",0,IF(COUNTIFS($E$5:E43,E43,$B$5:B43,B43,$Q$5:Q43,"CONCLUÍDO")=1,1,0))</f>
        <v>0</v>
      </c>
      <c r="S43" t="str">
        <f t="shared" si="3"/>
        <v/>
      </c>
      <c r="T43" t="str">
        <f>IF(E43="","",E43*100000+COUNTIFS(tblRegistros[ID],E43,tblRegistros[Data],"&lt;"&amp;B43)+COUNTIFS(tblRegistros[ID],E43,tblRegistros[Data],B43,tblRegistros[Início],"&lt;"&amp;I43)+COUNTIFS($E$5:E43,E43,$B$5:B43,B43,$I$5:I43,I43))</f>
        <v/>
      </c>
    </row>
    <row r="44" spans="2:20">
      <c r="B44" s="2" t="str">
        <f>IFERROR(INT(INDEX(tblBatidas[Data e hora],MATCH("B"&amp;MID($A44,2,99),tblBatidas[Batida ID],0))),"")</f>
        <v/>
      </c>
      <c r="C44" t="str">
        <f t="shared" si="0"/>
        <v/>
      </c>
      <c r="D44" t="str">
        <f t="shared" si="1"/>
        <v/>
      </c>
      <c r="E44" t="str">
        <f>IFERROR(INDEX(tblBatidas[ID],MATCH("B"&amp;MID($A44,2,99),tblBatidas[Batida ID],0)),"")</f>
        <v/>
      </c>
      <c r="F44" t="str">
        <f>IFERROR(INDEX(tblPessoas[Pessoa],MATCH(E44,tblPessoas[ID],0)),"")</f>
        <v/>
      </c>
      <c r="G44" t="str">
        <f>IFERROR(INDEX(tblBatidas[Projeto],MATCH("B"&amp;MID($A44,2,99),tblBatidas[Batida ID],0)),"")</f>
        <v/>
      </c>
      <c r="H44" t="str">
        <f>IFERROR(INDEX(tblBatidas[Atividade],MATCH("B"&amp;MID($A44,2,99),tblBatidas[Batida ID],0)),"")</f>
        <v/>
      </c>
      <c r="I44" s="4" t="str">
        <f>IFERROR(MOD(INDEX(tblBatidas[Data e hora],MATCH("B"&amp;MID($A44,2,99),tblBatidas[Batida ID],0)),1),"")</f>
        <v/>
      </c>
      <c r="J44" s="4" t="str">
        <f>IFERROR(MOD(INDEX(tblBatidas[Data e hora],MATCH("B"&amp;MID($A44,2,99),tblBatidas[Início vinculado],0)),1),"")</f>
        <v/>
      </c>
      <c r="K44" s="14" t="str">
        <f>IFERROR((INDEX(tblBatidas[Data e hora],MATCH("B"&amp;MID($A44,2,99),tblBatidas[Início vinculado],0))-INDEX(tblBatidas[Data e hora],MATCH("B"&amp;MID($A44,2,99),tblBatidas[Batida ID],0)))*24,"")</f>
        <v/>
      </c>
      <c r="L44" t="str">
        <f>IFERROR(INDEX(tblBatidas[Observação],MATCH("B"&amp;MID($A44,2,99),tblBatidas[Início vinculado],0)),"")</f>
        <v/>
      </c>
      <c r="M44" t="str">
        <f>IFERROR(INDEX(tblPessoas[Base],MATCH(E44,tblPessoas[ID],0)),"")</f>
        <v/>
      </c>
      <c r="N44" s="3">
        <f>IFERROR(IF(D44="DIA ÚTIL",INDEX(tblPessoas[R$/h útil],MATCH(E44,tblPessoas[ID],0)),INDEX(tblPessoas[R$/h FDS],MATCH(E44,tblPessoas[ID],0))),0)</f>
        <v>0</v>
      </c>
      <c r="O44" s="3">
        <f>IFERROR(INDEX(tblPessoas[R$/diária],MATCH(E44,tblPessoas[ID],0)),0)</f>
        <v>0</v>
      </c>
      <c r="P44" s="3" t="str">
        <f t="shared" si="2"/>
        <v/>
      </c>
      <c r="Q44" t="str">
        <f>IF(A44="","",IF(COUNTIF(tblBatidas[Início vinculado],"B"&amp;MID($A44,2,99))=0,"EM ABERTO",IF(OR(COUNTIF(tblBatidas[Início vinculado],"B"&amp;MID($A44,2,99))&gt;1,K44&lt;0,K44&gt;16,INT(INDEX(tblBatidas[Data e hora],MATCH("B"&amp;MID($A44,2,99),tblBatidas[Início vinculado],0)))&lt;&gt;B44,INDEX(tblBatidas[ID],MATCH("B"&amp;MID($A44,2,99),tblBatidas[Início vinculado],0))&lt;&gt;E44,INDEX(tblBatidas[Projeto],MATCH("B"&amp;MID($A44,2,99),tblBatidas[Início vinculado],0))&lt;&gt;G44,INDEX(tblBatidas[Atividade],MATCH("B"&amp;MID($A44,2,99),tblBatidas[Início vinculado],0))&lt;&gt;H44),"REVISAR","CONCLUÍDO")))</f>
        <v/>
      </c>
      <c r="R44">
        <f>IF(Q44&lt;&gt;"CONCLUÍDO",0,IF(COUNTIFS($E$5:E44,E44,$B$5:B44,B44,$Q$5:Q44,"CONCLUÍDO")=1,1,0))</f>
        <v>0</v>
      </c>
      <c r="S44" t="str">
        <f t="shared" si="3"/>
        <v/>
      </c>
      <c r="T44" t="str">
        <f>IF(E44="","",E44*100000+COUNTIFS(tblRegistros[ID],E44,tblRegistros[Data],"&lt;"&amp;B44)+COUNTIFS(tblRegistros[ID],E44,tblRegistros[Data],B44,tblRegistros[Início],"&lt;"&amp;I44)+COUNTIFS($E$5:E44,E44,$B$5:B44,B44,$I$5:I44,I44))</f>
        <v/>
      </c>
    </row>
    <row r="45" spans="2:20">
      <c r="B45" s="2" t="str">
        <f>IFERROR(INT(INDEX(tblBatidas[Data e hora],MATCH("B"&amp;MID($A45,2,99),tblBatidas[Batida ID],0))),"")</f>
        <v/>
      </c>
      <c r="C45" t="str">
        <f t="shared" si="0"/>
        <v/>
      </c>
      <c r="D45" t="str">
        <f t="shared" si="1"/>
        <v/>
      </c>
      <c r="E45" t="str">
        <f>IFERROR(INDEX(tblBatidas[ID],MATCH("B"&amp;MID($A45,2,99),tblBatidas[Batida ID],0)),"")</f>
        <v/>
      </c>
      <c r="F45" t="str">
        <f>IFERROR(INDEX(tblPessoas[Pessoa],MATCH(E45,tblPessoas[ID],0)),"")</f>
        <v/>
      </c>
      <c r="G45" t="str">
        <f>IFERROR(INDEX(tblBatidas[Projeto],MATCH("B"&amp;MID($A45,2,99),tblBatidas[Batida ID],0)),"")</f>
        <v/>
      </c>
      <c r="H45" t="str">
        <f>IFERROR(INDEX(tblBatidas[Atividade],MATCH("B"&amp;MID($A45,2,99),tblBatidas[Batida ID],0)),"")</f>
        <v/>
      </c>
      <c r="I45" s="4" t="str">
        <f>IFERROR(MOD(INDEX(tblBatidas[Data e hora],MATCH("B"&amp;MID($A45,2,99),tblBatidas[Batida ID],0)),1),"")</f>
        <v/>
      </c>
      <c r="J45" s="4" t="str">
        <f>IFERROR(MOD(INDEX(tblBatidas[Data e hora],MATCH("B"&amp;MID($A45,2,99),tblBatidas[Início vinculado],0)),1),"")</f>
        <v/>
      </c>
      <c r="K45" s="14" t="str">
        <f>IFERROR((INDEX(tblBatidas[Data e hora],MATCH("B"&amp;MID($A45,2,99),tblBatidas[Início vinculado],0))-INDEX(tblBatidas[Data e hora],MATCH("B"&amp;MID($A45,2,99),tblBatidas[Batida ID],0)))*24,"")</f>
        <v/>
      </c>
      <c r="L45" t="str">
        <f>IFERROR(INDEX(tblBatidas[Observação],MATCH("B"&amp;MID($A45,2,99),tblBatidas[Início vinculado],0)),"")</f>
        <v/>
      </c>
      <c r="M45" t="str">
        <f>IFERROR(INDEX(tblPessoas[Base],MATCH(E45,tblPessoas[ID],0)),"")</f>
        <v/>
      </c>
      <c r="N45" s="3">
        <f>IFERROR(IF(D45="DIA ÚTIL",INDEX(tblPessoas[R$/h útil],MATCH(E45,tblPessoas[ID],0)),INDEX(tblPessoas[R$/h FDS],MATCH(E45,tblPessoas[ID],0))),0)</f>
        <v>0</v>
      </c>
      <c r="O45" s="3">
        <f>IFERROR(INDEX(tblPessoas[R$/diária],MATCH(E45,tblPessoas[ID],0)),0)</f>
        <v>0</v>
      </c>
      <c r="P45" s="3" t="str">
        <f t="shared" si="2"/>
        <v/>
      </c>
      <c r="Q45" t="str">
        <f>IF(A45="","",IF(COUNTIF(tblBatidas[Início vinculado],"B"&amp;MID($A45,2,99))=0,"EM ABERTO",IF(OR(COUNTIF(tblBatidas[Início vinculado],"B"&amp;MID($A45,2,99))&gt;1,K45&lt;0,K45&gt;16,INT(INDEX(tblBatidas[Data e hora],MATCH("B"&amp;MID($A45,2,99),tblBatidas[Início vinculado],0)))&lt;&gt;B45,INDEX(tblBatidas[ID],MATCH("B"&amp;MID($A45,2,99),tblBatidas[Início vinculado],0))&lt;&gt;E45,INDEX(tblBatidas[Projeto],MATCH("B"&amp;MID($A45,2,99),tblBatidas[Início vinculado],0))&lt;&gt;G45,INDEX(tblBatidas[Atividade],MATCH("B"&amp;MID($A45,2,99),tblBatidas[Início vinculado],0))&lt;&gt;H45),"REVISAR","CONCLUÍDO")))</f>
        <v/>
      </c>
      <c r="R45">
        <f>IF(Q45&lt;&gt;"CONCLUÍDO",0,IF(COUNTIFS($E$5:E45,E45,$B$5:B45,B45,$Q$5:Q45,"CONCLUÍDO")=1,1,0))</f>
        <v>0</v>
      </c>
      <c r="S45" t="str">
        <f t="shared" si="3"/>
        <v/>
      </c>
      <c r="T45" t="str">
        <f>IF(E45="","",E45*100000+COUNTIFS(tblRegistros[ID],E45,tblRegistros[Data],"&lt;"&amp;B45)+COUNTIFS(tblRegistros[ID],E45,tblRegistros[Data],B45,tblRegistros[Início],"&lt;"&amp;I45)+COUNTIFS($E$5:E45,E45,$B$5:B45,B45,$I$5:I45,I45))</f>
        <v/>
      </c>
    </row>
    <row r="46" spans="2:20">
      <c r="B46" s="2" t="str">
        <f>IFERROR(INT(INDEX(tblBatidas[Data e hora],MATCH("B"&amp;MID($A46,2,99),tblBatidas[Batida ID],0))),"")</f>
        <v/>
      </c>
      <c r="C46" t="str">
        <f t="shared" si="0"/>
        <v/>
      </c>
      <c r="D46" t="str">
        <f t="shared" si="1"/>
        <v/>
      </c>
      <c r="E46" t="str">
        <f>IFERROR(INDEX(tblBatidas[ID],MATCH("B"&amp;MID($A46,2,99),tblBatidas[Batida ID],0)),"")</f>
        <v/>
      </c>
      <c r="F46" t="str">
        <f>IFERROR(INDEX(tblPessoas[Pessoa],MATCH(E46,tblPessoas[ID],0)),"")</f>
        <v/>
      </c>
      <c r="G46" t="str">
        <f>IFERROR(INDEX(tblBatidas[Projeto],MATCH("B"&amp;MID($A46,2,99),tblBatidas[Batida ID],0)),"")</f>
        <v/>
      </c>
      <c r="H46" t="str">
        <f>IFERROR(INDEX(tblBatidas[Atividade],MATCH("B"&amp;MID($A46,2,99),tblBatidas[Batida ID],0)),"")</f>
        <v/>
      </c>
      <c r="I46" s="4" t="str">
        <f>IFERROR(MOD(INDEX(tblBatidas[Data e hora],MATCH("B"&amp;MID($A46,2,99),tblBatidas[Batida ID],0)),1),"")</f>
        <v/>
      </c>
      <c r="J46" s="4" t="str">
        <f>IFERROR(MOD(INDEX(tblBatidas[Data e hora],MATCH("B"&amp;MID($A46,2,99),tblBatidas[Início vinculado],0)),1),"")</f>
        <v/>
      </c>
      <c r="K46" s="14" t="str">
        <f>IFERROR((INDEX(tblBatidas[Data e hora],MATCH("B"&amp;MID($A46,2,99),tblBatidas[Início vinculado],0))-INDEX(tblBatidas[Data e hora],MATCH("B"&amp;MID($A46,2,99),tblBatidas[Batida ID],0)))*24,"")</f>
        <v/>
      </c>
      <c r="L46" t="str">
        <f>IFERROR(INDEX(tblBatidas[Observação],MATCH("B"&amp;MID($A46,2,99),tblBatidas[Início vinculado],0)),"")</f>
        <v/>
      </c>
      <c r="M46" t="str">
        <f>IFERROR(INDEX(tblPessoas[Base],MATCH(E46,tblPessoas[ID],0)),"")</f>
        <v/>
      </c>
      <c r="N46" s="3">
        <f>IFERROR(IF(D46="DIA ÚTIL",INDEX(tblPessoas[R$/h útil],MATCH(E46,tblPessoas[ID],0)),INDEX(tblPessoas[R$/h FDS],MATCH(E46,tblPessoas[ID],0))),0)</f>
        <v>0</v>
      </c>
      <c r="O46" s="3">
        <f>IFERROR(INDEX(tblPessoas[R$/diária],MATCH(E46,tblPessoas[ID],0)),0)</f>
        <v>0</v>
      </c>
      <c r="P46" s="3" t="str">
        <f t="shared" si="2"/>
        <v/>
      </c>
      <c r="Q46" t="str">
        <f>IF(A46="","",IF(COUNTIF(tblBatidas[Início vinculado],"B"&amp;MID($A46,2,99))=0,"EM ABERTO",IF(OR(COUNTIF(tblBatidas[Início vinculado],"B"&amp;MID($A46,2,99))&gt;1,K46&lt;0,K46&gt;16,INT(INDEX(tblBatidas[Data e hora],MATCH("B"&amp;MID($A46,2,99),tblBatidas[Início vinculado],0)))&lt;&gt;B46,INDEX(tblBatidas[ID],MATCH("B"&amp;MID($A46,2,99),tblBatidas[Início vinculado],0))&lt;&gt;E46,INDEX(tblBatidas[Projeto],MATCH("B"&amp;MID($A46,2,99),tblBatidas[Início vinculado],0))&lt;&gt;G46,INDEX(tblBatidas[Atividade],MATCH("B"&amp;MID($A46,2,99),tblBatidas[Início vinculado],0))&lt;&gt;H46),"REVISAR","CONCLUÍDO")))</f>
        <v/>
      </c>
      <c r="R46">
        <f>IF(Q46&lt;&gt;"CONCLUÍDO",0,IF(COUNTIFS($E$5:E46,E46,$B$5:B46,B46,$Q$5:Q46,"CONCLUÍDO")=1,1,0))</f>
        <v>0</v>
      </c>
      <c r="S46" t="str">
        <f t="shared" si="3"/>
        <v/>
      </c>
      <c r="T46" t="str">
        <f>IF(E46="","",E46*100000+COUNTIFS(tblRegistros[ID],E46,tblRegistros[Data],"&lt;"&amp;B46)+COUNTIFS(tblRegistros[ID],E46,tblRegistros[Data],B46,tblRegistros[Início],"&lt;"&amp;I46)+COUNTIFS($E$5:E46,E46,$B$5:B46,B46,$I$5:I46,I46))</f>
        <v/>
      </c>
    </row>
    <row r="47" spans="2:20">
      <c r="B47" s="2" t="str">
        <f>IFERROR(INT(INDEX(tblBatidas[Data e hora],MATCH("B"&amp;MID($A47,2,99),tblBatidas[Batida ID],0))),"")</f>
        <v/>
      </c>
      <c r="C47" t="str">
        <f t="shared" si="0"/>
        <v/>
      </c>
      <c r="D47" t="str">
        <f t="shared" si="1"/>
        <v/>
      </c>
      <c r="E47" t="str">
        <f>IFERROR(INDEX(tblBatidas[ID],MATCH("B"&amp;MID($A47,2,99),tblBatidas[Batida ID],0)),"")</f>
        <v/>
      </c>
      <c r="F47" t="str">
        <f>IFERROR(INDEX(tblPessoas[Pessoa],MATCH(E47,tblPessoas[ID],0)),"")</f>
        <v/>
      </c>
      <c r="G47" t="str">
        <f>IFERROR(INDEX(tblBatidas[Projeto],MATCH("B"&amp;MID($A47,2,99),tblBatidas[Batida ID],0)),"")</f>
        <v/>
      </c>
      <c r="H47" t="str">
        <f>IFERROR(INDEX(tblBatidas[Atividade],MATCH("B"&amp;MID($A47,2,99),tblBatidas[Batida ID],0)),"")</f>
        <v/>
      </c>
      <c r="I47" s="4" t="str">
        <f>IFERROR(MOD(INDEX(tblBatidas[Data e hora],MATCH("B"&amp;MID($A47,2,99),tblBatidas[Batida ID],0)),1),"")</f>
        <v/>
      </c>
      <c r="J47" s="4" t="str">
        <f>IFERROR(MOD(INDEX(tblBatidas[Data e hora],MATCH("B"&amp;MID($A47,2,99),tblBatidas[Início vinculado],0)),1),"")</f>
        <v/>
      </c>
      <c r="K47" s="14" t="str">
        <f>IFERROR((INDEX(tblBatidas[Data e hora],MATCH("B"&amp;MID($A47,2,99),tblBatidas[Início vinculado],0))-INDEX(tblBatidas[Data e hora],MATCH("B"&amp;MID($A47,2,99),tblBatidas[Batida ID],0)))*24,"")</f>
        <v/>
      </c>
      <c r="L47" t="str">
        <f>IFERROR(INDEX(tblBatidas[Observação],MATCH("B"&amp;MID($A47,2,99),tblBatidas[Início vinculado],0)),"")</f>
        <v/>
      </c>
      <c r="M47" t="str">
        <f>IFERROR(INDEX(tblPessoas[Base],MATCH(E47,tblPessoas[ID],0)),"")</f>
        <v/>
      </c>
      <c r="N47" s="3">
        <f>IFERROR(IF(D47="DIA ÚTIL",INDEX(tblPessoas[R$/h útil],MATCH(E47,tblPessoas[ID],0)),INDEX(tblPessoas[R$/h FDS],MATCH(E47,tblPessoas[ID],0))),0)</f>
        <v>0</v>
      </c>
      <c r="O47" s="3">
        <f>IFERROR(INDEX(tblPessoas[R$/diária],MATCH(E47,tblPessoas[ID],0)),0)</f>
        <v>0</v>
      </c>
      <c r="P47" s="3" t="str">
        <f t="shared" si="2"/>
        <v/>
      </c>
      <c r="Q47" t="str">
        <f>IF(A47="","",IF(COUNTIF(tblBatidas[Início vinculado],"B"&amp;MID($A47,2,99))=0,"EM ABERTO",IF(OR(COUNTIF(tblBatidas[Início vinculado],"B"&amp;MID($A47,2,99))&gt;1,K47&lt;0,K47&gt;16,INT(INDEX(tblBatidas[Data e hora],MATCH("B"&amp;MID($A47,2,99),tblBatidas[Início vinculado],0)))&lt;&gt;B47,INDEX(tblBatidas[ID],MATCH("B"&amp;MID($A47,2,99),tblBatidas[Início vinculado],0))&lt;&gt;E47,INDEX(tblBatidas[Projeto],MATCH("B"&amp;MID($A47,2,99),tblBatidas[Início vinculado],0))&lt;&gt;G47,INDEX(tblBatidas[Atividade],MATCH("B"&amp;MID($A47,2,99),tblBatidas[Início vinculado],0))&lt;&gt;H47),"REVISAR","CONCLUÍDO")))</f>
        <v/>
      </c>
      <c r="R47">
        <f>IF(Q47&lt;&gt;"CONCLUÍDO",0,IF(COUNTIFS($E$5:E47,E47,$B$5:B47,B47,$Q$5:Q47,"CONCLUÍDO")=1,1,0))</f>
        <v>0</v>
      </c>
      <c r="S47" t="str">
        <f t="shared" si="3"/>
        <v/>
      </c>
      <c r="T47" t="str">
        <f>IF(E47="","",E47*100000+COUNTIFS(tblRegistros[ID],E47,tblRegistros[Data],"&lt;"&amp;B47)+COUNTIFS(tblRegistros[ID],E47,tblRegistros[Data],B47,tblRegistros[Início],"&lt;"&amp;I47)+COUNTIFS($E$5:E47,E47,$B$5:B47,B47,$I$5:I47,I47))</f>
        <v/>
      </c>
    </row>
    <row r="48" spans="2:20">
      <c r="B48" s="2" t="str">
        <f>IFERROR(INT(INDEX(tblBatidas[Data e hora],MATCH("B"&amp;MID($A48,2,99),tblBatidas[Batida ID],0))),"")</f>
        <v/>
      </c>
      <c r="C48" t="str">
        <f t="shared" si="0"/>
        <v/>
      </c>
      <c r="D48" t="str">
        <f t="shared" si="1"/>
        <v/>
      </c>
      <c r="E48" t="str">
        <f>IFERROR(INDEX(tblBatidas[ID],MATCH("B"&amp;MID($A48,2,99),tblBatidas[Batida ID],0)),"")</f>
        <v/>
      </c>
      <c r="F48" t="str">
        <f>IFERROR(INDEX(tblPessoas[Pessoa],MATCH(E48,tblPessoas[ID],0)),"")</f>
        <v/>
      </c>
      <c r="G48" t="str">
        <f>IFERROR(INDEX(tblBatidas[Projeto],MATCH("B"&amp;MID($A48,2,99),tblBatidas[Batida ID],0)),"")</f>
        <v/>
      </c>
      <c r="H48" t="str">
        <f>IFERROR(INDEX(tblBatidas[Atividade],MATCH("B"&amp;MID($A48,2,99),tblBatidas[Batida ID],0)),"")</f>
        <v/>
      </c>
      <c r="I48" s="4" t="str">
        <f>IFERROR(MOD(INDEX(tblBatidas[Data e hora],MATCH("B"&amp;MID($A48,2,99),tblBatidas[Batida ID],0)),1),"")</f>
        <v/>
      </c>
      <c r="J48" s="4" t="str">
        <f>IFERROR(MOD(INDEX(tblBatidas[Data e hora],MATCH("B"&amp;MID($A48,2,99),tblBatidas[Início vinculado],0)),1),"")</f>
        <v/>
      </c>
      <c r="K48" s="14" t="str">
        <f>IFERROR((INDEX(tblBatidas[Data e hora],MATCH("B"&amp;MID($A48,2,99),tblBatidas[Início vinculado],0))-INDEX(tblBatidas[Data e hora],MATCH("B"&amp;MID($A48,2,99),tblBatidas[Batida ID],0)))*24,"")</f>
        <v/>
      </c>
      <c r="L48" t="str">
        <f>IFERROR(INDEX(tblBatidas[Observação],MATCH("B"&amp;MID($A48,2,99),tblBatidas[Início vinculado],0)),"")</f>
        <v/>
      </c>
      <c r="M48" t="str">
        <f>IFERROR(INDEX(tblPessoas[Base],MATCH(E48,tblPessoas[ID],0)),"")</f>
        <v/>
      </c>
      <c r="N48" s="3">
        <f>IFERROR(IF(D48="DIA ÚTIL",INDEX(tblPessoas[R$/h útil],MATCH(E48,tblPessoas[ID],0)),INDEX(tblPessoas[R$/h FDS],MATCH(E48,tblPessoas[ID],0))),0)</f>
        <v>0</v>
      </c>
      <c r="O48" s="3">
        <f>IFERROR(INDEX(tblPessoas[R$/diária],MATCH(E48,tblPessoas[ID],0)),0)</f>
        <v>0</v>
      </c>
      <c r="P48" s="3" t="str">
        <f t="shared" si="2"/>
        <v/>
      </c>
      <c r="Q48" t="str">
        <f>IF(A48="","",IF(COUNTIF(tblBatidas[Início vinculado],"B"&amp;MID($A48,2,99))=0,"EM ABERTO",IF(OR(COUNTIF(tblBatidas[Início vinculado],"B"&amp;MID($A48,2,99))&gt;1,K48&lt;0,K48&gt;16,INT(INDEX(tblBatidas[Data e hora],MATCH("B"&amp;MID($A48,2,99),tblBatidas[Início vinculado],0)))&lt;&gt;B48,INDEX(tblBatidas[ID],MATCH("B"&amp;MID($A48,2,99),tblBatidas[Início vinculado],0))&lt;&gt;E48,INDEX(tblBatidas[Projeto],MATCH("B"&amp;MID($A48,2,99),tblBatidas[Início vinculado],0))&lt;&gt;G48,INDEX(tblBatidas[Atividade],MATCH("B"&amp;MID($A48,2,99),tblBatidas[Início vinculado],0))&lt;&gt;H48),"REVISAR","CONCLUÍDO")))</f>
        <v/>
      </c>
      <c r="R48">
        <f>IF(Q48&lt;&gt;"CONCLUÍDO",0,IF(COUNTIFS($E$5:E48,E48,$B$5:B48,B48,$Q$5:Q48,"CONCLUÍDO")=1,1,0))</f>
        <v>0</v>
      </c>
      <c r="S48" t="str">
        <f t="shared" si="3"/>
        <v/>
      </c>
      <c r="T48" t="str">
        <f>IF(E48="","",E48*100000+COUNTIFS(tblRegistros[ID],E48,tblRegistros[Data],"&lt;"&amp;B48)+COUNTIFS(tblRegistros[ID],E48,tblRegistros[Data],B48,tblRegistros[Início],"&lt;"&amp;I48)+COUNTIFS($E$5:E48,E48,$B$5:B48,B48,$I$5:I48,I48))</f>
        <v/>
      </c>
    </row>
    <row r="49" spans="2:20">
      <c r="B49" s="2" t="str">
        <f>IFERROR(INT(INDEX(tblBatidas[Data e hora],MATCH("B"&amp;MID($A49,2,99),tblBatidas[Batida ID],0))),"")</f>
        <v/>
      </c>
      <c r="C49" t="str">
        <f t="shared" si="0"/>
        <v/>
      </c>
      <c r="D49" t="str">
        <f t="shared" si="1"/>
        <v/>
      </c>
      <c r="E49" t="str">
        <f>IFERROR(INDEX(tblBatidas[ID],MATCH("B"&amp;MID($A49,2,99),tblBatidas[Batida ID],0)),"")</f>
        <v/>
      </c>
      <c r="F49" t="str">
        <f>IFERROR(INDEX(tblPessoas[Pessoa],MATCH(E49,tblPessoas[ID],0)),"")</f>
        <v/>
      </c>
      <c r="G49" t="str">
        <f>IFERROR(INDEX(tblBatidas[Projeto],MATCH("B"&amp;MID($A49,2,99),tblBatidas[Batida ID],0)),"")</f>
        <v/>
      </c>
      <c r="H49" t="str">
        <f>IFERROR(INDEX(tblBatidas[Atividade],MATCH("B"&amp;MID($A49,2,99),tblBatidas[Batida ID],0)),"")</f>
        <v/>
      </c>
      <c r="I49" s="4" t="str">
        <f>IFERROR(MOD(INDEX(tblBatidas[Data e hora],MATCH("B"&amp;MID($A49,2,99),tblBatidas[Batida ID],0)),1),"")</f>
        <v/>
      </c>
      <c r="J49" s="4" t="str">
        <f>IFERROR(MOD(INDEX(tblBatidas[Data e hora],MATCH("B"&amp;MID($A49,2,99),tblBatidas[Início vinculado],0)),1),"")</f>
        <v/>
      </c>
      <c r="K49" s="14" t="str">
        <f>IFERROR((INDEX(tblBatidas[Data e hora],MATCH("B"&amp;MID($A49,2,99),tblBatidas[Início vinculado],0))-INDEX(tblBatidas[Data e hora],MATCH("B"&amp;MID($A49,2,99),tblBatidas[Batida ID],0)))*24,"")</f>
        <v/>
      </c>
      <c r="L49" t="str">
        <f>IFERROR(INDEX(tblBatidas[Observação],MATCH("B"&amp;MID($A49,2,99),tblBatidas[Início vinculado],0)),"")</f>
        <v/>
      </c>
      <c r="M49" t="str">
        <f>IFERROR(INDEX(tblPessoas[Base],MATCH(E49,tblPessoas[ID],0)),"")</f>
        <v/>
      </c>
      <c r="N49" s="3">
        <f>IFERROR(IF(D49="DIA ÚTIL",INDEX(tblPessoas[R$/h útil],MATCH(E49,tblPessoas[ID],0)),INDEX(tblPessoas[R$/h FDS],MATCH(E49,tblPessoas[ID],0))),0)</f>
        <v>0</v>
      </c>
      <c r="O49" s="3">
        <f>IFERROR(INDEX(tblPessoas[R$/diária],MATCH(E49,tblPessoas[ID],0)),0)</f>
        <v>0</v>
      </c>
      <c r="P49" s="3" t="str">
        <f t="shared" si="2"/>
        <v/>
      </c>
      <c r="Q49" t="str">
        <f>IF(A49="","",IF(COUNTIF(tblBatidas[Início vinculado],"B"&amp;MID($A49,2,99))=0,"EM ABERTO",IF(OR(COUNTIF(tblBatidas[Início vinculado],"B"&amp;MID($A49,2,99))&gt;1,K49&lt;0,K49&gt;16,INT(INDEX(tblBatidas[Data e hora],MATCH("B"&amp;MID($A49,2,99),tblBatidas[Início vinculado],0)))&lt;&gt;B49,INDEX(tblBatidas[ID],MATCH("B"&amp;MID($A49,2,99),tblBatidas[Início vinculado],0))&lt;&gt;E49,INDEX(tblBatidas[Projeto],MATCH("B"&amp;MID($A49,2,99),tblBatidas[Início vinculado],0))&lt;&gt;G49,INDEX(tblBatidas[Atividade],MATCH("B"&amp;MID($A49,2,99),tblBatidas[Início vinculado],0))&lt;&gt;H49),"REVISAR","CONCLUÍDO")))</f>
        <v/>
      </c>
      <c r="R49">
        <f>IF(Q49&lt;&gt;"CONCLUÍDO",0,IF(COUNTIFS($E$5:E49,E49,$B$5:B49,B49,$Q$5:Q49,"CONCLUÍDO")=1,1,0))</f>
        <v>0</v>
      </c>
      <c r="S49" t="str">
        <f t="shared" si="3"/>
        <v/>
      </c>
      <c r="T49" t="str">
        <f>IF(E49="","",E49*100000+COUNTIFS(tblRegistros[ID],E49,tblRegistros[Data],"&lt;"&amp;B49)+COUNTIFS(tblRegistros[ID],E49,tblRegistros[Data],B49,tblRegistros[Início],"&lt;"&amp;I49)+COUNTIFS($E$5:E49,E49,$B$5:B49,B49,$I$5:I49,I49))</f>
        <v/>
      </c>
    </row>
    <row r="50" spans="2:20">
      <c r="B50" s="2" t="str">
        <f>IFERROR(INT(INDEX(tblBatidas[Data e hora],MATCH("B"&amp;MID($A50,2,99),tblBatidas[Batida ID],0))),"")</f>
        <v/>
      </c>
      <c r="C50" t="str">
        <f t="shared" si="0"/>
        <v/>
      </c>
      <c r="D50" t="str">
        <f t="shared" si="1"/>
        <v/>
      </c>
      <c r="E50" t="str">
        <f>IFERROR(INDEX(tblBatidas[ID],MATCH("B"&amp;MID($A50,2,99),tblBatidas[Batida ID],0)),"")</f>
        <v/>
      </c>
      <c r="F50" t="str">
        <f>IFERROR(INDEX(tblPessoas[Pessoa],MATCH(E50,tblPessoas[ID],0)),"")</f>
        <v/>
      </c>
      <c r="G50" t="str">
        <f>IFERROR(INDEX(tblBatidas[Projeto],MATCH("B"&amp;MID($A50,2,99),tblBatidas[Batida ID],0)),"")</f>
        <v/>
      </c>
      <c r="H50" t="str">
        <f>IFERROR(INDEX(tblBatidas[Atividade],MATCH("B"&amp;MID($A50,2,99),tblBatidas[Batida ID],0)),"")</f>
        <v/>
      </c>
      <c r="I50" s="4" t="str">
        <f>IFERROR(MOD(INDEX(tblBatidas[Data e hora],MATCH("B"&amp;MID($A50,2,99),tblBatidas[Batida ID],0)),1),"")</f>
        <v/>
      </c>
      <c r="J50" s="4" t="str">
        <f>IFERROR(MOD(INDEX(tblBatidas[Data e hora],MATCH("B"&amp;MID($A50,2,99),tblBatidas[Início vinculado],0)),1),"")</f>
        <v/>
      </c>
      <c r="K50" s="14" t="str">
        <f>IFERROR((INDEX(tblBatidas[Data e hora],MATCH("B"&amp;MID($A50,2,99),tblBatidas[Início vinculado],0))-INDEX(tblBatidas[Data e hora],MATCH("B"&amp;MID($A50,2,99),tblBatidas[Batida ID],0)))*24,"")</f>
        <v/>
      </c>
      <c r="L50" t="str">
        <f>IFERROR(INDEX(tblBatidas[Observação],MATCH("B"&amp;MID($A50,2,99),tblBatidas[Início vinculado],0)),"")</f>
        <v/>
      </c>
      <c r="M50" t="str">
        <f>IFERROR(INDEX(tblPessoas[Base],MATCH(E50,tblPessoas[ID],0)),"")</f>
        <v/>
      </c>
      <c r="N50" s="3">
        <f>IFERROR(IF(D50="DIA ÚTIL",INDEX(tblPessoas[R$/h útil],MATCH(E50,tblPessoas[ID],0)),INDEX(tblPessoas[R$/h FDS],MATCH(E50,tblPessoas[ID],0))),0)</f>
        <v>0</v>
      </c>
      <c r="O50" s="3">
        <f>IFERROR(INDEX(tblPessoas[R$/diária],MATCH(E50,tblPessoas[ID],0)),0)</f>
        <v>0</v>
      </c>
      <c r="P50" s="3" t="str">
        <f t="shared" si="2"/>
        <v/>
      </c>
      <c r="Q50" t="str">
        <f>IF(A50="","",IF(COUNTIF(tblBatidas[Início vinculado],"B"&amp;MID($A50,2,99))=0,"EM ABERTO",IF(OR(COUNTIF(tblBatidas[Início vinculado],"B"&amp;MID($A50,2,99))&gt;1,K50&lt;0,K50&gt;16,INT(INDEX(tblBatidas[Data e hora],MATCH("B"&amp;MID($A50,2,99),tblBatidas[Início vinculado],0)))&lt;&gt;B50,INDEX(tblBatidas[ID],MATCH("B"&amp;MID($A50,2,99),tblBatidas[Início vinculado],0))&lt;&gt;E50,INDEX(tblBatidas[Projeto],MATCH("B"&amp;MID($A50,2,99),tblBatidas[Início vinculado],0))&lt;&gt;G50,INDEX(tblBatidas[Atividade],MATCH("B"&amp;MID($A50,2,99),tblBatidas[Início vinculado],0))&lt;&gt;H50),"REVISAR","CONCLUÍDO")))</f>
        <v/>
      </c>
      <c r="R50">
        <f>IF(Q50&lt;&gt;"CONCLUÍDO",0,IF(COUNTIFS($E$5:E50,E50,$B$5:B50,B50,$Q$5:Q50,"CONCLUÍDO")=1,1,0))</f>
        <v>0</v>
      </c>
      <c r="S50" t="str">
        <f t="shared" si="3"/>
        <v/>
      </c>
      <c r="T50" t="str">
        <f>IF(E50="","",E50*100000+COUNTIFS(tblRegistros[ID],E50,tblRegistros[Data],"&lt;"&amp;B50)+COUNTIFS(tblRegistros[ID],E50,tblRegistros[Data],B50,tblRegistros[Início],"&lt;"&amp;I50)+COUNTIFS($E$5:E50,E50,$B$5:B50,B50,$I$5:I50,I50))</f>
        <v/>
      </c>
    </row>
    <row r="51" spans="2:20">
      <c r="B51" s="2" t="str">
        <f>IFERROR(INT(INDEX(tblBatidas[Data e hora],MATCH("B"&amp;MID($A51,2,99),tblBatidas[Batida ID],0))),"")</f>
        <v/>
      </c>
      <c r="C51" t="str">
        <f t="shared" si="0"/>
        <v/>
      </c>
      <c r="D51" t="str">
        <f t="shared" si="1"/>
        <v/>
      </c>
      <c r="E51" t="str">
        <f>IFERROR(INDEX(tblBatidas[ID],MATCH("B"&amp;MID($A51,2,99),tblBatidas[Batida ID],0)),"")</f>
        <v/>
      </c>
      <c r="F51" t="str">
        <f>IFERROR(INDEX(tblPessoas[Pessoa],MATCH(E51,tblPessoas[ID],0)),"")</f>
        <v/>
      </c>
      <c r="G51" t="str">
        <f>IFERROR(INDEX(tblBatidas[Projeto],MATCH("B"&amp;MID($A51,2,99),tblBatidas[Batida ID],0)),"")</f>
        <v/>
      </c>
      <c r="H51" t="str">
        <f>IFERROR(INDEX(tblBatidas[Atividade],MATCH("B"&amp;MID($A51,2,99),tblBatidas[Batida ID],0)),"")</f>
        <v/>
      </c>
      <c r="I51" s="4" t="str">
        <f>IFERROR(MOD(INDEX(tblBatidas[Data e hora],MATCH("B"&amp;MID($A51,2,99),tblBatidas[Batida ID],0)),1),"")</f>
        <v/>
      </c>
      <c r="J51" s="4" t="str">
        <f>IFERROR(MOD(INDEX(tblBatidas[Data e hora],MATCH("B"&amp;MID($A51,2,99),tblBatidas[Início vinculado],0)),1),"")</f>
        <v/>
      </c>
      <c r="K51" s="14" t="str">
        <f>IFERROR((INDEX(tblBatidas[Data e hora],MATCH("B"&amp;MID($A51,2,99),tblBatidas[Início vinculado],0))-INDEX(tblBatidas[Data e hora],MATCH("B"&amp;MID($A51,2,99),tblBatidas[Batida ID],0)))*24,"")</f>
        <v/>
      </c>
      <c r="L51" t="str">
        <f>IFERROR(INDEX(tblBatidas[Observação],MATCH("B"&amp;MID($A51,2,99),tblBatidas[Início vinculado],0)),"")</f>
        <v/>
      </c>
      <c r="M51" t="str">
        <f>IFERROR(INDEX(tblPessoas[Base],MATCH(E51,tblPessoas[ID],0)),"")</f>
        <v/>
      </c>
      <c r="N51" s="3">
        <f>IFERROR(IF(D51="DIA ÚTIL",INDEX(tblPessoas[R$/h útil],MATCH(E51,tblPessoas[ID],0)),INDEX(tblPessoas[R$/h FDS],MATCH(E51,tblPessoas[ID],0))),0)</f>
        <v>0</v>
      </c>
      <c r="O51" s="3">
        <f>IFERROR(INDEX(tblPessoas[R$/diária],MATCH(E51,tblPessoas[ID],0)),0)</f>
        <v>0</v>
      </c>
      <c r="P51" s="3" t="str">
        <f t="shared" si="2"/>
        <v/>
      </c>
      <c r="Q51" t="str">
        <f>IF(A51="","",IF(COUNTIF(tblBatidas[Início vinculado],"B"&amp;MID($A51,2,99))=0,"EM ABERTO",IF(OR(COUNTIF(tblBatidas[Início vinculado],"B"&amp;MID($A51,2,99))&gt;1,K51&lt;0,K51&gt;16,INT(INDEX(tblBatidas[Data e hora],MATCH("B"&amp;MID($A51,2,99),tblBatidas[Início vinculado],0)))&lt;&gt;B51,INDEX(tblBatidas[ID],MATCH("B"&amp;MID($A51,2,99),tblBatidas[Início vinculado],0))&lt;&gt;E51,INDEX(tblBatidas[Projeto],MATCH("B"&amp;MID($A51,2,99),tblBatidas[Início vinculado],0))&lt;&gt;G51,INDEX(tblBatidas[Atividade],MATCH("B"&amp;MID($A51,2,99),tblBatidas[Início vinculado],0))&lt;&gt;H51),"REVISAR","CONCLUÍDO")))</f>
        <v/>
      </c>
      <c r="R51">
        <f>IF(Q51&lt;&gt;"CONCLUÍDO",0,IF(COUNTIFS($E$5:E51,E51,$B$5:B51,B51,$Q$5:Q51,"CONCLUÍDO")=1,1,0))</f>
        <v>0</v>
      </c>
      <c r="S51" t="str">
        <f t="shared" si="3"/>
        <v/>
      </c>
      <c r="T51" t="str">
        <f>IF(E51="","",E51*100000+COUNTIFS(tblRegistros[ID],E51,tblRegistros[Data],"&lt;"&amp;B51)+COUNTIFS(tblRegistros[ID],E51,tblRegistros[Data],B51,tblRegistros[Início],"&lt;"&amp;I51)+COUNTIFS($E$5:E51,E51,$B$5:B51,B51,$I$5:I51,I51))</f>
        <v/>
      </c>
    </row>
    <row r="52" spans="2:20">
      <c r="B52" s="2" t="str">
        <f>IFERROR(INT(INDEX(tblBatidas[Data e hora],MATCH("B"&amp;MID($A52,2,99),tblBatidas[Batida ID],0))),"")</f>
        <v/>
      </c>
      <c r="C52" t="str">
        <f t="shared" si="0"/>
        <v/>
      </c>
      <c r="D52" t="str">
        <f t="shared" si="1"/>
        <v/>
      </c>
      <c r="E52" t="str">
        <f>IFERROR(INDEX(tblBatidas[ID],MATCH("B"&amp;MID($A52,2,99),tblBatidas[Batida ID],0)),"")</f>
        <v/>
      </c>
      <c r="F52" t="str">
        <f>IFERROR(INDEX(tblPessoas[Pessoa],MATCH(E52,tblPessoas[ID],0)),"")</f>
        <v/>
      </c>
      <c r="G52" t="str">
        <f>IFERROR(INDEX(tblBatidas[Projeto],MATCH("B"&amp;MID($A52,2,99),tblBatidas[Batida ID],0)),"")</f>
        <v/>
      </c>
      <c r="H52" t="str">
        <f>IFERROR(INDEX(tblBatidas[Atividade],MATCH("B"&amp;MID($A52,2,99),tblBatidas[Batida ID],0)),"")</f>
        <v/>
      </c>
      <c r="I52" s="4" t="str">
        <f>IFERROR(MOD(INDEX(tblBatidas[Data e hora],MATCH("B"&amp;MID($A52,2,99),tblBatidas[Batida ID],0)),1),"")</f>
        <v/>
      </c>
      <c r="J52" s="4" t="str">
        <f>IFERROR(MOD(INDEX(tblBatidas[Data e hora],MATCH("B"&amp;MID($A52,2,99),tblBatidas[Início vinculado],0)),1),"")</f>
        <v/>
      </c>
      <c r="K52" s="14" t="str">
        <f>IFERROR((INDEX(tblBatidas[Data e hora],MATCH("B"&amp;MID($A52,2,99),tblBatidas[Início vinculado],0))-INDEX(tblBatidas[Data e hora],MATCH("B"&amp;MID($A52,2,99),tblBatidas[Batida ID],0)))*24,"")</f>
        <v/>
      </c>
      <c r="L52" t="str">
        <f>IFERROR(INDEX(tblBatidas[Observação],MATCH("B"&amp;MID($A52,2,99),tblBatidas[Início vinculado],0)),"")</f>
        <v/>
      </c>
      <c r="M52" t="str">
        <f>IFERROR(INDEX(tblPessoas[Base],MATCH(E52,tblPessoas[ID],0)),"")</f>
        <v/>
      </c>
      <c r="N52" s="3">
        <f>IFERROR(IF(D52="DIA ÚTIL",INDEX(tblPessoas[R$/h útil],MATCH(E52,tblPessoas[ID],0)),INDEX(tblPessoas[R$/h FDS],MATCH(E52,tblPessoas[ID],0))),0)</f>
        <v>0</v>
      </c>
      <c r="O52" s="3">
        <f>IFERROR(INDEX(tblPessoas[R$/diária],MATCH(E52,tblPessoas[ID],0)),0)</f>
        <v>0</v>
      </c>
      <c r="P52" s="3" t="str">
        <f t="shared" si="2"/>
        <v/>
      </c>
      <c r="Q52" t="str">
        <f>IF(A52="","",IF(COUNTIF(tblBatidas[Início vinculado],"B"&amp;MID($A52,2,99))=0,"EM ABERTO",IF(OR(COUNTIF(tblBatidas[Início vinculado],"B"&amp;MID($A52,2,99))&gt;1,K52&lt;0,K52&gt;16,INT(INDEX(tblBatidas[Data e hora],MATCH("B"&amp;MID($A52,2,99),tblBatidas[Início vinculado],0)))&lt;&gt;B52,INDEX(tblBatidas[ID],MATCH("B"&amp;MID($A52,2,99),tblBatidas[Início vinculado],0))&lt;&gt;E52,INDEX(tblBatidas[Projeto],MATCH("B"&amp;MID($A52,2,99),tblBatidas[Início vinculado],0))&lt;&gt;G52,INDEX(tblBatidas[Atividade],MATCH("B"&amp;MID($A52,2,99),tblBatidas[Início vinculado],0))&lt;&gt;H52),"REVISAR","CONCLUÍDO")))</f>
        <v/>
      </c>
      <c r="R52">
        <f>IF(Q52&lt;&gt;"CONCLUÍDO",0,IF(COUNTIFS($E$5:E52,E52,$B$5:B52,B52,$Q$5:Q52,"CONCLUÍDO")=1,1,0))</f>
        <v>0</v>
      </c>
      <c r="S52" t="str">
        <f t="shared" si="3"/>
        <v/>
      </c>
      <c r="T52" t="str">
        <f>IF(E52="","",E52*100000+COUNTIFS(tblRegistros[ID],E52,tblRegistros[Data],"&lt;"&amp;B52)+COUNTIFS(tblRegistros[ID],E52,tblRegistros[Data],B52,tblRegistros[Início],"&lt;"&amp;I52)+COUNTIFS($E$5:E52,E52,$B$5:B52,B52,$I$5:I52,I52))</f>
        <v/>
      </c>
    </row>
    <row r="53" spans="2:20">
      <c r="B53" s="2" t="str">
        <f>IFERROR(INT(INDEX(tblBatidas[Data e hora],MATCH("B"&amp;MID($A53,2,99),tblBatidas[Batida ID],0))),"")</f>
        <v/>
      </c>
      <c r="C53" t="str">
        <f t="shared" si="0"/>
        <v/>
      </c>
      <c r="D53" t="str">
        <f t="shared" si="1"/>
        <v/>
      </c>
      <c r="E53" t="str">
        <f>IFERROR(INDEX(tblBatidas[ID],MATCH("B"&amp;MID($A53,2,99),tblBatidas[Batida ID],0)),"")</f>
        <v/>
      </c>
      <c r="F53" t="str">
        <f>IFERROR(INDEX(tblPessoas[Pessoa],MATCH(E53,tblPessoas[ID],0)),"")</f>
        <v/>
      </c>
      <c r="G53" t="str">
        <f>IFERROR(INDEX(tblBatidas[Projeto],MATCH("B"&amp;MID($A53,2,99),tblBatidas[Batida ID],0)),"")</f>
        <v/>
      </c>
      <c r="H53" t="str">
        <f>IFERROR(INDEX(tblBatidas[Atividade],MATCH("B"&amp;MID($A53,2,99),tblBatidas[Batida ID],0)),"")</f>
        <v/>
      </c>
      <c r="I53" s="4" t="str">
        <f>IFERROR(MOD(INDEX(tblBatidas[Data e hora],MATCH("B"&amp;MID($A53,2,99),tblBatidas[Batida ID],0)),1),"")</f>
        <v/>
      </c>
      <c r="J53" s="4" t="str">
        <f>IFERROR(MOD(INDEX(tblBatidas[Data e hora],MATCH("B"&amp;MID($A53,2,99),tblBatidas[Início vinculado],0)),1),"")</f>
        <v/>
      </c>
      <c r="K53" s="14" t="str">
        <f>IFERROR((INDEX(tblBatidas[Data e hora],MATCH("B"&amp;MID($A53,2,99),tblBatidas[Início vinculado],0))-INDEX(tblBatidas[Data e hora],MATCH("B"&amp;MID($A53,2,99),tblBatidas[Batida ID],0)))*24,"")</f>
        <v/>
      </c>
      <c r="L53" t="str">
        <f>IFERROR(INDEX(tblBatidas[Observação],MATCH("B"&amp;MID($A53,2,99),tblBatidas[Início vinculado],0)),"")</f>
        <v/>
      </c>
      <c r="M53" t="str">
        <f>IFERROR(INDEX(tblPessoas[Base],MATCH(E53,tblPessoas[ID],0)),"")</f>
        <v/>
      </c>
      <c r="N53" s="3">
        <f>IFERROR(IF(D53="DIA ÚTIL",INDEX(tblPessoas[R$/h útil],MATCH(E53,tblPessoas[ID],0)),INDEX(tblPessoas[R$/h FDS],MATCH(E53,tblPessoas[ID],0))),0)</f>
        <v>0</v>
      </c>
      <c r="O53" s="3">
        <f>IFERROR(INDEX(tblPessoas[R$/diária],MATCH(E53,tblPessoas[ID],0)),0)</f>
        <v>0</v>
      </c>
      <c r="P53" s="3" t="str">
        <f t="shared" si="2"/>
        <v/>
      </c>
      <c r="Q53" t="str">
        <f>IF(A53="","",IF(COUNTIF(tblBatidas[Início vinculado],"B"&amp;MID($A53,2,99))=0,"EM ABERTO",IF(OR(COUNTIF(tblBatidas[Início vinculado],"B"&amp;MID($A53,2,99))&gt;1,K53&lt;0,K53&gt;16,INT(INDEX(tblBatidas[Data e hora],MATCH("B"&amp;MID($A53,2,99),tblBatidas[Início vinculado],0)))&lt;&gt;B53,INDEX(tblBatidas[ID],MATCH("B"&amp;MID($A53,2,99),tblBatidas[Início vinculado],0))&lt;&gt;E53,INDEX(tblBatidas[Projeto],MATCH("B"&amp;MID($A53,2,99),tblBatidas[Início vinculado],0))&lt;&gt;G53,INDEX(tblBatidas[Atividade],MATCH("B"&amp;MID($A53,2,99),tblBatidas[Início vinculado],0))&lt;&gt;H53),"REVISAR","CONCLUÍDO")))</f>
        <v/>
      </c>
      <c r="R53">
        <f>IF(Q53&lt;&gt;"CONCLUÍDO",0,IF(COUNTIFS($E$5:E53,E53,$B$5:B53,B53,$Q$5:Q53,"CONCLUÍDO")=1,1,0))</f>
        <v>0</v>
      </c>
      <c r="S53" t="str">
        <f t="shared" si="3"/>
        <v/>
      </c>
      <c r="T53" t="str">
        <f>IF(E53="","",E53*100000+COUNTIFS(tblRegistros[ID],E53,tblRegistros[Data],"&lt;"&amp;B53)+COUNTIFS(tblRegistros[ID],E53,tblRegistros[Data],B53,tblRegistros[Início],"&lt;"&amp;I53)+COUNTIFS($E$5:E53,E53,$B$5:B53,B53,$I$5:I53,I53))</f>
        <v/>
      </c>
    </row>
    <row r="54" spans="2:20">
      <c r="B54" s="2" t="str">
        <f>IFERROR(INT(INDEX(tblBatidas[Data e hora],MATCH("B"&amp;MID($A54,2,99),tblBatidas[Batida ID],0))),"")</f>
        <v/>
      </c>
      <c r="C54" t="str">
        <f t="shared" si="0"/>
        <v/>
      </c>
      <c r="D54" t="str">
        <f t="shared" si="1"/>
        <v/>
      </c>
      <c r="E54" t="str">
        <f>IFERROR(INDEX(tblBatidas[ID],MATCH("B"&amp;MID($A54,2,99),tblBatidas[Batida ID],0)),"")</f>
        <v/>
      </c>
      <c r="F54" t="str">
        <f>IFERROR(INDEX(tblPessoas[Pessoa],MATCH(E54,tblPessoas[ID],0)),"")</f>
        <v/>
      </c>
      <c r="G54" t="str">
        <f>IFERROR(INDEX(tblBatidas[Projeto],MATCH("B"&amp;MID($A54,2,99),tblBatidas[Batida ID],0)),"")</f>
        <v/>
      </c>
      <c r="H54" t="str">
        <f>IFERROR(INDEX(tblBatidas[Atividade],MATCH("B"&amp;MID($A54,2,99),tblBatidas[Batida ID],0)),"")</f>
        <v/>
      </c>
      <c r="I54" s="4" t="str">
        <f>IFERROR(MOD(INDEX(tblBatidas[Data e hora],MATCH("B"&amp;MID($A54,2,99),tblBatidas[Batida ID],0)),1),"")</f>
        <v/>
      </c>
      <c r="J54" s="4" t="str">
        <f>IFERROR(MOD(INDEX(tblBatidas[Data e hora],MATCH("B"&amp;MID($A54,2,99),tblBatidas[Início vinculado],0)),1),"")</f>
        <v/>
      </c>
      <c r="K54" s="14" t="str">
        <f>IFERROR((INDEX(tblBatidas[Data e hora],MATCH("B"&amp;MID($A54,2,99),tblBatidas[Início vinculado],0))-INDEX(tblBatidas[Data e hora],MATCH("B"&amp;MID($A54,2,99),tblBatidas[Batida ID],0)))*24,"")</f>
        <v/>
      </c>
      <c r="L54" t="str">
        <f>IFERROR(INDEX(tblBatidas[Observação],MATCH("B"&amp;MID($A54,2,99),tblBatidas[Início vinculado],0)),"")</f>
        <v/>
      </c>
      <c r="M54" t="str">
        <f>IFERROR(INDEX(tblPessoas[Base],MATCH(E54,tblPessoas[ID],0)),"")</f>
        <v/>
      </c>
      <c r="N54" s="3">
        <f>IFERROR(IF(D54="DIA ÚTIL",INDEX(tblPessoas[R$/h útil],MATCH(E54,tblPessoas[ID],0)),INDEX(tblPessoas[R$/h FDS],MATCH(E54,tblPessoas[ID],0))),0)</f>
        <v>0</v>
      </c>
      <c r="O54" s="3">
        <f>IFERROR(INDEX(tblPessoas[R$/diária],MATCH(E54,tblPessoas[ID],0)),0)</f>
        <v>0</v>
      </c>
      <c r="P54" s="3" t="str">
        <f t="shared" si="2"/>
        <v/>
      </c>
      <c r="Q54" t="str">
        <f>IF(A54="","",IF(COUNTIF(tblBatidas[Início vinculado],"B"&amp;MID($A54,2,99))=0,"EM ABERTO",IF(OR(COUNTIF(tblBatidas[Início vinculado],"B"&amp;MID($A54,2,99))&gt;1,K54&lt;0,K54&gt;16,INT(INDEX(tblBatidas[Data e hora],MATCH("B"&amp;MID($A54,2,99),tblBatidas[Início vinculado],0)))&lt;&gt;B54,INDEX(tblBatidas[ID],MATCH("B"&amp;MID($A54,2,99),tblBatidas[Início vinculado],0))&lt;&gt;E54,INDEX(tblBatidas[Projeto],MATCH("B"&amp;MID($A54,2,99),tblBatidas[Início vinculado],0))&lt;&gt;G54,INDEX(tblBatidas[Atividade],MATCH("B"&amp;MID($A54,2,99),tblBatidas[Início vinculado],0))&lt;&gt;H54),"REVISAR","CONCLUÍDO")))</f>
        <v/>
      </c>
      <c r="R54">
        <f>IF(Q54&lt;&gt;"CONCLUÍDO",0,IF(COUNTIFS($E$5:E54,E54,$B$5:B54,B54,$Q$5:Q54,"CONCLUÍDO")=1,1,0))</f>
        <v>0</v>
      </c>
      <c r="S54" t="str">
        <f t="shared" si="3"/>
        <v/>
      </c>
      <c r="T54" t="str">
        <f>IF(E54="","",E54*100000+COUNTIFS(tblRegistros[ID],E54,tblRegistros[Data],"&lt;"&amp;B54)+COUNTIFS(tblRegistros[ID],E54,tblRegistros[Data],B54,tblRegistros[Início],"&lt;"&amp;I54)+COUNTIFS($E$5:E54,E54,$B$5:B54,B54,$I$5:I54,I54))</f>
        <v/>
      </c>
    </row>
    <row r="55" spans="2:20">
      <c r="B55" s="2" t="str">
        <f>IFERROR(INT(INDEX(tblBatidas[Data e hora],MATCH("B"&amp;MID($A55,2,99),tblBatidas[Batida ID],0))),"")</f>
        <v/>
      </c>
      <c r="C55" t="str">
        <f t="shared" si="0"/>
        <v/>
      </c>
      <c r="D55" t="str">
        <f t="shared" si="1"/>
        <v/>
      </c>
      <c r="E55" t="str">
        <f>IFERROR(INDEX(tblBatidas[ID],MATCH("B"&amp;MID($A55,2,99),tblBatidas[Batida ID],0)),"")</f>
        <v/>
      </c>
      <c r="F55" t="str">
        <f>IFERROR(INDEX(tblPessoas[Pessoa],MATCH(E55,tblPessoas[ID],0)),"")</f>
        <v/>
      </c>
      <c r="G55" t="str">
        <f>IFERROR(INDEX(tblBatidas[Projeto],MATCH("B"&amp;MID($A55,2,99),tblBatidas[Batida ID],0)),"")</f>
        <v/>
      </c>
      <c r="H55" t="str">
        <f>IFERROR(INDEX(tblBatidas[Atividade],MATCH("B"&amp;MID($A55,2,99),tblBatidas[Batida ID],0)),"")</f>
        <v/>
      </c>
      <c r="I55" s="4" t="str">
        <f>IFERROR(MOD(INDEX(tblBatidas[Data e hora],MATCH("B"&amp;MID($A55,2,99),tblBatidas[Batida ID],0)),1),"")</f>
        <v/>
      </c>
      <c r="J55" s="4" t="str">
        <f>IFERROR(MOD(INDEX(tblBatidas[Data e hora],MATCH("B"&amp;MID($A55,2,99),tblBatidas[Início vinculado],0)),1),"")</f>
        <v/>
      </c>
      <c r="K55" s="14" t="str">
        <f>IFERROR((INDEX(tblBatidas[Data e hora],MATCH("B"&amp;MID($A55,2,99),tblBatidas[Início vinculado],0))-INDEX(tblBatidas[Data e hora],MATCH("B"&amp;MID($A55,2,99),tblBatidas[Batida ID],0)))*24,"")</f>
        <v/>
      </c>
      <c r="L55" t="str">
        <f>IFERROR(INDEX(tblBatidas[Observação],MATCH("B"&amp;MID($A55,2,99),tblBatidas[Início vinculado],0)),"")</f>
        <v/>
      </c>
      <c r="M55" t="str">
        <f>IFERROR(INDEX(tblPessoas[Base],MATCH(E55,tblPessoas[ID],0)),"")</f>
        <v/>
      </c>
      <c r="N55" s="3">
        <f>IFERROR(IF(D55="DIA ÚTIL",INDEX(tblPessoas[R$/h útil],MATCH(E55,tblPessoas[ID],0)),INDEX(tblPessoas[R$/h FDS],MATCH(E55,tblPessoas[ID],0))),0)</f>
        <v>0</v>
      </c>
      <c r="O55" s="3">
        <f>IFERROR(INDEX(tblPessoas[R$/diária],MATCH(E55,tblPessoas[ID],0)),0)</f>
        <v>0</v>
      </c>
      <c r="P55" s="3" t="str">
        <f t="shared" si="2"/>
        <v/>
      </c>
      <c r="Q55" t="str">
        <f>IF(A55="","",IF(COUNTIF(tblBatidas[Início vinculado],"B"&amp;MID($A55,2,99))=0,"EM ABERTO",IF(OR(COUNTIF(tblBatidas[Início vinculado],"B"&amp;MID($A55,2,99))&gt;1,K55&lt;0,K55&gt;16,INT(INDEX(tblBatidas[Data e hora],MATCH("B"&amp;MID($A55,2,99),tblBatidas[Início vinculado],0)))&lt;&gt;B55,INDEX(tblBatidas[ID],MATCH("B"&amp;MID($A55,2,99),tblBatidas[Início vinculado],0))&lt;&gt;E55,INDEX(tblBatidas[Projeto],MATCH("B"&amp;MID($A55,2,99),tblBatidas[Início vinculado],0))&lt;&gt;G55,INDEX(tblBatidas[Atividade],MATCH("B"&amp;MID($A55,2,99),tblBatidas[Início vinculado],0))&lt;&gt;H55),"REVISAR","CONCLUÍDO")))</f>
        <v/>
      </c>
      <c r="R55">
        <f>IF(Q55&lt;&gt;"CONCLUÍDO",0,IF(COUNTIFS($E$5:E55,E55,$B$5:B55,B55,$Q$5:Q55,"CONCLUÍDO")=1,1,0))</f>
        <v>0</v>
      </c>
      <c r="S55" t="str">
        <f t="shared" si="3"/>
        <v/>
      </c>
      <c r="T55" t="str">
        <f>IF(E55="","",E55*100000+COUNTIFS(tblRegistros[ID],E55,tblRegistros[Data],"&lt;"&amp;B55)+COUNTIFS(tblRegistros[ID],E55,tblRegistros[Data],B55,tblRegistros[Início],"&lt;"&amp;I55)+COUNTIFS($E$5:E55,E55,$B$5:B55,B55,$I$5:I55,I55))</f>
        <v/>
      </c>
    </row>
    <row r="56" spans="2:20">
      <c r="B56" s="2" t="str">
        <f>IFERROR(INT(INDEX(tblBatidas[Data e hora],MATCH("B"&amp;MID($A56,2,99),tblBatidas[Batida ID],0))),"")</f>
        <v/>
      </c>
      <c r="C56" t="str">
        <f t="shared" si="0"/>
        <v/>
      </c>
      <c r="D56" t="str">
        <f t="shared" si="1"/>
        <v/>
      </c>
      <c r="E56" t="str">
        <f>IFERROR(INDEX(tblBatidas[ID],MATCH("B"&amp;MID($A56,2,99),tblBatidas[Batida ID],0)),"")</f>
        <v/>
      </c>
      <c r="F56" t="str">
        <f>IFERROR(INDEX(tblPessoas[Pessoa],MATCH(E56,tblPessoas[ID],0)),"")</f>
        <v/>
      </c>
      <c r="G56" t="str">
        <f>IFERROR(INDEX(tblBatidas[Projeto],MATCH("B"&amp;MID($A56,2,99),tblBatidas[Batida ID],0)),"")</f>
        <v/>
      </c>
      <c r="H56" t="str">
        <f>IFERROR(INDEX(tblBatidas[Atividade],MATCH("B"&amp;MID($A56,2,99),tblBatidas[Batida ID],0)),"")</f>
        <v/>
      </c>
      <c r="I56" s="4" t="str">
        <f>IFERROR(MOD(INDEX(tblBatidas[Data e hora],MATCH("B"&amp;MID($A56,2,99),tblBatidas[Batida ID],0)),1),"")</f>
        <v/>
      </c>
      <c r="J56" s="4" t="str">
        <f>IFERROR(MOD(INDEX(tblBatidas[Data e hora],MATCH("B"&amp;MID($A56,2,99),tblBatidas[Início vinculado],0)),1),"")</f>
        <v/>
      </c>
      <c r="K56" s="14" t="str">
        <f>IFERROR((INDEX(tblBatidas[Data e hora],MATCH("B"&amp;MID($A56,2,99),tblBatidas[Início vinculado],0))-INDEX(tblBatidas[Data e hora],MATCH("B"&amp;MID($A56,2,99),tblBatidas[Batida ID],0)))*24,"")</f>
        <v/>
      </c>
      <c r="L56" t="str">
        <f>IFERROR(INDEX(tblBatidas[Observação],MATCH("B"&amp;MID($A56,2,99),tblBatidas[Início vinculado],0)),"")</f>
        <v/>
      </c>
      <c r="M56" t="str">
        <f>IFERROR(INDEX(tblPessoas[Base],MATCH(E56,tblPessoas[ID],0)),"")</f>
        <v/>
      </c>
      <c r="N56" s="3">
        <f>IFERROR(IF(D56="DIA ÚTIL",INDEX(tblPessoas[R$/h útil],MATCH(E56,tblPessoas[ID],0)),INDEX(tblPessoas[R$/h FDS],MATCH(E56,tblPessoas[ID],0))),0)</f>
        <v>0</v>
      </c>
      <c r="O56" s="3">
        <f>IFERROR(INDEX(tblPessoas[R$/diária],MATCH(E56,tblPessoas[ID],0)),0)</f>
        <v>0</v>
      </c>
      <c r="P56" s="3" t="str">
        <f t="shared" si="2"/>
        <v/>
      </c>
      <c r="Q56" t="str">
        <f>IF(A56="","",IF(COUNTIF(tblBatidas[Início vinculado],"B"&amp;MID($A56,2,99))=0,"EM ABERTO",IF(OR(COUNTIF(tblBatidas[Início vinculado],"B"&amp;MID($A56,2,99))&gt;1,K56&lt;0,K56&gt;16,INT(INDEX(tblBatidas[Data e hora],MATCH("B"&amp;MID($A56,2,99),tblBatidas[Início vinculado],0)))&lt;&gt;B56,INDEX(tblBatidas[ID],MATCH("B"&amp;MID($A56,2,99),tblBatidas[Início vinculado],0))&lt;&gt;E56,INDEX(tblBatidas[Projeto],MATCH("B"&amp;MID($A56,2,99),tblBatidas[Início vinculado],0))&lt;&gt;G56,INDEX(tblBatidas[Atividade],MATCH("B"&amp;MID($A56,2,99),tblBatidas[Início vinculado],0))&lt;&gt;H56),"REVISAR","CONCLUÍDO")))</f>
        <v/>
      </c>
      <c r="R56">
        <f>IF(Q56&lt;&gt;"CONCLUÍDO",0,IF(COUNTIFS($E$5:E56,E56,$B$5:B56,B56,$Q$5:Q56,"CONCLUÍDO")=1,1,0))</f>
        <v>0</v>
      </c>
      <c r="S56" t="str">
        <f t="shared" si="3"/>
        <v/>
      </c>
      <c r="T56" t="str">
        <f>IF(E56="","",E56*100000+COUNTIFS(tblRegistros[ID],E56,tblRegistros[Data],"&lt;"&amp;B56)+COUNTIFS(tblRegistros[ID],E56,tblRegistros[Data],B56,tblRegistros[Início],"&lt;"&amp;I56)+COUNTIFS($E$5:E56,E56,$B$5:B56,B56,$I$5:I56,I56))</f>
        <v/>
      </c>
    </row>
    <row r="57" spans="2:20">
      <c r="B57" s="2" t="str">
        <f>IFERROR(INT(INDEX(tblBatidas[Data e hora],MATCH("B"&amp;MID($A57,2,99),tblBatidas[Batida ID],0))),"")</f>
        <v/>
      </c>
      <c r="C57" t="str">
        <f t="shared" si="0"/>
        <v/>
      </c>
      <c r="D57" t="str">
        <f t="shared" si="1"/>
        <v/>
      </c>
      <c r="E57" t="str">
        <f>IFERROR(INDEX(tblBatidas[ID],MATCH("B"&amp;MID($A57,2,99),tblBatidas[Batida ID],0)),"")</f>
        <v/>
      </c>
      <c r="F57" t="str">
        <f>IFERROR(INDEX(tblPessoas[Pessoa],MATCH(E57,tblPessoas[ID],0)),"")</f>
        <v/>
      </c>
      <c r="G57" t="str">
        <f>IFERROR(INDEX(tblBatidas[Projeto],MATCH("B"&amp;MID($A57,2,99),tblBatidas[Batida ID],0)),"")</f>
        <v/>
      </c>
      <c r="H57" t="str">
        <f>IFERROR(INDEX(tblBatidas[Atividade],MATCH("B"&amp;MID($A57,2,99),tblBatidas[Batida ID],0)),"")</f>
        <v/>
      </c>
      <c r="I57" s="4" t="str">
        <f>IFERROR(MOD(INDEX(tblBatidas[Data e hora],MATCH("B"&amp;MID($A57,2,99),tblBatidas[Batida ID],0)),1),"")</f>
        <v/>
      </c>
      <c r="J57" s="4" t="str">
        <f>IFERROR(MOD(INDEX(tblBatidas[Data e hora],MATCH("B"&amp;MID($A57,2,99),tblBatidas[Início vinculado],0)),1),"")</f>
        <v/>
      </c>
      <c r="K57" s="14" t="str">
        <f>IFERROR((INDEX(tblBatidas[Data e hora],MATCH("B"&amp;MID($A57,2,99),tblBatidas[Início vinculado],0))-INDEX(tblBatidas[Data e hora],MATCH("B"&amp;MID($A57,2,99),tblBatidas[Batida ID],0)))*24,"")</f>
        <v/>
      </c>
      <c r="L57" t="str">
        <f>IFERROR(INDEX(tblBatidas[Observação],MATCH("B"&amp;MID($A57,2,99),tblBatidas[Início vinculado],0)),"")</f>
        <v/>
      </c>
      <c r="M57" t="str">
        <f>IFERROR(INDEX(tblPessoas[Base],MATCH(E57,tblPessoas[ID],0)),"")</f>
        <v/>
      </c>
      <c r="N57" s="3">
        <f>IFERROR(IF(D57="DIA ÚTIL",INDEX(tblPessoas[R$/h útil],MATCH(E57,tblPessoas[ID],0)),INDEX(tblPessoas[R$/h FDS],MATCH(E57,tblPessoas[ID],0))),0)</f>
        <v>0</v>
      </c>
      <c r="O57" s="3">
        <f>IFERROR(INDEX(tblPessoas[R$/diária],MATCH(E57,tblPessoas[ID],0)),0)</f>
        <v>0</v>
      </c>
      <c r="P57" s="3" t="str">
        <f t="shared" si="2"/>
        <v/>
      </c>
      <c r="Q57" t="str">
        <f>IF(A57="","",IF(COUNTIF(tblBatidas[Início vinculado],"B"&amp;MID($A57,2,99))=0,"EM ABERTO",IF(OR(COUNTIF(tblBatidas[Início vinculado],"B"&amp;MID($A57,2,99))&gt;1,K57&lt;0,K57&gt;16,INT(INDEX(tblBatidas[Data e hora],MATCH("B"&amp;MID($A57,2,99),tblBatidas[Início vinculado],0)))&lt;&gt;B57,INDEX(tblBatidas[ID],MATCH("B"&amp;MID($A57,2,99),tblBatidas[Início vinculado],0))&lt;&gt;E57,INDEX(tblBatidas[Projeto],MATCH("B"&amp;MID($A57,2,99),tblBatidas[Início vinculado],0))&lt;&gt;G57,INDEX(tblBatidas[Atividade],MATCH("B"&amp;MID($A57,2,99),tblBatidas[Início vinculado],0))&lt;&gt;H57),"REVISAR","CONCLUÍDO")))</f>
        <v/>
      </c>
      <c r="R57">
        <f>IF(Q57&lt;&gt;"CONCLUÍDO",0,IF(COUNTIFS($E$5:E57,E57,$B$5:B57,B57,$Q$5:Q57,"CONCLUÍDO")=1,1,0))</f>
        <v>0</v>
      </c>
      <c r="S57" t="str">
        <f t="shared" si="3"/>
        <v/>
      </c>
      <c r="T57" t="str">
        <f>IF(E57="","",E57*100000+COUNTIFS(tblRegistros[ID],E57,tblRegistros[Data],"&lt;"&amp;B57)+COUNTIFS(tblRegistros[ID],E57,tblRegistros[Data],B57,tblRegistros[Início],"&lt;"&amp;I57)+COUNTIFS($E$5:E57,E57,$B$5:B57,B57,$I$5:I57,I57))</f>
        <v/>
      </c>
    </row>
    <row r="58" spans="2:20">
      <c r="B58" s="2" t="str">
        <f>IFERROR(INT(INDEX(tblBatidas[Data e hora],MATCH("B"&amp;MID($A58,2,99),tblBatidas[Batida ID],0))),"")</f>
        <v/>
      </c>
      <c r="C58" t="str">
        <f t="shared" si="0"/>
        <v/>
      </c>
      <c r="D58" t="str">
        <f t="shared" si="1"/>
        <v/>
      </c>
      <c r="E58" t="str">
        <f>IFERROR(INDEX(tblBatidas[ID],MATCH("B"&amp;MID($A58,2,99),tblBatidas[Batida ID],0)),"")</f>
        <v/>
      </c>
      <c r="F58" t="str">
        <f>IFERROR(INDEX(tblPessoas[Pessoa],MATCH(E58,tblPessoas[ID],0)),"")</f>
        <v/>
      </c>
      <c r="G58" t="str">
        <f>IFERROR(INDEX(tblBatidas[Projeto],MATCH("B"&amp;MID($A58,2,99),tblBatidas[Batida ID],0)),"")</f>
        <v/>
      </c>
      <c r="H58" t="str">
        <f>IFERROR(INDEX(tblBatidas[Atividade],MATCH("B"&amp;MID($A58,2,99),tblBatidas[Batida ID],0)),"")</f>
        <v/>
      </c>
      <c r="I58" s="4" t="str">
        <f>IFERROR(MOD(INDEX(tblBatidas[Data e hora],MATCH("B"&amp;MID($A58,2,99),tblBatidas[Batida ID],0)),1),"")</f>
        <v/>
      </c>
      <c r="J58" s="4" t="str">
        <f>IFERROR(MOD(INDEX(tblBatidas[Data e hora],MATCH("B"&amp;MID($A58,2,99),tblBatidas[Início vinculado],0)),1),"")</f>
        <v/>
      </c>
      <c r="K58" s="14" t="str">
        <f>IFERROR((INDEX(tblBatidas[Data e hora],MATCH("B"&amp;MID($A58,2,99),tblBatidas[Início vinculado],0))-INDEX(tblBatidas[Data e hora],MATCH("B"&amp;MID($A58,2,99),tblBatidas[Batida ID],0)))*24,"")</f>
        <v/>
      </c>
      <c r="L58" t="str">
        <f>IFERROR(INDEX(tblBatidas[Observação],MATCH("B"&amp;MID($A58,2,99),tblBatidas[Início vinculado],0)),"")</f>
        <v/>
      </c>
      <c r="M58" t="str">
        <f>IFERROR(INDEX(tblPessoas[Base],MATCH(E58,tblPessoas[ID],0)),"")</f>
        <v/>
      </c>
      <c r="N58" s="3">
        <f>IFERROR(IF(D58="DIA ÚTIL",INDEX(tblPessoas[R$/h útil],MATCH(E58,tblPessoas[ID],0)),INDEX(tblPessoas[R$/h FDS],MATCH(E58,tblPessoas[ID],0))),0)</f>
        <v>0</v>
      </c>
      <c r="O58" s="3">
        <f>IFERROR(INDEX(tblPessoas[R$/diária],MATCH(E58,tblPessoas[ID],0)),0)</f>
        <v>0</v>
      </c>
      <c r="P58" s="3" t="str">
        <f t="shared" si="2"/>
        <v/>
      </c>
      <c r="Q58" t="str">
        <f>IF(A58="","",IF(COUNTIF(tblBatidas[Início vinculado],"B"&amp;MID($A58,2,99))=0,"EM ABERTO",IF(OR(COUNTIF(tblBatidas[Início vinculado],"B"&amp;MID($A58,2,99))&gt;1,K58&lt;0,K58&gt;16,INT(INDEX(tblBatidas[Data e hora],MATCH("B"&amp;MID($A58,2,99),tblBatidas[Início vinculado],0)))&lt;&gt;B58,INDEX(tblBatidas[ID],MATCH("B"&amp;MID($A58,2,99),tblBatidas[Início vinculado],0))&lt;&gt;E58,INDEX(tblBatidas[Projeto],MATCH("B"&amp;MID($A58,2,99),tblBatidas[Início vinculado],0))&lt;&gt;G58,INDEX(tblBatidas[Atividade],MATCH("B"&amp;MID($A58,2,99),tblBatidas[Início vinculado],0))&lt;&gt;H58),"REVISAR","CONCLUÍDO")))</f>
        <v/>
      </c>
      <c r="R58">
        <f>IF(Q58&lt;&gt;"CONCLUÍDO",0,IF(COUNTIFS($E$5:E58,E58,$B$5:B58,B58,$Q$5:Q58,"CONCLUÍDO")=1,1,0))</f>
        <v>0</v>
      </c>
      <c r="S58" t="str">
        <f t="shared" si="3"/>
        <v/>
      </c>
      <c r="T58" t="str">
        <f>IF(E58="","",E58*100000+COUNTIFS(tblRegistros[ID],E58,tblRegistros[Data],"&lt;"&amp;B58)+COUNTIFS(tblRegistros[ID],E58,tblRegistros[Data],B58,tblRegistros[Início],"&lt;"&amp;I58)+COUNTIFS($E$5:E58,E58,$B$5:B58,B58,$I$5:I58,I58))</f>
        <v/>
      </c>
    </row>
    <row r="59" spans="2:20">
      <c r="B59" s="2" t="str">
        <f>IFERROR(INT(INDEX(tblBatidas[Data e hora],MATCH("B"&amp;MID($A59,2,99),tblBatidas[Batida ID],0))),"")</f>
        <v/>
      </c>
      <c r="C59" t="str">
        <f t="shared" si="0"/>
        <v/>
      </c>
      <c r="D59" t="str">
        <f t="shared" si="1"/>
        <v/>
      </c>
      <c r="E59" t="str">
        <f>IFERROR(INDEX(tblBatidas[ID],MATCH("B"&amp;MID($A59,2,99),tblBatidas[Batida ID],0)),"")</f>
        <v/>
      </c>
      <c r="F59" t="str">
        <f>IFERROR(INDEX(tblPessoas[Pessoa],MATCH(E59,tblPessoas[ID],0)),"")</f>
        <v/>
      </c>
      <c r="G59" t="str">
        <f>IFERROR(INDEX(tblBatidas[Projeto],MATCH("B"&amp;MID($A59,2,99),tblBatidas[Batida ID],0)),"")</f>
        <v/>
      </c>
      <c r="H59" t="str">
        <f>IFERROR(INDEX(tblBatidas[Atividade],MATCH("B"&amp;MID($A59,2,99),tblBatidas[Batida ID],0)),"")</f>
        <v/>
      </c>
      <c r="I59" s="4" t="str">
        <f>IFERROR(MOD(INDEX(tblBatidas[Data e hora],MATCH("B"&amp;MID($A59,2,99),tblBatidas[Batida ID],0)),1),"")</f>
        <v/>
      </c>
      <c r="J59" s="4" t="str">
        <f>IFERROR(MOD(INDEX(tblBatidas[Data e hora],MATCH("B"&amp;MID($A59,2,99),tblBatidas[Início vinculado],0)),1),"")</f>
        <v/>
      </c>
      <c r="K59" s="14" t="str">
        <f>IFERROR((INDEX(tblBatidas[Data e hora],MATCH("B"&amp;MID($A59,2,99),tblBatidas[Início vinculado],0))-INDEX(tblBatidas[Data e hora],MATCH("B"&amp;MID($A59,2,99),tblBatidas[Batida ID],0)))*24,"")</f>
        <v/>
      </c>
      <c r="L59" t="str">
        <f>IFERROR(INDEX(tblBatidas[Observação],MATCH("B"&amp;MID($A59,2,99),tblBatidas[Início vinculado],0)),"")</f>
        <v/>
      </c>
      <c r="M59" t="str">
        <f>IFERROR(INDEX(tblPessoas[Base],MATCH(E59,tblPessoas[ID],0)),"")</f>
        <v/>
      </c>
      <c r="N59" s="3">
        <f>IFERROR(IF(D59="DIA ÚTIL",INDEX(tblPessoas[R$/h útil],MATCH(E59,tblPessoas[ID],0)),INDEX(tblPessoas[R$/h FDS],MATCH(E59,tblPessoas[ID],0))),0)</f>
        <v>0</v>
      </c>
      <c r="O59" s="3">
        <f>IFERROR(INDEX(tblPessoas[R$/diária],MATCH(E59,tblPessoas[ID],0)),0)</f>
        <v>0</v>
      </c>
      <c r="P59" s="3" t="str">
        <f t="shared" si="2"/>
        <v/>
      </c>
      <c r="Q59" t="str">
        <f>IF(A59="","",IF(COUNTIF(tblBatidas[Início vinculado],"B"&amp;MID($A59,2,99))=0,"EM ABERTO",IF(OR(COUNTIF(tblBatidas[Início vinculado],"B"&amp;MID($A59,2,99))&gt;1,K59&lt;0,K59&gt;16,INT(INDEX(tblBatidas[Data e hora],MATCH("B"&amp;MID($A59,2,99),tblBatidas[Início vinculado],0)))&lt;&gt;B59,INDEX(tblBatidas[ID],MATCH("B"&amp;MID($A59,2,99),tblBatidas[Início vinculado],0))&lt;&gt;E59,INDEX(tblBatidas[Projeto],MATCH("B"&amp;MID($A59,2,99),tblBatidas[Início vinculado],0))&lt;&gt;G59,INDEX(tblBatidas[Atividade],MATCH("B"&amp;MID($A59,2,99),tblBatidas[Início vinculado],0))&lt;&gt;H59),"REVISAR","CONCLUÍDO")))</f>
        <v/>
      </c>
      <c r="R59">
        <f>IF(Q59&lt;&gt;"CONCLUÍDO",0,IF(COUNTIFS($E$5:E59,E59,$B$5:B59,B59,$Q$5:Q59,"CONCLUÍDO")=1,1,0))</f>
        <v>0</v>
      </c>
      <c r="S59" t="str">
        <f t="shared" si="3"/>
        <v/>
      </c>
      <c r="T59" t="str">
        <f>IF(E59="","",E59*100000+COUNTIFS(tblRegistros[ID],E59,tblRegistros[Data],"&lt;"&amp;B59)+COUNTIFS(tblRegistros[ID],E59,tblRegistros[Data],B59,tblRegistros[Início],"&lt;"&amp;I59)+COUNTIFS($E$5:E59,E59,$B$5:B59,B59,$I$5:I59,I59))</f>
        <v/>
      </c>
    </row>
    <row r="60" spans="2:20">
      <c r="B60" s="2" t="str">
        <f>IFERROR(INT(INDEX(tblBatidas[Data e hora],MATCH("B"&amp;MID($A60,2,99),tblBatidas[Batida ID],0))),"")</f>
        <v/>
      </c>
      <c r="C60" t="str">
        <f t="shared" si="0"/>
        <v/>
      </c>
      <c r="D60" t="str">
        <f t="shared" si="1"/>
        <v/>
      </c>
      <c r="E60" t="str">
        <f>IFERROR(INDEX(tblBatidas[ID],MATCH("B"&amp;MID($A60,2,99),tblBatidas[Batida ID],0)),"")</f>
        <v/>
      </c>
      <c r="F60" t="str">
        <f>IFERROR(INDEX(tblPessoas[Pessoa],MATCH(E60,tblPessoas[ID],0)),"")</f>
        <v/>
      </c>
      <c r="G60" t="str">
        <f>IFERROR(INDEX(tblBatidas[Projeto],MATCH("B"&amp;MID($A60,2,99),tblBatidas[Batida ID],0)),"")</f>
        <v/>
      </c>
      <c r="H60" t="str">
        <f>IFERROR(INDEX(tblBatidas[Atividade],MATCH("B"&amp;MID($A60,2,99),tblBatidas[Batida ID],0)),"")</f>
        <v/>
      </c>
      <c r="I60" s="4" t="str">
        <f>IFERROR(MOD(INDEX(tblBatidas[Data e hora],MATCH("B"&amp;MID($A60,2,99),tblBatidas[Batida ID],0)),1),"")</f>
        <v/>
      </c>
      <c r="J60" s="4" t="str">
        <f>IFERROR(MOD(INDEX(tblBatidas[Data e hora],MATCH("B"&amp;MID($A60,2,99),tblBatidas[Início vinculado],0)),1),"")</f>
        <v/>
      </c>
      <c r="K60" s="14" t="str">
        <f>IFERROR((INDEX(tblBatidas[Data e hora],MATCH("B"&amp;MID($A60,2,99),tblBatidas[Início vinculado],0))-INDEX(tblBatidas[Data e hora],MATCH("B"&amp;MID($A60,2,99),tblBatidas[Batida ID],0)))*24,"")</f>
        <v/>
      </c>
      <c r="L60" t="str">
        <f>IFERROR(INDEX(tblBatidas[Observação],MATCH("B"&amp;MID($A60,2,99),tblBatidas[Início vinculado],0)),"")</f>
        <v/>
      </c>
      <c r="M60" t="str">
        <f>IFERROR(INDEX(tblPessoas[Base],MATCH(E60,tblPessoas[ID],0)),"")</f>
        <v/>
      </c>
      <c r="N60" s="3">
        <f>IFERROR(IF(D60="DIA ÚTIL",INDEX(tblPessoas[R$/h útil],MATCH(E60,tblPessoas[ID],0)),INDEX(tblPessoas[R$/h FDS],MATCH(E60,tblPessoas[ID],0))),0)</f>
        <v>0</v>
      </c>
      <c r="O60" s="3">
        <f>IFERROR(INDEX(tblPessoas[R$/diária],MATCH(E60,tblPessoas[ID],0)),0)</f>
        <v>0</v>
      </c>
      <c r="P60" s="3" t="str">
        <f t="shared" si="2"/>
        <v/>
      </c>
      <c r="Q60" t="str">
        <f>IF(A60="","",IF(COUNTIF(tblBatidas[Início vinculado],"B"&amp;MID($A60,2,99))=0,"EM ABERTO",IF(OR(COUNTIF(tblBatidas[Início vinculado],"B"&amp;MID($A60,2,99))&gt;1,K60&lt;0,K60&gt;16,INT(INDEX(tblBatidas[Data e hora],MATCH("B"&amp;MID($A60,2,99),tblBatidas[Início vinculado],0)))&lt;&gt;B60,INDEX(tblBatidas[ID],MATCH("B"&amp;MID($A60,2,99),tblBatidas[Início vinculado],0))&lt;&gt;E60,INDEX(tblBatidas[Projeto],MATCH("B"&amp;MID($A60,2,99),tblBatidas[Início vinculado],0))&lt;&gt;G60,INDEX(tblBatidas[Atividade],MATCH("B"&amp;MID($A60,2,99),tblBatidas[Início vinculado],0))&lt;&gt;H60),"REVISAR","CONCLUÍDO")))</f>
        <v/>
      </c>
      <c r="R60">
        <f>IF(Q60&lt;&gt;"CONCLUÍDO",0,IF(COUNTIFS($E$5:E60,E60,$B$5:B60,B60,$Q$5:Q60,"CONCLUÍDO")=1,1,0))</f>
        <v>0</v>
      </c>
      <c r="S60" t="str">
        <f t="shared" si="3"/>
        <v/>
      </c>
      <c r="T60" t="str">
        <f>IF(E60="","",E60*100000+COUNTIFS(tblRegistros[ID],E60,tblRegistros[Data],"&lt;"&amp;B60)+COUNTIFS(tblRegistros[ID],E60,tblRegistros[Data],B60,tblRegistros[Início],"&lt;"&amp;I60)+COUNTIFS($E$5:E60,E60,$B$5:B60,B60,$I$5:I60,I60))</f>
        <v/>
      </c>
    </row>
    <row r="61" spans="2:20">
      <c r="B61" s="2" t="str">
        <f>IFERROR(INT(INDEX(tblBatidas[Data e hora],MATCH("B"&amp;MID($A61,2,99),tblBatidas[Batida ID],0))),"")</f>
        <v/>
      </c>
      <c r="C61" t="str">
        <f t="shared" si="0"/>
        <v/>
      </c>
      <c r="D61" t="str">
        <f t="shared" si="1"/>
        <v/>
      </c>
      <c r="E61" t="str">
        <f>IFERROR(INDEX(tblBatidas[ID],MATCH("B"&amp;MID($A61,2,99),tblBatidas[Batida ID],0)),"")</f>
        <v/>
      </c>
      <c r="F61" t="str">
        <f>IFERROR(INDEX(tblPessoas[Pessoa],MATCH(E61,tblPessoas[ID],0)),"")</f>
        <v/>
      </c>
      <c r="G61" t="str">
        <f>IFERROR(INDEX(tblBatidas[Projeto],MATCH("B"&amp;MID($A61,2,99),tblBatidas[Batida ID],0)),"")</f>
        <v/>
      </c>
      <c r="H61" t="str">
        <f>IFERROR(INDEX(tblBatidas[Atividade],MATCH("B"&amp;MID($A61,2,99),tblBatidas[Batida ID],0)),"")</f>
        <v/>
      </c>
      <c r="I61" s="4" t="str">
        <f>IFERROR(MOD(INDEX(tblBatidas[Data e hora],MATCH("B"&amp;MID($A61,2,99),tblBatidas[Batida ID],0)),1),"")</f>
        <v/>
      </c>
      <c r="J61" s="4" t="str">
        <f>IFERROR(MOD(INDEX(tblBatidas[Data e hora],MATCH("B"&amp;MID($A61,2,99),tblBatidas[Início vinculado],0)),1),"")</f>
        <v/>
      </c>
      <c r="K61" s="14" t="str">
        <f>IFERROR((INDEX(tblBatidas[Data e hora],MATCH("B"&amp;MID($A61,2,99),tblBatidas[Início vinculado],0))-INDEX(tblBatidas[Data e hora],MATCH("B"&amp;MID($A61,2,99),tblBatidas[Batida ID],0)))*24,"")</f>
        <v/>
      </c>
      <c r="L61" t="str">
        <f>IFERROR(INDEX(tblBatidas[Observação],MATCH("B"&amp;MID($A61,2,99),tblBatidas[Início vinculado],0)),"")</f>
        <v/>
      </c>
      <c r="M61" t="str">
        <f>IFERROR(INDEX(tblPessoas[Base],MATCH(E61,tblPessoas[ID],0)),"")</f>
        <v/>
      </c>
      <c r="N61" s="3">
        <f>IFERROR(IF(D61="DIA ÚTIL",INDEX(tblPessoas[R$/h útil],MATCH(E61,tblPessoas[ID],0)),INDEX(tblPessoas[R$/h FDS],MATCH(E61,tblPessoas[ID],0))),0)</f>
        <v>0</v>
      </c>
      <c r="O61" s="3">
        <f>IFERROR(INDEX(tblPessoas[R$/diária],MATCH(E61,tblPessoas[ID],0)),0)</f>
        <v>0</v>
      </c>
      <c r="P61" s="3" t="str">
        <f t="shared" si="2"/>
        <v/>
      </c>
      <c r="Q61" t="str">
        <f>IF(A61="","",IF(COUNTIF(tblBatidas[Início vinculado],"B"&amp;MID($A61,2,99))=0,"EM ABERTO",IF(OR(COUNTIF(tblBatidas[Início vinculado],"B"&amp;MID($A61,2,99))&gt;1,K61&lt;0,K61&gt;16,INT(INDEX(tblBatidas[Data e hora],MATCH("B"&amp;MID($A61,2,99),tblBatidas[Início vinculado],0)))&lt;&gt;B61,INDEX(tblBatidas[ID],MATCH("B"&amp;MID($A61,2,99),tblBatidas[Início vinculado],0))&lt;&gt;E61,INDEX(tblBatidas[Projeto],MATCH("B"&amp;MID($A61,2,99),tblBatidas[Início vinculado],0))&lt;&gt;G61,INDEX(tblBatidas[Atividade],MATCH("B"&amp;MID($A61,2,99),tblBatidas[Início vinculado],0))&lt;&gt;H61),"REVISAR","CONCLUÍDO")))</f>
        <v/>
      </c>
      <c r="R61">
        <f>IF(Q61&lt;&gt;"CONCLUÍDO",0,IF(COUNTIFS($E$5:E61,E61,$B$5:B61,B61,$Q$5:Q61,"CONCLUÍDO")=1,1,0))</f>
        <v>0</v>
      </c>
      <c r="S61" t="str">
        <f t="shared" si="3"/>
        <v/>
      </c>
      <c r="T61" t="str">
        <f>IF(E61="","",E61*100000+COUNTIFS(tblRegistros[ID],E61,tblRegistros[Data],"&lt;"&amp;B61)+COUNTIFS(tblRegistros[ID],E61,tblRegistros[Data],B61,tblRegistros[Início],"&lt;"&amp;I61)+COUNTIFS($E$5:E61,E61,$B$5:B61,B61,$I$5:I61,I61))</f>
        <v/>
      </c>
    </row>
    <row r="62" spans="2:20">
      <c r="B62" s="2" t="str">
        <f>IFERROR(INT(INDEX(tblBatidas[Data e hora],MATCH("B"&amp;MID($A62,2,99),tblBatidas[Batida ID],0))),"")</f>
        <v/>
      </c>
      <c r="C62" t="str">
        <f t="shared" si="0"/>
        <v/>
      </c>
      <c r="D62" t="str">
        <f t="shared" si="1"/>
        <v/>
      </c>
      <c r="E62" t="str">
        <f>IFERROR(INDEX(tblBatidas[ID],MATCH("B"&amp;MID($A62,2,99),tblBatidas[Batida ID],0)),"")</f>
        <v/>
      </c>
      <c r="F62" t="str">
        <f>IFERROR(INDEX(tblPessoas[Pessoa],MATCH(E62,tblPessoas[ID],0)),"")</f>
        <v/>
      </c>
      <c r="G62" t="str">
        <f>IFERROR(INDEX(tblBatidas[Projeto],MATCH("B"&amp;MID($A62,2,99),tblBatidas[Batida ID],0)),"")</f>
        <v/>
      </c>
      <c r="H62" t="str">
        <f>IFERROR(INDEX(tblBatidas[Atividade],MATCH("B"&amp;MID($A62,2,99),tblBatidas[Batida ID],0)),"")</f>
        <v/>
      </c>
      <c r="I62" s="4" t="str">
        <f>IFERROR(MOD(INDEX(tblBatidas[Data e hora],MATCH("B"&amp;MID($A62,2,99),tblBatidas[Batida ID],0)),1),"")</f>
        <v/>
      </c>
      <c r="J62" s="4" t="str">
        <f>IFERROR(MOD(INDEX(tblBatidas[Data e hora],MATCH("B"&amp;MID($A62,2,99),tblBatidas[Início vinculado],0)),1),"")</f>
        <v/>
      </c>
      <c r="K62" s="14" t="str">
        <f>IFERROR((INDEX(tblBatidas[Data e hora],MATCH("B"&amp;MID($A62,2,99),tblBatidas[Início vinculado],0))-INDEX(tblBatidas[Data e hora],MATCH("B"&amp;MID($A62,2,99),tblBatidas[Batida ID],0)))*24,"")</f>
        <v/>
      </c>
      <c r="L62" t="str">
        <f>IFERROR(INDEX(tblBatidas[Observação],MATCH("B"&amp;MID($A62,2,99),tblBatidas[Início vinculado],0)),"")</f>
        <v/>
      </c>
      <c r="M62" t="str">
        <f>IFERROR(INDEX(tblPessoas[Base],MATCH(E62,tblPessoas[ID],0)),"")</f>
        <v/>
      </c>
      <c r="N62" s="3">
        <f>IFERROR(IF(D62="DIA ÚTIL",INDEX(tblPessoas[R$/h útil],MATCH(E62,tblPessoas[ID],0)),INDEX(tblPessoas[R$/h FDS],MATCH(E62,tblPessoas[ID],0))),0)</f>
        <v>0</v>
      </c>
      <c r="O62" s="3">
        <f>IFERROR(INDEX(tblPessoas[R$/diária],MATCH(E62,tblPessoas[ID],0)),0)</f>
        <v>0</v>
      </c>
      <c r="P62" s="3" t="str">
        <f t="shared" si="2"/>
        <v/>
      </c>
      <c r="Q62" t="str">
        <f>IF(A62="","",IF(COUNTIF(tblBatidas[Início vinculado],"B"&amp;MID($A62,2,99))=0,"EM ABERTO",IF(OR(COUNTIF(tblBatidas[Início vinculado],"B"&amp;MID($A62,2,99))&gt;1,K62&lt;0,K62&gt;16,INT(INDEX(tblBatidas[Data e hora],MATCH("B"&amp;MID($A62,2,99),tblBatidas[Início vinculado],0)))&lt;&gt;B62,INDEX(tblBatidas[ID],MATCH("B"&amp;MID($A62,2,99),tblBatidas[Início vinculado],0))&lt;&gt;E62,INDEX(tblBatidas[Projeto],MATCH("B"&amp;MID($A62,2,99),tblBatidas[Início vinculado],0))&lt;&gt;G62,INDEX(tblBatidas[Atividade],MATCH("B"&amp;MID($A62,2,99),tblBatidas[Início vinculado],0))&lt;&gt;H62),"REVISAR","CONCLUÍDO")))</f>
        <v/>
      </c>
      <c r="R62">
        <f>IF(Q62&lt;&gt;"CONCLUÍDO",0,IF(COUNTIFS($E$5:E62,E62,$B$5:B62,B62,$Q$5:Q62,"CONCLUÍDO")=1,1,0))</f>
        <v>0</v>
      </c>
      <c r="S62" t="str">
        <f t="shared" si="3"/>
        <v/>
      </c>
      <c r="T62" t="str">
        <f>IF(E62="","",E62*100000+COUNTIFS(tblRegistros[ID],E62,tblRegistros[Data],"&lt;"&amp;B62)+COUNTIFS(tblRegistros[ID],E62,tblRegistros[Data],B62,tblRegistros[Início],"&lt;"&amp;I62)+COUNTIFS($E$5:E62,E62,$B$5:B62,B62,$I$5:I62,I62))</f>
        <v/>
      </c>
    </row>
    <row r="63" spans="2:20">
      <c r="B63" s="2" t="str">
        <f>IFERROR(INT(INDEX(tblBatidas[Data e hora],MATCH("B"&amp;MID($A63,2,99),tblBatidas[Batida ID],0))),"")</f>
        <v/>
      </c>
      <c r="C63" t="str">
        <f t="shared" si="0"/>
        <v/>
      </c>
      <c r="D63" t="str">
        <f t="shared" si="1"/>
        <v/>
      </c>
      <c r="E63" t="str">
        <f>IFERROR(INDEX(tblBatidas[ID],MATCH("B"&amp;MID($A63,2,99),tblBatidas[Batida ID],0)),"")</f>
        <v/>
      </c>
      <c r="F63" t="str">
        <f>IFERROR(INDEX(tblPessoas[Pessoa],MATCH(E63,tblPessoas[ID],0)),"")</f>
        <v/>
      </c>
      <c r="G63" t="str">
        <f>IFERROR(INDEX(tblBatidas[Projeto],MATCH("B"&amp;MID($A63,2,99),tblBatidas[Batida ID],0)),"")</f>
        <v/>
      </c>
      <c r="H63" t="str">
        <f>IFERROR(INDEX(tblBatidas[Atividade],MATCH("B"&amp;MID($A63,2,99),tblBatidas[Batida ID],0)),"")</f>
        <v/>
      </c>
      <c r="I63" s="4" t="str">
        <f>IFERROR(MOD(INDEX(tblBatidas[Data e hora],MATCH("B"&amp;MID($A63,2,99),tblBatidas[Batida ID],0)),1),"")</f>
        <v/>
      </c>
      <c r="J63" s="4" t="str">
        <f>IFERROR(MOD(INDEX(tblBatidas[Data e hora],MATCH("B"&amp;MID($A63,2,99),tblBatidas[Início vinculado],0)),1),"")</f>
        <v/>
      </c>
      <c r="K63" s="14" t="str">
        <f>IFERROR((INDEX(tblBatidas[Data e hora],MATCH("B"&amp;MID($A63,2,99),tblBatidas[Início vinculado],0))-INDEX(tblBatidas[Data e hora],MATCH("B"&amp;MID($A63,2,99),tblBatidas[Batida ID],0)))*24,"")</f>
        <v/>
      </c>
      <c r="L63" t="str">
        <f>IFERROR(INDEX(tblBatidas[Observação],MATCH("B"&amp;MID($A63,2,99),tblBatidas[Início vinculado],0)),"")</f>
        <v/>
      </c>
      <c r="M63" t="str">
        <f>IFERROR(INDEX(tblPessoas[Base],MATCH(E63,tblPessoas[ID],0)),"")</f>
        <v/>
      </c>
      <c r="N63" s="3">
        <f>IFERROR(IF(D63="DIA ÚTIL",INDEX(tblPessoas[R$/h útil],MATCH(E63,tblPessoas[ID],0)),INDEX(tblPessoas[R$/h FDS],MATCH(E63,tblPessoas[ID],0))),0)</f>
        <v>0</v>
      </c>
      <c r="O63" s="3">
        <f>IFERROR(INDEX(tblPessoas[R$/diária],MATCH(E63,tblPessoas[ID],0)),0)</f>
        <v>0</v>
      </c>
      <c r="P63" s="3" t="str">
        <f t="shared" si="2"/>
        <v/>
      </c>
      <c r="Q63" t="str">
        <f>IF(A63="","",IF(COUNTIF(tblBatidas[Início vinculado],"B"&amp;MID($A63,2,99))=0,"EM ABERTO",IF(OR(COUNTIF(tblBatidas[Início vinculado],"B"&amp;MID($A63,2,99))&gt;1,K63&lt;0,K63&gt;16,INT(INDEX(tblBatidas[Data e hora],MATCH("B"&amp;MID($A63,2,99),tblBatidas[Início vinculado],0)))&lt;&gt;B63,INDEX(tblBatidas[ID],MATCH("B"&amp;MID($A63,2,99),tblBatidas[Início vinculado],0))&lt;&gt;E63,INDEX(tblBatidas[Projeto],MATCH("B"&amp;MID($A63,2,99),tblBatidas[Início vinculado],0))&lt;&gt;G63,INDEX(tblBatidas[Atividade],MATCH("B"&amp;MID($A63,2,99),tblBatidas[Início vinculado],0))&lt;&gt;H63),"REVISAR","CONCLUÍDO")))</f>
        <v/>
      </c>
      <c r="R63">
        <f>IF(Q63&lt;&gt;"CONCLUÍDO",0,IF(COUNTIFS($E$5:E63,E63,$B$5:B63,B63,$Q$5:Q63,"CONCLUÍDO")=1,1,0))</f>
        <v>0</v>
      </c>
      <c r="S63" t="str">
        <f t="shared" si="3"/>
        <v/>
      </c>
      <c r="T63" t="str">
        <f>IF(E63="","",E63*100000+COUNTIFS(tblRegistros[ID],E63,tblRegistros[Data],"&lt;"&amp;B63)+COUNTIFS(tblRegistros[ID],E63,tblRegistros[Data],B63,tblRegistros[Início],"&lt;"&amp;I63)+COUNTIFS($E$5:E63,E63,$B$5:B63,B63,$I$5:I63,I63))</f>
        <v/>
      </c>
    </row>
    <row r="64" spans="2:20">
      <c r="B64" s="2" t="str">
        <f>IFERROR(INT(INDEX(tblBatidas[Data e hora],MATCH("B"&amp;MID($A64,2,99),tblBatidas[Batida ID],0))),"")</f>
        <v/>
      </c>
      <c r="C64" t="str">
        <f t="shared" si="0"/>
        <v/>
      </c>
      <c r="D64" t="str">
        <f t="shared" si="1"/>
        <v/>
      </c>
      <c r="E64" t="str">
        <f>IFERROR(INDEX(tblBatidas[ID],MATCH("B"&amp;MID($A64,2,99),tblBatidas[Batida ID],0)),"")</f>
        <v/>
      </c>
      <c r="F64" t="str">
        <f>IFERROR(INDEX(tblPessoas[Pessoa],MATCH(E64,tblPessoas[ID],0)),"")</f>
        <v/>
      </c>
      <c r="G64" t="str">
        <f>IFERROR(INDEX(tblBatidas[Projeto],MATCH("B"&amp;MID($A64,2,99),tblBatidas[Batida ID],0)),"")</f>
        <v/>
      </c>
      <c r="H64" t="str">
        <f>IFERROR(INDEX(tblBatidas[Atividade],MATCH("B"&amp;MID($A64,2,99),tblBatidas[Batida ID],0)),"")</f>
        <v/>
      </c>
      <c r="I64" s="4" t="str">
        <f>IFERROR(MOD(INDEX(tblBatidas[Data e hora],MATCH("B"&amp;MID($A64,2,99),tblBatidas[Batida ID],0)),1),"")</f>
        <v/>
      </c>
      <c r="J64" s="4" t="str">
        <f>IFERROR(MOD(INDEX(tblBatidas[Data e hora],MATCH("B"&amp;MID($A64,2,99),tblBatidas[Início vinculado],0)),1),"")</f>
        <v/>
      </c>
      <c r="K64" s="14" t="str">
        <f>IFERROR((INDEX(tblBatidas[Data e hora],MATCH("B"&amp;MID($A64,2,99),tblBatidas[Início vinculado],0))-INDEX(tblBatidas[Data e hora],MATCH("B"&amp;MID($A64,2,99),tblBatidas[Batida ID],0)))*24,"")</f>
        <v/>
      </c>
      <c r="L64" t="str">
        <f>IFERROR(INDEX(tblBatidas[Observação],MATCH("B"&amp;MID($A64,2,99),tblBatidas[Início vinculado],0)),"")</f>
        <v/>
      </c>
      <c r="M64" t="str">
        <f>IFERROR(INDEX(tblPessoas[Base],MATCH(E64,tblPessoas[ID],0)),"")</f>
        <v/>
      </c>
      <c r="N64" s="3">
        <f>IFERROR(IF(D64="DIA ÚTIL",INDEX(tblPessoas[R$/h útil],MATCH(E64,tblPessoas[ID],0)),INDEX(tblPessoas[R$/h FDS],MATCH(E64,tblPessoas[ID],0))),0)</f>
        <v>0</v>
      </c>
      <c r="O64" s="3">
        <f>IFERROR(INDEX(tblPessoas[R$/diária],MATCH(E64,tblPessoas[ID],0)),0)</f>
        <v>0</v>
      </c>
      <c r="P64" s="3" t="str">
        <f t="shared" si="2"/>
        <v/>
      </c>
      <c r="Q64" t="str">
        <f>IF(A64="","",IF(COUNTIF(tblBatidas[Início vinculado],"B"&amp;MID($A64,2,99))=0,"EM ABERTO",IF(OR(COUNTIF(tblBatidas[Início vinculado],"B"&amp;MID($A64,2,99))&gt;1,K64&lt;0,K64&gt;16,INT(INDEX(tblBatidas[Data e hora],MATCH("B"&amp;MID($A64,2,99),tblBatidas[Início vinculado],0)))&lt;&gt;B64,INDEX(tblBatidas[ID],MATCH("B"&amp;MID($A64,2,99),tblBatidas[Início vinculado],0))&lt;&gt;E64,INDEX(tblBatidas[Projeto],MATCH("B"&amp;MID($A64,2,99),tblBatidas[Início vinculado],0))&lt;&gt;G64,INDEX(tblBatidas[Atividade],MATCH("B"&amp;MID($A64,2,99),tblBatidas[Início vinculado],0))&lt;&gt;H64),"REVISAR","CONCLUÍDO")))</f>
        <v/>
      </c>
      <c r="R64">
        <f>IF(Q64&lt;&gt;"CONCLUÍDO",0,IF(COUNTIFS($E$5:E64,E64,$B$5:B64,B64,$Q$5:Q64,"CONCLUÍDO")=1,1,0))</f>
        <v>0</v>
      </c>
      <c r="S64" t="str">
        <f t="shared" si="3"/>
        <v/>
      </c>
      <c r="T64" t="str">
        <f>IF(E64="","",E64*100000+COUNTIFS(tblRegistros[ID],E64,tblRegistros[Data],"&lt;"&amp;B64)+COUNTIFS(tblRegistros[ID],E64,tblRegistros[Data],B64,tblRegistros[Início],"&lt;"&amp;I64)+COUNTIFS($E$5:E64,E64,$B$5:B64,B64,$I$5:I64,I64))</f>
        <v/>
      </c>
    </row>
    <row r="65" spans="2:20">
      <c r="B65" s="2" t="str">
        <f>IFERROR(INT(INDEX(tblBatidas[Data e hora],MATCH("B"&amp;MID($A65,2,99),tblBatidas[Batida ID],0))),"")</f>
        <v/>
      </c>
      <c r="C65" t="str">
        <f t="shared" si="0"/>
        <v/>
      </c>
      <c r="D65" t="str">
        <f t="shared" si="1"/>
        <v/>
      </c>
      <c r="E65" t="str">
        <f>IFERROR(INDEX(tblBatidas[ID],MATCH("B"&amp;MID($A65,2,99),tblBatidas[Batida ID],0)),"")</f>
        <v/>
      </c>
      <c r="F65" t="str">
        <f>IFERROR(INDEX(tblPessoas[Pessoa],MATCH(E65,tblPessoas[ID],0)),"")</f>
        <v/>
      </c>
      <c r="G65" t="str">
        <f>IFERROR(INDEX(tblBatidas[Projeto],MATCH("B"&amp;MID($A65,2,99),tblBatidas[Batida ID],0)),"")</f>
        <v/>
      </c>
      <c r="H65" t="str">
        <f>IFERROR(INDEX(tblBatidas[Atividade],MATCH("B"&amp;MID($A65,2,99),tblBatidas[Batida ID],0)),"")</f>
        <v/>
      </c>
      <c r="I65" s="4" t="str">
        <f>IFERROR(MOD(INDEX(tblBatidas[Data e hora],MATCH("B"&amp;MID($A65,2,99),tblBatidas[Batida ID],0)),1),"")</f>
        <v/>
      </c>
      <c r="J65" s="4" t="str">
        <f>IFERROR(MOD(INDEX(tblBatidas[Data e hora],MATCH("B"&amp;MID($A65,2,99),tblBatidas[Início vinculado],0)),1),"")</f>
        <v/>
      </c>
      <c r="K65" s="14" t="str">
        <f>IFERROR((INDEX(tblBatidas[Data e hora],MATCH("B"&amp;MID($A65,2,99),tblBatidas[Início vinculado],0))-INDEX(tblBatidas[Data e hora],MATCH("B"&amp;MID($A65,2,99),tblBatidas[Batida ID],0)))*24,"")</f>
        <v/>
      </c>
      <c r="L65" t="str">
        <f>IFERROR(INDEX(tblBatidas[Observação],MATCH("B"&amp;MID($A65,2,99),tblBatidas[Início vinculado],0)),"")</f>
        <v/>
      </c>
      <c r="M65" t="str">
        <f>IFERROR(INDEX(tblPessoas[Base],MATCH(E65,tblPessoas[ID],0)),"")</f>
        <v/>
      </c>
      <c r="N65" s="3">
        <f>IFERROR(IF(D65="DIA ÚTIL",INDEX(tblPessoas[R$/h útil],MATCH(E65,tblPessoas[ID],0)),INDEX(tblPessoas[R$/h FDS],MATCH(E65,tblPessoas[ID],0))),0)</f>
        <v>0</v>
      </c>
      <c r="O65" s="3">
        <f>IFERROR(INDEX(tblPessoas[R$/diária],MATCH(E65,tblPessoas[ID],0)),0)</f>
        <v>0</v>
      </c>
      <c r="P65" s="3" t="str">
        <f t="shared" si="2"/>
        <v/>
      </c>
      <c r="Q65" t="str">
        <f>IF(A65="","",IF(COUNTIF(tblBatidas[Início vinculado],"B"&amp;MID($A65,2,99))=0,"EM ABERTO",IF(OR(COUNTIF(tblBatidas[Início vinculado],"B"&amp;MID($A65,2,99))&gt;1,K65&lt;0,K65&gt;16,INT(INDEX(tblBatidas[Data e hora],MATCH("B"&amp;MID($A65,2,99),tblBatidas[Início vinculado],0)))&lt;&gt;B65,INDEX(tblBatidas[ID],MATCH("B"&amp;MID($A65,2,99),tblBatidas[Início vinculado],0))&lt;&gt;E65,INDEX(tblBatidas[Projeto],MATCH("B"&amp;MID($A65,2,99),tblBatidas[Início vinculado],0))&lt;&gt;G65,INDEX(tblBatidas[Atividade],MATCH("B"&amp;MID($A65,2,99),tblBatidas[Início vinculado],0))&lt;&gt;H65),"REVISAR","CONCLUÍDO")))</f>
        <v/>
      </c>
      <c r="R65">
        <f>IF(Q65&lt;&gt;"CONCLUÍDO",0,IF(COUNTIFS($E$5:E65,E65,$B$5:B65,B65,$Q$5:Q65,"CONCLUÍDO")=1,1,0))</f>
        <v>0</v>
      </c>
      <c r="S65" t="str">
        <f t="shared" si="3"/>
        <v/>
      </c>
      <c r="T65" t="str">
        <f>IF(E65="","",E65*100000+COUNTIFS(tblRegistros[ID],E65,tblRegistros[Data],"&lt;"&amp;B65)+COUNTIFS(tblRegistros[ID],E65,tblRegistros[Data],B65,tblRegistros[Início],"&lt;"&amp;I65)+COUNTIFS($E$5:E65,E65,$B$5:B65,B65,$I$5:I65,I65))</f>
        <v/>
      </c>
    </row>
    <row r="66" spans="2:20">
      <c r="B66" s="2" t="str">
        <f>IFERROR(INT(INDEX(tblBatidas[Data e hora],MATCH("B"&amp;MID($A66,2,99),tblBatidas[Batida ID],0))),"")</f>
        <v/>
      </c>
      <c r="C66" t="str">
        <f t="shared" si="0"/>
        <v/>
      </c>
      <c r="D66" t="str">
        <f t="shared" si="1"/>
        <v/>
      </c>
      <c r="E66" t="str">
        <f>IFERROR(INDEX(tblBatidas[ID],MATCH("B"&amp;MID($A66,2,99),tblBatidas[Batida ID],0)),"")</f>
        <v/>
      </c>
      <c r="F66" t="str">
        <f>IFERROR(INDEX(tblPessoas[Pessoa],MATCH(E66,tblPessoas[ID],0)),"")</f>
        <v/>
      </c>
      <c r="G66" t="str">
        <f>IFERROR(INDEX(tblBatidas[Projeto],MATCH("B"&amp;MID($A66,2,99),tblBatidas[Batida ID],0)),"")</f>
        <v/>
      </c>
      <c r="H66" t="str">
        <f>IFERROR(INDEX(tblBatidas[Atividade],MATCH("B"&amp;MID($A66,2,99),tblBatidas[Batida ID],0)),"")</f>
        <v/>
      </c>
      <c r="I66" s="4" t="str">
        <f>IFERROR(MOD(INDEX(tblBatidas[Data e hora],MATCH("B"&amp;MID($A66,2,99),tblBatidas[Batida ID],0)),1),"")</f>
        <v/>
      </c>
      <c r="J66" s="4" t="str">
        <f>IFERROR(MOD(INDEX(tblBatidas[Data e hora],MATCH("B"&amp;MID($A66,2,99),tblBatidas[Início vinculado],0)),1),"")</f>
        <v/>
      </c>
      <c r="K66" s="14" t="str">
        <f>IFERROR((INDEX(tblBatidas[Data e hora],MATCH("B"&amp;MID($A66,2,99),tblBatidas[Início vinculado],0))-INDEX(tblBatidas[Data e hora],MATCH("B"&amp;MID($A66,2,99),tblBatidas[Batida ID],0)))*24,"")</f>
        <v/>
      </c>
      <c r="L66" t="str">
        <f>IFERROR(INDEX(tblBatidas[Observação],MATCH("B"&amp;MID($A66,2,99),tblBatidas[Início vinculado],0)),"")</f>
        <v/>
      </c>
      <c r="M66" t="str">
        <f>IFERROR(INDEX(tblPessoas[Base],MATCH(E66,tblPessoas[ID],0)),"")</f>
        <v/>
      </c>
      <c r="N66" s="3">
        <f>IFERROR(IF(D66="DIA ÚTIL",INDEX(tblPessoas[R$/h útil],MATCH(E66,tblPessoas[ID],0)),INDEX(tblPessoas[R$/h FDS],MATCH(E66,tblPessoas[ID],0))),0)</f>
        <v>0</v>
      </c>
      <c r="O66" s="3">
        <f>IFERROR(INDEX(tblPessoas[R$/diária],MATCH(E66,tblPessoas[ID],0)),0)</f>
        <v>0</v>
      </c>
      <c r="P66" s="3" t="str">
        <f t="shared" si="2"/>
        <v/>
      </c>
      <c r="Q66" t="str">
        <f>IF(A66="","",IF(COUNTIF(tblBatidas[Início vinculado],"B"&amp;MID($A66,2,99))=0,"EM ABERTO",IF(OR(COUNTIF(tblBatidas[Início vinculado],"B"&amp;MID($A66,2,99))&gt;1,K66&lt;0,K66&gt;16,INT(INDEX(tblBatidas[Data e hora],MATCH("B"&amp;MID($A66,2,99),tblBatidas[Início vinculado],0)))&lt;&gt;B66,INDEX(tblBatidas[ID],MATCH("B"&amp;MID($A66,2,99),tblBatidas[Início vinculado],0))&lt;&gt;E66,INDEX(tblBatidas[Projeto],MATCH("B"&amp;MID($A66,2,99),tblBatidas[Início vinculado],0))&lt;&gt;G66,INDEX(tblBatidas[Atividade],MATCH("B"&amp;MID($A66,2,99),tblBatidas[Início vinculado],0))&lt;&gt;H66),"REVISAR","CONCLUÍDO")))</f>
        <v/>
      </c>
      <c r="R66">
        <f>IF(Q66&lt;&gt;"CONCLUÍDO",0,IF(COUNTIFS($E$5:E66,E66,$B$5:B66,B66,$Q$5:Q66,"CONCLUÍDO")=1,1,0))</f>
        <v>0</v>
      </c>
      <c r="S66" t="str">
        <f t="shared" si="3"/>
        <v/>
      </c>
      <c r="T66" t="str">
        <f>IF(E66="","",E66*100000+COUNTIFS(tblRegistros[ID],E66,tblRegistros[Data],"&lt;"&amp;B66)+COUNTIFS(tblRegistros[ID],E66,tblRegistros[Data],B66,tblRegistros[Início],"&lt;"&amp;I66)+COUNTIFS($E$5:E66,E66,$B$5:B66,B66,$I$5:I66,I66))</f>
        <v/>
      </c>
    </row>
    <row r="67" spans="2:20">
      <c r="B67" s="2" t="str">
        <f>IFERROR(INT(INDEX(tblBatidas[Data e hora],MATCH("B"&amp;MID($A67,2,99),tblBatidas[Batida ID],0))),"")</f>
        <v/>
      </c>
      <c r="C67" t="str">
        <f t="shared" si="0"/>
        <v/>
      </c>
      <c r="D67" t="str">
        <f t="shared" si="1"/>
        <v/>
      </c>
      <c r="E67" t="str">
        <f>IFERROR(INDEX(tblBatidas[ID],MATCH("B"&amp;MID($A67,2,99),tblBatidas[Batida ID],0)),"")</f>
        <v/>
      </c>
      <c r="F67" t="str">
        <f>IFERROR(INDEX(tblPessoas[Pessoa],MATCH(E67,tblPessoas[ID],0)),"")</f>
        <v/>
      </c>
      <c r="G67" t="str">
        <f>IFERROR(INDEX(tblBatidas[Projeto],MATCH("B"&amp;MID($A67,2,99),tblBatidas[Batida ID],0)),"")</f>
        <v/>
      </c>
      <c r="H67" t="str">
        <f>IFERROR(INDEX(tblBatidas[Atividade],MATCH("B"&amp;MID($A67,2,99),tblBatidas[Batida ID],0)),"")</f>
        <v/>
      </c>
      <c r="I67" s="4" t="str">
        <f>IFERROR(MOD(INDEX(tblBatidas[Data e hora],MATCH("B"&amp;MID($A67,2,99),tblBatidas[Batida ID],0)),1),"")</f>
        <v/>
      </c>
      <c r="J67" s="4" t="str">
        <f>IFERROR(MOD(INDEX(tblBatidas[Data e hora],MATCH("B"&amp;MID($A67,2,99),tblBatidas[Início vinculado],0)),1),"")</f>
        <v/>
      </c>
      <c r="K67" s="14" t="str">
        <f>IFERROR((INDEX(tblBatidas[Data e hora],MATCH("B"&amp;MID($A67,2,99),tblBatidas[Início vinculado],0))-INDEX(tblBatidas[Data e hora],MATCH("B"&amp;MID($A67,2,99),tblBatidas[Batida ID],0)))*24,"")</f>
        <v/>
      </c>
      <c r="L67" t="str">
        <f>IFERROR(INDEX(tblBatidas[Observação],MATCH("B"&amp;MID($A67,2,99),tblBatidas[Início vinculado],0)),"")</f>
        <v/>
      </c>
      <c r="M67" t="str">
        <f>IFERROR(INDEX(tblPessoas[Base],MATCH(E67,tblPessoas[ID],0)),"")</f>
        <v/>
      </c>
      <c r="N67" s="3">
        <f>IFERROR(IF(D67="DIA ÚTIL",INDEX(tblPessoas[R$/h útil],MATCH(E67,tblPessoas[ID],0)),INDEX(tblPessoas[R$/h FDS],MATCH(E67,tblPessoas[ID],0))),0)</f>
        <v>0</v>
      </c>
      <c r="O67" s="3">
        <f>IFERROR(INDEX(tblPessoas[R$/diária],MATCH(E67,tblPessoas[ID],0)),0)</f>
        <v>0</v>
      </c>
      <c r="P67" s="3" t="str">
        <f t="shared" si="2"/>
        <v/>
      </c>
      <c r="Q67" t="str">
        <f>IF(A67="","",IF(COUNTIF(tblBatidas[Início vinculado],"B"&amp;MID($A67,2,99))=0,"EM ABERTO",IF(OR(COUNTIF(tblBatidas[Início vinculado],"B"&amp;MID($A67,2,99))&gt;1,K67&lt;0,K67&gt;16,INT(INDEX(tblBatidas[Data e hora],MATCH("B"&amp;MID($A67,2,99),tblBatidas[Início vinculado],0)))&lt;&gt;B67,INDEX(tblBatidas[ID],MATCH("B"&amp;MID($A67,2,99),tblBatidas[Início vinculado],0))&lt;&gt;E67,INDEX(tblBatidas[Projeto],MATCH("B"&amp;MID($A67,2,99),tblBatidas[Início vinculado],0))&lt;&gt;G67,INDEX(tblBatidas[Atividade],MATCH("B"&amp;MID($A67,2,99),tblBatidas[Início vinculado],0))&lt;&gt;H67),"REVISAR","CONCLUÍDO")))</f>
        <v/>
      </c>
      <c r="R67">
        <f>IF(Q67&lt;&gt;"CONCLUÍDO",0,IF(COUNTIFS($E$5:E67,E67,$B$5:B67,B67,$Q$5:Q67,"CONCLUÍDO")=1,1,0))</f>
        <v>0</v>
      </c>
      <c r="S67" t="str">
        <f t="shared" si="3"/>
        <v/>
      </c>
      <c r="T67" t="str">
        <f>IF(E67="","",E67*100000+COUNTIFS(tblRegistros[ID],E67,tblRegistros[Data],"&lt;"&amp;B67)+COUNTIFS(tblRegistros[ID],E67,tblRegistros[Data],B67,tblRegistros[Início],"&lt;"&amp;I67)+COUNTIFS($E$5:E67,E67,$B$5:B67,B67,$I$5:I67,I67))</f>
        <v/>
      </c>
    </row>
    <row r="68" spans="2:20">
      <c r="B68" s="2" t="str">
        <f>IFERROR(INT(INDEX(tblBatidas[Data e hora],MATCH("B"&amp;MID($A68,2,99),tblBatidas[Batida ID],0))),"")</f>
        <v/>
      </c>
      <c r="C68" t="str">
        <f t="shared" si="0"/>
        <v/>
      </c>
      <c r="D68" t="str">
        <f t="shared" si="1"/>
        <v/>
      </c>
      <c r="E68" t="str">
        <f>IFERROR(INDEX(tblBatidas[ID],MATCH("B"&amp;MID($A68,2,99),tblBatidas[Batida ID],0)),"")</f>
        <v/>
      </c>
      <c r="F68" t="str">
        <f>IFERROR(INDEX(tblPessoas[Pessoa],MATCH(E68,tblPessoas[ID],0)),"")</f>
        <v/>
      </c>
      <c r="G68" t="str">
        <f>IFERROR(INDEX(tblBatidas[Projeto],MATCH("B"&amp;MID($A68,2,99),tblBatidas[Batida ID],0)),"")</f>
        <v/>
      </c>
      <c r="H68" t="str">
        <f>IFERROR(INDEX(tblBatidas[Atividade],MATCH("B"&amp;MID($A68,2,99),tblBatidas[Batida ID],0)),"")</f>
        <v/>
      </c>
      <c r="I68" s="4" t="str">
        <f>IFERROR(MOD(INDEX(tblBatidas[Data e hora],MATCH("B"&amp;MID($A68,2,99),tblBatidas[Batida ID],0)),1),"")</f>
        <v/>
      </c>
      <c r="J68" s="4" t="str">
        <f>IFERROR(MOD(INDEX(tblBatidas[Data e hora],MATCH("B"&amp;MID($A68,2,99),tblBatidas[Início vinculado],0)),1),"")</f>
        <v/>
      </c>
      <c r="K68" s="14" t="str">
        <f>IFERROR((INDEX(tblBatidas[Data e hora],MATCH("B"&amp;MID($A68,2,99),tblBatidas[Início vinculado],0))-INDEX(tblBatidas[Data e hora],MATCH("B"&amp;MID($A68,2,99),tblBatidas[Batida ID],0)))*24,"")</f>
        <v/>
      </c>
      <c r="L68" t="str">
        <f>IFERROR(INDEX(tblBatidas[Observação],MATCH("B"&amp;MID($A68,2,99),tblBatidas[Início vinculado],0)),"")</f>
        <v/>
      </c>
      <c r="M68" t="str">
        <f>IFERROR(INDEX(tblPessoas[Base],MATCH(E68,tblPessoas[ID],0)),"")</f>
        <v/>
      </c>
      <c r="N68" s="3">
        <f>IFERROR(IF(D68="DIA ÚTIL",INDEX(tblPessoas[R$/h útil],MATCH(E68,tblPessoas[ID],0)),INDEX(tblPessoas[R$/h FDS],MATCH(E68,tblPessoas[ID],0))),0)</f>
        <v>0</v>
      </c>
      <c r="O68" s="3">
        <f>IFERROR(INDEX(tblPessoas[R$/diária],MATCH(E68,tblPessoas[ID],0)),0)</f>
        <v>0</v>
      </c>
      <c r="P68" s="3" t="str">
        <f t="shared" si="2"/>
        <v/>
      </c>
      <c r="Q68" t="str">
        <f>IF(A68="","",IF(COUNTIF(tblBatidas[Início vinculado],"B"&amp;MID($A68,2,99))=0,"EM ABERTO",IF(OR(COUNTIF(tblBatidas[Início vinculado],"B"&amp;MID($A68,2,99))&gt;1,K68&lt;0,K68&gt;16,INT(INDEX(tblBatidas[Data e hora],MATCH("B"&amp;MID($A68,2,99),tblBatidas[Início vinculado],0)))&lt;&gt;B68,INDEX(tblBatidas[ID],MATCH("B"&amp;MID($A68,2,99),tblBatidas[Início vinculado],0))&lt;&gt;E68,INDEX(tblBatidas[Projeto],MATCH("B"&amp;MID($A68,2,99),tblBatidas[Início vinculado],0))&lt;&gt;G68,INDEX(tblBatidas[Atividade],MATCH("B"&amp;MID($A68,2,99),tblBatidas[Início vinculado],0))&lt;&gt;H68),"REVISAR","CONCLUÍDO")))</f>
        <v/>
      </c>
      <c r="R68">
        <f>IF(Q68&lt;&gt;"CONCLUÍDO",0,IF(COUNTIFS($E$5:E68,E68,$B$5:B68,B68,$Q$5:Q68,"CONCLUÍDO")=1,1,0))</f>
        <v>0</v>
      </c>
      <c r="S68" t="str">
        <f t="shared" si="3"/>
        <v/>
      </c>
      <c r="T68" t="str">
        <f>IF(E68="","",E68*100000+COUNTIFS(tblRegistros[ID],E68,tblRegistros[Data],"&lt;"&amp;B68)+COUNTIFS(tblRegistros[ID],E68,tblRegistros[Data],B68,tblRegistros[Início],"&lt;"&amp;I68)+COUNTIFS($E$5:E68,E68,$B$5:B68,B68,$I$5:I68,I68))</f>
        <v/>
      </c>
    </row>
    <row r="69" spans="2:20">
      <c r="B69" s="2" t="str">
        <f>IFERROR(INT(INDEX(tblBatidas[Data e hora],MATCH("B"&amp;MID($A69,2,99),tblBatidas[Batida ID],0))),"")</f>
        <v/>
      </c>
      <c r="C69" t="str">
        <f t="shared" ref="C69:C132" si="4">IF(B69="","",CHOOSE(WEEKDAY(B69,2),"SEGUNDA-FEIRA","TERÇA-FEIRA","QUARTA-FEIRA","QUINTA-FEIRA","SEXTA-FEIRA","SÁBADO","DOMINGO"))</f>
        <v/>
      </c>
      <c r="D69" t="str">
        <f t="shared" ref="D69:D132" si="5">IF(B69="","",IF(WEEKDAY(B69,2)&gt;5,"FDS/FERIADO","DIA ÚTIL"))</f>
        <v/>
      </c>
      <c r="E69" t="str">
        <f>IFERROR(INDEX(tblBatidas[ID],MATCH("B"&amp;MID($A69,2,99),tblBatidas[Batida ID],0)),"")</f>
        <v/>
      </c>
      <c r="F69" t="str">
        <f>IFERROR(INDEX(tblPessoas[Pessoa],MATCH(E69,tblPessoas[ID],0)),"")</f>
        <v/>
      </c>
      <c r="G69" t="str">
        <f>IFERROR(INDEX(tblBatidas[Projeto],MATCH("B"&amp;MID($A69,2,99),tblBatidas[Batida ID],0)),"")</f>
        <v/>
      </c>
      <c r="H69" t="str">
        <f>IFERROR(INDEX(tblBatidas[Atividade],MATCH("B"&amp;MID($A69,2,99),tblBatidas[Batida ID],0)),"")</f>
        <v/>
      </c>
      <c r="I69" s="4" t="str">
        <f>IFERROR(MOD(INDEX(tblBatidas[Data e hora],MATCH("B"&amp;MID($A69,2,99),tblBatidas[Batida ID],0)),1),"")</f>
        <v/>
      </c>
      <c r="J69" s="4" t="str">
        <f>IFERROR(MOD(INDEX(tblBatidas[Data e hora],MATCH("B"&amp;MID($A69,2,99),tblBatidas[Início vinculado],0)),1),"")</f>
        <v/>
      </c>
      <c r="K69" s="14" t="str">
        <f>IFERROR((INDEX(tblBatidas[Data e hora],MATCH("B"&amp;MID($A69,2,99),tblBatidas[Início vinculado],0))-INDEX(tblBatidas[Data e hora],MATCH("B"&amp;MID($A69,2,99),tblBatidas[Batida ID],0)))*24,"")</f>
        <v/>
      </c>
      <c r="L69" t="str">
        <f>IFERROR(INDEX(tblBatidas[Observação],MATCH("B"&amp;MID($A69,2,99),tblBatidas[Início vinculado],0)),"")</f>
        <v/>
      </c>
      <c r="M69" t="str">
        <f>IFERROR(INDEX(tblPessoas[Base],MATCH(E69,tblPessoas[ID],0)),"")</f>
        <v/>
      </c>
      <c r="N69" s="3">
        <f>IFERROR(IF(D69="DIA ÚTIL",INDEX(tblPessoas[R$/h útil],MATCH(E69,tblPessoas[ID],0)),INDEX(tblPessoas[R$/h FDS],MATCH(E69,tblPessoas[ID],0))),0)</f>
        <v>0</v>
      </c>
      <c r="O69" s="3">
        <f>IFERROR(INDEX(tblPessoas[R$/diária],MATCH(E69,tblPessoas[ID],0)),0)</f>
        <v>0</v>
      </c>
      <c r="P69" s="3" t="str">
        <f t="shared" ref="P69:P132" si="6">IF(Q69&lt;&gt;"CONCLUÍDO","",IF(M69="Diária",O69*R69,K69*N69))</f>
        <v/>
      </c>
      <c r="Q69" t="str">
        <f>IF(A69="","",IF(COUNTIF(tblBatidas[Início vinculado],"B"&amp;MID($A69,2,99))=0,"EM ABERTO",IF(OR(COUNTIF(tblBatidas[Início vinculado],"B"&amp;MID($A69,2,99))&gt;1,K69&lt;0,K69&gt;16,INT(INDEX(tblBatidas[Data e hora],MATCH("B"&amp;MID($A69,2,99),tblBatidas[Início vinculado],0)))&lt;&gt;B69,INDEX(tblBatidas[ID],MATCH("B"&amp;MID($A69,2,99),tblBatidas[Início vinculado],0))&lt;&gt;E69,INDEX(tblBatidas[Projeto],MATCH("B"&amp;MID($A69,2,99),tblBatidas[Início vinculado],0))&lt;&gt;G69,INDEX(tblBatidas[Atividade],MATCH("B"&amp;MID($A69,2,99),tblBatidas[Início vinculado],0))&lt;&gt;H69),"REVISAR","CONCLUÍDO")))</f>
        <v/>
      </c>
      <c r="R69">
        <f>IF(Q69&lt;&gt;"CONCLUÍDO",0,IF(COUNTIFS($E$5:E69,E69,$B$5:B69,B69,$Q$5:Q69,"CONCLUÍDO")=1,1,0))</f>
        <v>0</v>
      </c>
      <c r="S69" t="str">
        <f t="shared" ref="S69:S132" si="7">IF(B69="","",TEXT(B69,"yyyy-mm"))</f>
        <v/>
      </c>
      <c r="T69" t="str">
        <f>IF(E69="","",E69*100000+COUNTIFS(tblRegistros[ID],E69,tblRegistros[Data],"&lt;"&amp;B69)+COUNTIFS(tblRegistros[ID],E69,tblRegistros[Data],B69,tblRegistros[Início],"&lt;"&amp;I69)+COUNTIFS($E$5:E69,E69,$B$5:B69,B69,$I$5:I69,I69))</f>
        <v/>
      </c>
    </row>
    <row r="70" spans="2:20">
      <c r="B70" s="2" t="str">
        <f>IFERROR(INT(INDEX(tblBatidas[Data e hora],MATCH("B"&amp;MID($A70,2,99),tblBatidas[Batida ID],0))),"")</f>
        <v/>
      </c>
      <c r="C70" t="str">
        <f t="shared" si="4"/>
        <v/>
      </c>
      <c r="D70" t="str">
        <f t="shared" si="5"/>
        <v/>
      </c>
      <c r="E70" t="str">
        <f>IFERROR(INDEX(tblBatidas[ID],MATCH("B"&amp;MID($A70,2,99),tblBatidas[Batida ID],0)),"")</f>
        <v/>
      </c>
      <c r="F70" t="str">
        <f>IFERROR(INDEX(tblPessoas[Pessoa],MATCH(E70,tblPessoas[ID],0)),"")</f>
        <v/>
      </c>
      <c r="G70" t="str">
        <f>IFERROR(INDEX(tblBatidas[Projeto],MATCH("B"&amp;MID($A70,2,99),tblBatidas[Batida ID],0)),"")</f>
        <v/>
      </c>
      <c r="H70" t="str">
        <f>IFERROR(INDEX(tblBatidas[Atividade],MATCH("B"&amp;MID($A70,2,99),tblBatidas[Batida ID],0)),"")</f>
        <v/>
      </c>
      <c r="I70" s="4" t="str">
        <f>IFERROR(MOD(INDEX(tblBatidas[Data e hora],MATCH("B"&amp;MID($A70,2,99),tblBatidas[Batida ID],0)),1),"")</f>
        <v/>
      </c>
      <c r="J70" s="4" t="str">
        <f>IFERROR(MOD(INDEX(tblBatidas[Data e hora],MATCH("B"&amp;MID($A70,2,99),tblBatidas[Início vinculado],0)),1),"")</f>
        <v/>
      </c>
      <c r="K70" s="14" t="str">
        <f>IFERROR((INDEX(tblBatidas[Data e hora],MATCH("B"&amp;MID($A70,2,99),tblBatidas[Início vinculado],0))-INDEX(tblBatidas[Data e hora],MATCH("B"&amp;MID($A70,2,99),tblBatidas[Batida ID],0)))*24,"")</f>
        <v/>
      </c>
      <c r="L70" t="str">
        <f>IFERROR(INDEX(tblBatidas[Observação],MATCH("B"&amp;MID($A70,2,99),tblBatidas[Início vinculado],0)),"")</f>
        <v/>
      </c>
      <c r="M70" t="str">
        <f>IFERROR(INDEX(tblPessoas[Base],MATCH(E70,tblPessoas[ID],0)),"")</f>
        <v/>
      </c>
      <c r="N70" s="3">
        <f>IFERROR(IF(D70="DIA ÚTIL",INDEX(tblPessoas[R$/h útil],MATCH(E70,tblPessoas[ID],0)),INDEX(tblPessoas[R$/h FDS],MATCH(E70,tblPessoas[ID],0))),0)</f>
        <v>0</v>
      </c>
      <c r="O70" s="3">
        <f>IFERROR(INDEX(tblPessoas[R$/diária],MATCH(E70,tblPessoas[ID],0)),0)</f>
        <v>0</v>
      </c>
      <c r="P70" s="3" t="str">
        <f t="shared" si="6"/>
        <v/>
      </c>
      <c r="Q70" t="str">
        <f>IF(A70="","",IF(COUNTIF(tblBatidas[Início vinculado],"B"&amp;MID($A70,2,99))=0,"EM ABERTO",IF(OR(COUNTIF(tblBatidas[Início vinculado],"B"&amp;MID($A70,2,99))&gt;1,K70&lt;0,K70&gt;16,INT(INDEX(tblBatidas[Data e hora],MATCH("B"&amp;MID($A70,2,99),tblBatidas[Início vinculado],0)))&lt;&gt;B70,INDEX(tblBatidas[ID],MATCH("B"&amp;MID($A70,2,99),tblBatidas[Início vinculado],0))&lt;&gt;E70,INDEX(tblBatidas[Projeto],MATCH("B"&amp;MID($A70,2,99),tblBatidas[Início vinculado],0))&lt;&gt;G70,INDEX(tblBatidas[Atividade],MATCH("B"&amp;MID($A70,2,99),tblBatidas[Início vinculado],0))&lt;&gt;H70),"REVISAR","CONCLUÍDO")))</f>
        <v/>
      </c>
      <c r="R70">
        <f>IF(Q70&lt;&gt;"CONCLUÍDO",0,IF(COUNTIFS($E$5:E70,E70,$B$5:B70,B70,$Q$5:Q70,"CONCLUÍDO")=1,1,0))</f>
        <v>0</v>
      </c>
      <c r="S70" t="str">
        <f t="shared" si="7"/>
        <v/>
      </c>
      <c r="T70" t="str">
        <f>IF(E70="","",E70*100000+COUNTIFS(tblRegistros[ID],E70,tblRegistros[Data],"&lt;"&amp;B70)+COUNTIFS(tblRegistros[ID],E70,tblRegistros[Data],B70,tblRegistros[Início],"&lt;"&amp;I70)+COUNTIFS($E$5:E70,E70,$B$5:B70,B70,$I$5:I70,I70))</f>
        <v/>
      </c>
    </row>
    <row r="71" spans="2:20">
      <c r="B71" s="2" t="str">
        <f>IFERROR(INT(INDEX(tblBatidas[Data e hora],MATCH("B"&amp;MID($A71,2,99),tblBatidas[Batida ID],0))),"")</f>
        <v/>
      </c>
      <c r="C71" t="str">
        <f t="shared" si="4"/>
        <v/>
      </c>
      <c r="D71" t="str">
        <f t="shared" si="5"/>
        <v/>
      </c>
      <c r="E71" t="str">
        <f>IFERROR(INDEX(tblBatidas[ID],MATCH("B"&amp;MID($A71,2,99),tblBatidas[Batida ID],0)),"")</f>
        <v/>
      </c>
      <c r="F71" t="str">
        <f>IFERROR(INDEX(tblPessoas[Pessoa],MATCH(E71,tblPessoas[ID],0)),"")</f>
        <v/>
      </c>
      <c r="G71" t="str">
        <f>IFERROR(INDEX(tblBatidas[Projeto],MATCH("B"&amp;MID($A71,2,99),tblBatidas[Batida ID],0)),"")</f>
        <v/>
      </c>
      <c r="H71" t="str">
        <f>IFERROR(INDEX(tblBatidas[Atividade],MATCH("B"&amp;MID($A71,2,99),tblBatidas[Batida ID],0)),"")</f>
        <v/>
      </c>
      <c r="I71" s="4" t="str">
        <f>IFERROR(MOD(INDEX(tblBatidas[Data e hora],MATCH("B"&amp;MID($A71,2,99),tblBatidas[Batida ID],0)),1),"")</f>
        <v/>
      </c>
      <c r="J71" s="4" t="str">
        <f>IFERROR(MOD(INDEX(tblBatidas[Data e hora],MATCH("B"&amp;MID($A71,2,99),tblBatidas[Início vinculado],0)),1),"")</f>
        <v/>
      </c>
      <c r="K71" s="14" t="str">
        <f>IFERROR((INDEX(tblBatidas[Data e hora],MATCH("B"&amp;MID($A71,2,99),tblBatidas[Início vinculado],0))-INDEX(tblBatidas[Data e hora],MATCH("B"&amp;MID($A71,2,99),tblBatidas[Batida ID],0)))*24,"")</f>
        <v/>
      </c>
      <c r="L71" t="str">
        <f>IFERROR(INDEX(tblBatidas[Observação],MATCH("B"&amp;MID($A71,2,99),tblBatidas[Início vinculado],0)),"")</f>
        <v/>
      </c>
      <c r="M71" t="str">
        <f>IFERROR(INDEX(tblPessoas[Base],MATCH(E71,tblPessoas[ID],0)),"")</f>
        <v/>
      </c>
      <c r="N71" s="3">
        <f>IFERROR(IF(D71="DIA ÚTIL",INDEX(tblPessoas[R$/h útil],MATCH(E71,tblPessoas[ID],0)),INDEX(tblPessoas[R$/h FDS],MATCH(E71,tblPessoas[ID],0))),0)</f>
        <v>0</v>
      </c>
      <c r="O71" s="3">
        <f>IFERROR(INDEX(tblPessoas[R$/diária],MATCH(E71,tblPessoas[ID],0)),0)</f>
        <v>0</v>
      </c>
      <c r="P71" s="3" t="str">
        <f t="shared" si="6"/>
        <v/>
      </c>
      <c r="Q71" t="str">
        <f>IF(A71="","",IF(COUNTIF(tblBatidas[Início vinculado],"B"&amp;MID($A71,2,99))=0,"EM ABERTO",IF(OR(COUNTIF(tblBatidas[Início vinculado],"B"&amp;MID($A71,2,99))&gt;1,K71&lt;0,K71&gt;16,INT(INDEX(tblBatidas[Data e hora],MATCH("B"&amp;MID($A71,2,99),tblBatidas[Início vinculado],0)))&lt;&gt;B71,INDEX(tblBatidas[ID],MATCH("B"&amp;MID($A71,2,99),tblBatidas[Início vinculado],0))&lt;&gt;E71,INDEX(tblBatidas[Projeto],MATCH("B"&amp;MID($A71,2,99),tblBatidas[Início vinculado],0))&lt;&gt;G71,INDEX(tblBatidas[Atividade],MATCH("B"&amp;MID($A71,2,99),tblBatidas[Início vinculado],0))&lt;&gt;H71),"REVISAR","CONCLUÍDO")))</f>
        <v/>
      </c>
      <c r="R71">
        <f>IF(Q71&lt;&gt;"CONCLUÍDO",0,IF(COUNTIFS($E$5:E71,E71,$B$5:B71,B71,$Q$5:Q71,"CONCLUÍDO")=1,1,0))</f>
        <v>0</v>
      </c>
      <c r="S71" t="str">
        <f t="shared" si="7"/>
        <v/>
      </c>
      <c r="T71" t="str">
        <f>IF(E71="","",E71*100000+COUNTIFS(tblRegistros[ID],E71,tblRegistros[Data],"&lt;"&amp;B71)+COUNTIFS(tblRegistros[ID],E71,tblRegistros[Data],B71,tblRegistros[Início],"&lt;"&amp;I71)+COUNTIFS($E$5:E71,E71,$B$5:B71,B71,$I$5:I71,I71))</f>
        <v/>
      </c>
    </row>
    <row r="72" spans="2:20">
      <c r="B72" s="2" t="str">
        <f>IFERROR(INT(INDEX(tblBatidas[Data e hora],MATCH("B"&amp;MID($A72,2,99),tblBatidas[Batida ID],0))),"")</f>
        <v/>
      </c>
      <c r="C72" t="str">
        <f t="shared" si="4"/>
        <v/>
      </c>
      <c r="D72" t="str">
        <f t="shared" si="5"/>
        <v/>
      </c>
      <c r="E72" t="str">
        <f>IFERROR(INDEX(tblBatidas[ID],MATCH("B"&amp;MID($A72,2,99),tblBatidas[Batida ID],0)),"")</f>
        <v/>
      </c>
      <c r="F72" t="str">
        <f>IFERROR(INDEX(tblPessoas[Pessoa],MATCH(E72,tblPessoas[ID],0)),"")</f>
        <v/>
      </c>
      <c r="G72" t="str">
        <f>IFERROR(INDEX(tblBatidas[Projeto],MATCH("B"&amp;MID($A72,2,99),tblBatidas[Batida ID],0)),"")</f>
        <v/>
      </c>
      <c r="H72" t="str">
        <f>IFERROR(INDEX(tblBatidas[Atividade],MATCH("B"&amp;MID($A72,2,99),tblBatidas[Batida ID],0)),"")</f>
        <v/>
      </c>
      <c r="I72" s="4" t="str">
        <f>IFERROR(MOD(INDEX(tblBatidas[Data e hora],MATCH("B"&amp;MID($A72,2,99),tblBatidas[Batida ID],0)),1),"")</f>
        <v/>
      </c>
      <c r="J72" s="4" t="str">
        <f>IFERROR(MOD(INDEX(tblBatidas[Data e hora],MATCH("B"&amp;MID($A72,2,99),tblBatidas[Início vinculado],0)),1),"")</f>
        <v/>
      </c>
      <c r="K72" s="14" t="str">
        <f>IFERROR((INDEX(tblBatidas[Data e hora],MATCH("B"&amp;MID($A72,2,99),tblBatidas[Início vinculado],0))-INDEX(tblBatidas[Data e hora],MATCH("B"&amp;MID($A72,2,99),tblBatidas[Batida ID],0)))*24,"")</f>
        <v/>
      </c>
      <c r="L72" t="str">
        <f>IFERROR(INDEX(tblBatidas[Observação],MATCH("B"&amp;MID($A72,2,99),tblBatidas[Início vinculado],0)),"")</f>
        <v/>
      </c>
      <c r="M72" t="str">
        <f>IFERROR(INDEX(tblPessoas[Base],MATCH(E72,tblPessoas[ID],0)),"")</f>
        <v/>
      </c>
      <c r="N72" s="3">
        <f>IFERROR(IF(D72="DIA ÚTIL",INDEX(tblPessoas[R$/h útil],MATCH(E72,tblPessoas[ID],0)),INDEX(tblPessoas[R$/h FDS],MATCH(E72,tblPessoas[ID],0))),0)</f>
        <v>0</v>
      </c>
      <c r="O72" s="3">
        <f>IFERROR(INDEX(tblPessoas[R$/diária],MATCH(E72,tblPessoas[ID],0)),0)</f>
        <v>0</v>
      </c>
      <c r="P72" s="3" t="str">
        <f t="shared" si="6"/>
        <v/>
      </c>
      <c r="Q72" t="str">
        <f>IF(A72="","",IF(COUNTIF(tblBatidas[Início vinculado],"B"&amp;MID($A72,2,99))=0,"EM ABERTO",IF(OR(COUNTIF(tblBatidas[Início vinculado],"B"&amp;MID($A72,2,99))&gt;1,K72&lt;0,K72&gt;16,INT(INDEX(tblBatidas[Data e hora],MATCH("B"&amp;MID($A72,2,99),tblBatidas[Início vinculado],0)))&lt;&gt;B72,INDEX(tblBatidas[ID],MATCH("B"&amp;MID($A72,2,99),tblBatidas[Início vinculado],0))&lt;&gt;E72,INDEX(tblBatidas[Projeto],MATCH("B"&amp;MID($A72,2,99),tblBatidas[Início vinculado],0))&lt;&gt;G72,INDEX(tblBatidas[Atividade],MATCH("B"&amp;MID($A72,2,99),tblBatidas[Início vinculado],0))&lt;&gt;H72),"REVISAR","CONCLUÍDO")))</f>
        <v/>
      </c>
      <c r="R72">
        <f>IF(Q72&lt;&gt;"CONCLUÍDO",0,IF(COUNTIFS($E$5:E72,E72,$B$5:B72,B72,$Q$5:Q72,"CONCLUÍDO")=1,1,0))</f>
        <v>0</v>
      </c>
      <c r="S72" t="str">
        <f t="shared" si="7"/>
        <v/>
      </c>
      <c r="T72" t="str">
        <f>IF(E72="","",E72*100000+COUNTIFS(tblRegistros[ID],E72,tblRegistros[Data],"&lt;"&amp;B72)+COUNTIFS(tblRegistros[ID],E72,tblRegistros[Data],B72,tblRegistros[Início],"&lt;"&amp;I72)+COUNTIFS($E$5:E72,E72,$B$5:B72,B72,$I$5:I72,I72))</f>
        <v/>
      </c>
    </row>
    <row r="73" spans="2:20">
      <c r="B73" s="2" t="str">
        <f>IFERROR(INT(INDEX(tblBatidas[Data e hora],MATCH("B"&amp;MID($A73,2,99),tblBatidas[Batida ID],0))),"")</f>
        <v/>
      </c>
      <c r="C73" t="str">
        <f t="shared" si="4"/>
        <v/>
      </c>
      <c r="D73" t="str">
        <f t="shared" si="5"/>
        <v/>
      </c>
      <c r="E73" t="str">
        <f>IFERROR(INDEX(tblBatidas[ID],MATCH("B"&amp;MID($A73,2,99),tblBatidas[Batida ID],0)),"")</f>
        <v/>
      </c>
      <c r="F73" t="str">
        <f>IFERROR(INDEX(tblPessoas[Pessoa],MATCH(E73,tblPessoas[ID],0)),"")</f>
        <v/>
      </c>
      <c r="G73" t="str">
        <f>IFERROR(INDEX(tblBatidas[Projeto],MATCH("B"&amp;MID($A73,2,99),tblBatidas[Batida ID],0)),"")</f>
        <v/>
      </c>
      <c r="H73" t="str">
        <f>IFERROR(INDEX(tblBatidas[Atividade],MATCH("B"&amp;MID($A73,2,99),tblBatidas[Batida ID],0)),"")</f>
        <v/>
      </c>
      <c r="I73" s="4" t="str">
        <f>IFERROR(MOD(INDEX(tblBatidas[Data e hora],MATCH("B"&amp;MID($A73,2,99),tblBatidas[Batida ID],0)),1),"")</f>
        <v/>
      </c>
      <c r="J73" s="4" t="str">
        <f>IFERROR(MOD(INDEX(tblBatidas[Data e hora],MATCH("B"&amp;MID($A73,2,99),tblBatidas[Início vinculado],0)),1),"")</f>
        <v/>
      </c>
      <c r="K73" s="14" t="str">
        <f>IFERROR((INDEX(tblBatidas[Data e hora],MATCH("B"&amp;MID($A73,2,99),tblBatidas[Início vinculado],0))-INDEX(tblBatidas[Data e hora],MATCH("B"&amp;MID($A73,2,99),tblBatidas[Batida ID],0)))*24,"")</f>
        <v/>
      </c>
      <c r="L73" t="str">
        <f>IFERROR(INDEX(tblBatidas[Observação],MATCH("B"&amp;MID($A73,2,99),tblBatidas[Início vinculado],0)),"")</f>
        <v/>
      </c>
      <c r="M73" t="str">
        <f>IFERROR(INDEX(tblPessoas[Base],MATCH(E73,tblPessoas[ID],0)),"")</f>
        <v/>
      </c>
      <c r="N73" s="3">
        <f>IFERROR(IF(D73="DIA ÚTIL",INDEX(tblPessoas[R$/h útil],MATCH(E73,tblPessoas[ID],0)),INDEX(tblPessoas[R$/h FDS],MATCH(E73,tblPessoas[ID],0))),0)</f>
        <v>0</v>
      </c>
      <c r="O73" s="3">
        <f>IFERROR(INDEX(tblPessoas[R$/diária],MATCH(E73,tblPessoas[ID],0)),0)</f>
        <v>0</v>
      </c>
      <c r="P73" s="3" t="str">
        <f t="shared" si="6"/>
        <v/>
      </c>
      <c r="Q73" t="str">
        <f>IF(A73="","",IF(COUNTIF(tblBatidas[Início vinculado],"B"&amp;MID($A73,2,99))=0,"EM ABERTO",IF(OR(COUNTIF(tblBatidas[Início vinculado],"B"&amp;MID($A73,2,99))&gt;1,K73&lt;0,K73&gt;16,INT(INDEX(tblBatidas[Data e hora],MATCH("B"&amp;MID($A73,2,99),tblBatidas[Início vinculado],0)))&lt;&gt;B73,INDEX(tblBatidas[ID],MATCH("B"&amp;MID($A73,2,99),tblBatidas[Início vinculado],0))&lt;&gt;E73,INDEX(tblBatidas[Projeto],MATCH("B"&amp;MID($A73,2,99),tblBatidas[Início vinculado],0))&lt;&gt;G73,INDEX(tblBatidas[Atividade],MATCH("B"&amp;MID($A73,2,99),tblBatidas[Início vinculado],0))&lt;&gt;H73),"REVISAR","CONCLUÍDO")))</f>
        <v/>
      </c>
      <c r="R73">
        <f>IF(Q73&lt;&gt;"CONCLUÍDO",0,IF(COUNTIFS($E$5:E73,E73,$B$5:B73,B73,$Q$5:Q73,"CONCLUÍDO")=1,1,0))</f>
        <v>0</v>
      </c>
      <c r="S73" t="str">
        <f t="shared" si="7"/>
        <v/>
      </c>
      <c r="T73" t="str">
        <f>IF(E73="","",E73*100000+COUNTIFS(tblRegistros[ID],E73,tblRegistros[Data],"&lt;"&amp;B73)+COUNTIFS(tblRegistros[ID],E73,tblRegistros[Data],B73,tblRegistros[Início],"&lt;"&amp;I73)+COUNTIFS($E$5:E73,E73,$B$5:B73,B73,$I$5:I73,I73))</f>
        <v/>
      </c>
    </row>
    <row r="74" spans="2:20">
      <c r="B74" s="2" t="str">
        <f>IFERROR(INT(INDEX(tblBatidas[Data e hora],MATCH("B"&amp;MID($A74,2,99),tblBatidas[Batida ID],0))),"")</f>
        <v/>
      </c>
      <c r="C74" t="str">
        <f t="shared" si="4"/>
        <v/>
      </c>
      <c r="D74" t="str">
        <f t="shared" si="5"/>
        <v/>
      </c>
      <c r="E74" t="str">
        <f>IFERROR(INDEX(tblBatidas[ID],MATCH("B"&amp;MID($A74,2,99),tblBatidas[Batida ID],0)),"")</f>
        <v/>
      </c>
      <c r="F74" t="str">
        <f>IFERROR(INDEX(tblPessoas[Pessoa],MATCH(E74,tblPessoas[ID],0)),"")</f>
        <v/>
      </c>
      <c r="G74" t="str">
        <f>IFERROR(INDEX(tblBatidas[Projeto],MATCH("B"&amp;MID($A74,2,99),tblBatidas[Batida ID],0)),"")</f>
        <v/>
      </c>
      <c r="H74" t="str">
        <f>IFERROR(INDEX(tblBatidas[Atividade],MATCH("B"&amp;MID($A74,2,99),tblBatidas[Batida ID],0)),"")</f>
        <v/>
      </c>
      <c r="I74" s="4" t="str">
        <f>IFERROR(MOD(INDEX(tblBatidas[Data e hora],MATCH("B"&amp;MID($A74,2,99),tblBatidas[Batida ID],0)),1),"")</f>
        <v/>
      </c>
      <c r="J74" s="4" t="str">
        <f>IFERROR(MOD(INDEX(tblBatidas[Data e hora],MATCH("B"&amp;MID($A74,2,99),tblBatidas[Início vinculado],0)),1),"")</f>
        <v/>
      </c>
      <c r="K74" s="14" t="str">
        <f>IFERROR((INDEX(tblBatidas[Data e hora],MATCH("B"&amp;MID($A74,2,99),tblBatidas[Início vinculado],0))-INDEX(tblBatidas[Data e hora],MATCH("B"&amp;MID($A74,2,99),tblBatidas[Batida ID],0)))*24,"")</f>
        <v/>
      </c>
      <c r="L74" t="str">
        <f>IFERROR(INDEX(tblBatidas[Observação],MATCH("B"&amp;MID($A74,2,99),tblBatidas[Início vinculado],0)),"")</f>
        <v/>
      </c>
      <c r="M74" t="str">
        <f>IFERROR(INDEX(tblPessoas[Base],MATCH(E74,tblPessoas[ID],0)),"")</f>
        <v/>
      </c>
      <c r="N74" s="3">
        <f>IFERROR(IF(D74="DIA ÚTIL",INDEX(tblPessoas[R$/h útil],MATCH(E74,tblPessoas[ID],0)),INDEX(tblPessoas[R$/h FDS],MATCH(E74,tblPessoas[ID],0))),0)</f>
        <v>0</v>
      </c>
      <c r="O74" s="3">
        <f>IFERROR(INDEX(tblPessoas[R$/diária],MATCH(E74,tblPessoas[ID],0)),0)</f>
        <v>0</v>
      </c>
      <c r="P74" s="3" t="str">
        <f t="shared" si="6"/>
        <v/>
      </c>
      <c r="Q74" t="str">
        <f>IF(A74="","",IF(COUNTIF(tblBatidas[Início vinculado],"B"&amp;MID($A74,2,99))=0,"EM ABERTO",IF(OR(COUNTIF(tblBatidas[Início vinculado],"B"&amp;MID($A74,2,99))&gt;1,K74&lt;0,K74&gt;16,INT(INDEX(tblBatidas[Data e hora],MATCH("B"&amp;MID($A74,2,99),tblBatidas[Início vinculado],0)))&lt;&gt;B74,INDEX(tblBatidas[ID],MATCH("B"&amp;MID($A74,2,99),tblBatidas[Início vinculado],0))&lt;&gt;E74,INDEX(tblBatidas[Projeto],MATCH("B"&amp;MID($A74,2,99),tblBatidas[Início vinculado],0))&lt;&gt;G74,INDEX(tblBatidas[Atividade],MATCH("B"&amp;MID($A74,2,99),tblBatidas[Início vinculado],0))&lt;&gt;H74),"REVISAR","CONCLUÍDO")))</f>
        <v/>
      </c>
      <c r="R74">
        <f>IF(Q74&lt;&gt;"CONCLUÍDO",0,IF(COUNTIFS($E$5:E74,E74,$B$5:B74,B74,$Q$5:Q74,"CONCLUÍDO")=1,1,0))</f>
        <v>0</v>
      </c>
      <c r="S74" t="str">
        <f t="shared" si="7"/>
        <v/>
      </c>
      <c r="T74" t="str">
        <f>IF(E74="","",E74*100000+COUNTIFS(tblRegistros[ID],E74,tblRegistros[Data],"&lt;"&amp;B74)+COUNTIFS(tblRegistros[ID],E74,tblRegistros[Data],B74,tblRegistros[Início],"&lt;"&amp;I74)+COUNTIFS($E$5:E74,E74,$B$5:B74,B74,$I$5:I74,I74))</f>
        <v/>
      </c>
    </row>
    <row r="75" spans="2:20">
      <c r="B75" s="2" t="str">
        <f>IFERROR(INT(INDEX(tblBatidas[Data e hora],MATCH("B"&amp;MID($A75,2,99),tblBatidas[Batida ID],0))),"")</f>
        <v/>
      </c>
      <c r="C75" t="str">
        <f t="shared" si="4"/>
        <v/>
      </c>
      <c r="D75" t="str">
        <f t="shared" si="5"/>
        <v/>
      </c>
      <c r="E75" t="str">
        <f>IFERROR(INDEX(tblBatidas[ID],MATCH("B"&amp;MID($A75,2,99),tblBatidas[Batida ID],0)),"")</f>
        <v/>
      </c>
      <c r="F75" t="str">
        <f>IFERROR(INDEX(tblPessoas[Pessoa],MATCH(E75,tblPessoas[ID],0)),"")</f>
        <v/>
      </c>
      <c r="G75" t="str">
        <f>IFERROR(INDEX(tblBatidas[Projeto],MATCH("B"&amp;MID($A75,2,99),tblBatidas[Batida ID],0)),"")</f>
        <v/>
      </c>
      <c r="H75" t="str">
        <f>IFERROR(INDEX(tblBatidas[Atividade],MATCH("B"&amp;MID($A75,2,99),tblBatidas[Batida ID],0)),"")</f>
        <v/>
      </c>
      <c r="I75" s="4" t="str">
        <f>IFERROR(MOD(INDEX(tblBatidas[Data e hora],MATCH("B"&amp;MID($A75,2,99),tblBatidas[Batida ID],0)),1),"")</f>
        <v/>
      </c>
      <c r="J75" s="4" t="str">
        <f>IFERROR(MOD(INDEX(tblBatidas[Data e hora],MATCH("B"&amp;MID($A75,2,99),tblBatidas[Início vinculado],0)),1),"")</f>
        <v/>
      </c>
      <c r="K75" s="14" t="str">
        <f>IFERROR((INDEX(tblBatidas[Data e hora],MATCH("B"&amp;MID($A75,2,99),tblBatidas[Início vinculado],0))-INDEX(tblBatidas[Data e hora],MATCH("B"&amp;MID($A75,2,99),tblBatidas[Batida ID],0)))*24,"")</f>
        <v/>
      </c>
      <c r="L75" t="str">
        <f>IFERROR(INDEX(tblBatidas[Observação],MATCH("B"&amp;MID($A75,2,99),tblBatidas[Início vinculado],0)),"")</f>
        <v/>
      </c>
      <c r="M75" t="str">
        <f>IFERROR(INDEX(tblPessoas[Base],MATCH(E75,tblPessoas[ID],0)),"")</f>
        <v/>
      </c>
      <c r="N75" s="3">
        <f>IFERROR(IF(D75="DIA ÚTIL",INDEX(tblPessoas[R$/h útil],MATCH(E75,tblPessoas[ID],0)),INDEX(tblPessoas[R$/h FDS],MATCH(E75,tblPessoas[ID],0))),0)</f>
        <v>0</v>
      </c>
      <c r="O75" s="3">
        <f>IFERROR(INDEX(tblPessoas[R$/diária],MATCH(E75,tblPessoas[ID],0)),0)</f>
        <v>0</v>
      </c>
      <c r="P75" s="3" t="str">
        <f t="shared" si="6"/>
        <v/>
      </c>
      <c r="Q75" t="str">
        <f>IF(A75="","",IF(COUNTIF(tblBatidas[Início vinculado],"B"&amp;MID($A75,2,99))=0,"EM ABERTO",IF(OR(COUNTIF(tblBatidas[Início vinculado],"B"&amp;MID($A75,2,99))&gt;1,K75&lt;0,K75&gt;16,INT(INDEX(tblBatidas[Data e hora],MATCH("B"&amp;MID($A75,2,99),tblBatidas[Início vinculado],0)))&lt;&gt;B75,INDEX(tblBatidas[ID],MATCH("B"&amp;MID($A75,2,99),tblBatidas[Início vinculado],0))&lt;&gt;E75,INDEX(tblBatidas[Projeto],MATCH("B"&amp;MID($A75,2,99),tblBatidas[Início vinculado],0))&lt;&gt;G75,INDEX(tblBatidas[Atividade],MATCH("B"&amp;MID($A75,2,99),tblBatidas[Início vinculado],0))&lt;&gt;H75),"REVISAR","CONCLUÍDO")))</f>
        <v/>
      </c>
      <c r="R75">
        <f>IF(Q75&lt;&gt;"CONCLUÍDO",0,IF(COUNTIFS($E$5:E75,E75,$B$5:B75,B75,$Q$5:Q75,"CONCLUÍDO")=1,1,0))</f>
        <v>0</v>
      </c>
      <c r="S75" t="str">
        <f t="shared" si="7"/>
        <v/>
      </c>
      <c r="T75" t="str">
        <f>IF(E75="","",E75*100000+COUNTIFS(tblRegistros[ID],E75,tblRegistros[Data],"&lt;"&amp;B75)+COUNTIFS(tblRegistros[ID],E75,tblRegistros[Data],B75,tblRegistros[Início],"&lt;"&amp;I75)+COUNTIFS($E$5:E75,E75,$B$5:B75,B75,$I$5:I75,I75))</f>
        <v/>
      </c>
    </row>
    <row r="76" spans="2:20">
      <c r="B76" s="2" t="str">
        <f>IFERROR(INT(INDEX(tblBatidas[Data e hora],MATCH("B"&amp;MID($A76,2,99),tblBatidas[Batida ID],0))),"")</f>
        <v/>
      </c>
      <c r="C76" t="str">
        <f t="shared" si="4"/>
        <v/>
      </c>
      <c r="D76" t="str">
        <f t="shared" si="5"/>
        <v/>
      </c>
      <c r="E76" t="str">
        <f>IFERROR(INDEX(tblBatidas[ID],MATCH("B"&amp;MID($A76,2,99),tblBatidas[Batida ID],0)),"")</f>
        <v/>
      </c>
      <c r="F76" t="str">
        <f>IFERROR(INDEX(tblPessoas[Pessoa],MATCH(E76,tblPessoas[ID],0)),"")</f>
        <v/>
      </c>
      <c r="G76" t="str">
        <f>IFERROR(INDEX(tblBatidas[Projeto],MATCH("B"&amp;MID($A76,2,99),tblBatidas[Batida ID],0)),"")</f>
        <v/>
      </c>
      <c r="H76" t="str">
        <f>IFERROR(INDEX(tblBatidas[Atividade],MATCH("B"&amp;MID($A76,2,99),tblBatidas[Batida ID],0)),"")</f>
        <v/>
      </c>
      <c r="I76" s="4" t="str">
        <f>IFERROR(MOD(INDEX(tblBatidas[Data e hora],MATCH("B"&amp;MID($A76,2,99),tblBatidas[Batida ID],0)),1),"")</f>
        <v/>
      </c>
      <c r="J76" s="4" t="str">
        <f>IFERROR(MOD(INDEX(tblBatidas[Data e hora],MATCH("B"&amp;MID($A76,2,99),tblBatidas[Início vinculado],0)),1),"")</f>
        <v/>
      </c>
      <c r="K76" s="14" t="str">
        <f>IFERROR((INDEX(tblBatidas[Data e hora],MATCH("B"&amp;MID($A76,2,99),tblBatidas[Início vinculado],0))-INDEX(tblBatidas[Data e hora],MATCH("B"&amp;MID($A76,2,99),tblBatidas[Batida ID],0)))*24,"")</f>
        <v/>
      </c>
      <c r="L76" t="str">
        <f>IFERROR(INDEX(tblBatidas[Observação],MATCH("B"&amp;MID($A76,2,99),tblBatidas[Início vinculado],0)),"")</f>
        <v/>
      </c>
      <c r="M76" t="str">
        <f>IFERROR(INDEX(tblPessoas[Base],MATCH(E76,tblPessoas[ID],0)),"")</f>
        <v/>
      </c>
      <c r="N76" s="3">
        <f>IFERROR(IF(D76="DIA ÚTIL",INDEX(tblPessoas[R$/h útil],MATCH(E76,tblPessoas[ID],0)),INDEX(tblPessoas[R$/h FDS],MATCH(E76,tblPessoas[ID],0))),0)</f>
        <v>0</v>
      </c>
      <c r="O76" s="3">
        <f>IFERROR(INDEX(tblPessoas[R$/diária],MATCH(E76,tblPessoas[ID],0)),0)</f>
        <v>0</v>
      </c>
      <c r="P76" s="3" t="str">
        <f t="shared" si="6"/>
        <v/>
      </c>
      <c r="Q76" t="str">
        <f>IF(A76="","",IF(COUNTIF(tblBatidas[Início vinculado],"B"&amp;MID($A76,2,99))=0,"EM ABERTO",IF(OR(COUNTIF(tblBatidas[Início vinculado],"B"&amp;MID($A76,2,99))&gt;1,K76&lt;0,K76&gt;16,INT(INDEX(tblBatidas[Data e hora],MATCH("B"&amp;MID($A76,2,99),tblBatidas[Início vinculado],0)))&lt;&gt;B76,INDEX(tblBatidas[ID],MATCH("B"&amp;MID($A76,2,99),tblBatidas[Início vinculado],0))&lt;&gt;E76,INDEX(tblBatidas[Projeto],MATCH("B"&amp;MID($A76,2,99),tblBatidas[Início vinculado],0))&lt;&gt;G76,INDEX(tblBatidas[Atividade],MATCH("B"&amp;MID($A76,2,99),tblBatidas[Início vinculado],0))&lt;&gt;H76),"REVISAR","CONCLUÍDO")))</f>
        <v/>
      </c>
      <c r="R76">
        <f>IF(Q76&lt;&gt;"CONCLUÍDO",0,IF(COUNTIFS($E$5:E76,E76,$B$5:B76,B76,$Q$5:Q76,"CONCLUÍDO")=1,1,0))</f>
        <v>0</v>
      </c>
      <c r="S76" t="str">
        <f t="shared" si="7"/>
        <v/>
      </c>
      <c r="T76" t="str">
        <f>IF(E76="","",E76*100000+COUNTIFS(tblRegistros[ID],E76,tblRegistros[Data],"&lt;"&amp;B76)+COUNTIFS(tblRegistros[ID],E76,tblRegistros[Data],B76,tblRegistros[Início],"&lt;"&amp;I76)+COUNTIFS($E$5:E76,E76,$B$5:B76,B76,$I$5:I76,I76))</f>
        <v/>
      </c>
    </row>
    <row r="77" spans="2:20">
      <c r="B77" s="2" t="str">
        <f>IFERROR(INT(INDEX(tblBatidas[Data e hora],MATCH("B"&amp;MID($A77,2,99),tblBatidas[Batida ID],0))),"")</f>
        <v/>
      </c>
      <c r="C77" t="str">
        <f t="shared" si="4"/>
        <v/>
      </c>
      <c r="D77" t="str">
        <f t="shared" si="5"/>
        <v/>
      </c>
      <c r="E77" t="str">
        <f>IFERROR(INDEX(tblBatidas[ID],MATCH("B"&amp;MID($A77,2,99),tblBatidas[Batida ID],0)),"")</f>
        <v/>
      </c>
      <c r="F77" t="str">
        <f>IFERROR(INDEX(tblPessoas[Pessoa],MATCH(E77,tblPessoas[ID],0)),"")</f>
        <v/>
      </c>
      <c r="G77" t="str">
        <f>IFERROR(INDEX(tblBatidas[Projeto],MATCH("B"&amp;MID($A77,2,99),tblBatidas[Batida ID],0)),"")</f>
        <v/>
      </c>
      <c r="H77" t="str">
        <f>IFERROR(INDEX(tblBatidas[Atividade],MATCH("B"&amp;MID($A77,2,99),tblBatidas[Batida ID],0)),"")</f>
        <v/>
      </c>
      <c r="I77" s="4" t="str">
        <f>IFERROR(MOD(INDEX(tblBatidas[Data e hora],MATCH("B"&amp;MID($A77,2,99),tblBatidas[Batida ID],0)),1),"")</f>
        <v/>
      </c>
      <c r="J77" s="4" t="str">
        <f>IFERROR(MOD(INDEX(tblBatidas[Data e hora],MATCH("B"&amp;MID($A77,2,99),tblBatidas[Início vinculado],0)),1),"")</f>
        <v/>
      </c>
      <c r="K77" s="14" t="str">
        <f>IFERROR((INDEX(tblBatidas[Data e hora],MATCH("B"&amp;MID($A77,2,99),tblBatidas[Início vinculado],0))-INDEX(tblBatidas[Data e hora],MATCH("B"&amp;MID($A77,2,99),tblBatidas[Batida ID],0)))*24,"")</f>
        <v/>
      </c>
      <c r="L77" t="str">
        <f>IFERROR(INDEX(tblBatidas[Observação],MATCH("B"&amp;MID($A77,2,99),tblBatidas[Início vinculado],0)),"")</f>
        <v/>
      </c>
      <c r="M77" t="str">
        <f>IFERROR(INDEX(tblPessoas[Base],MATCH(E77,tblPessoas[ID],0)),"")</f>
        <v/>
      </c>
      <c r="N77" s="3">
        <f>IFERROR(IF(D77="DIA ÚTIL",INDEX(tblPessoas[R$/h útil],MATCH(E77,tblPessoas[ID],0)),INDEX(tblPessoas[R$/h FDS],MATCH(E77,tblPessoas[ID],0))),0)</f>
        <v>0</v>
      </c>
      <c r="O77" s="3">
        <f>IFERROR(INDEX(tblPessoas[R$/diária],MATCH(E77,tblPessoas[ID],0)),0)</f>
        <v>0</v>
      </c>
      <c r="P77" s="3" t="str">
        <f t="shared" si="6"/>
        <v/>
      </c>
      <c r="Q77" t="str">
        <f>IF(A77="","",IF(COUNTIF(tblBatidas[Início vinculado],"B"&amp;MID($A77,2,99))=0,"EM ABERTO",IF(OR(COUNTIF(tblBatidas[Início vinculado],"B"&amp;MID($A77,2,99))&gt;1,K77&lt;0,K77&gt;16,INT(INDEX(tblBatidas[Data e hora],MATCH("B"&amp;MID($A77,2,99),tblBatidas[Início vinculado],0)))&lt;&gt;B77,INDEX(tblBatidas[ID],MATCH("B"&amp;MID($A77,2,99),tblBatidas[Início vinculado],0))&lt;&gt;E77,INDEX(tblBatidas[Projeto],MATCH("B"&amp;MID($A77,2,99),tblBatidas[Início vinculado],0))&lt;&gt;G77,INDEX(tblBatidas[Atividade],MATCH("B"&amp;MID($A77,2,99),tblBatidas[Início vinculado],0))&lt;&gt;H77),"REVISAR","CONCLUÍDO")))</f>
        <v/>
      </c>
      <c r="R77">
        <f>IF(Q77&lt;&gt;"CONCLUÍDO",0,IF(COUNTIFS($E$5:E77,E77,$B$5:B77,B77,$Q$5:Q77,"CONCLUÍDO")=1,1,0))</f>
        <v>0</v>
      </c>
      <c r="S77" t="str">
        <f t="shared" si="7"/>
        <v/>
      </c>
      <c r="T77" t="str">
        <f>IF(E77="","",E77*100000+COUNTIFS(tblRegistros[ID],E77,tblRegistros[Data],"&lt;"&amp;B77)+COUNTIFS(tblRegistros[ID],E77,tblRegistros[Data],B77,tblRegistros[Início],"&lt;"&amp;I77)+COUNTIFS($E$5:E77,E77,$B$5:B77,B77,$I$5:I77,I77))</f>
        <v/>
      </c>
    </row>
    <row r="78" spans="2:20">
      <c r="B78" s="2" t="str">
        <f>IFERROR(INT(INDEX(tblBatidas[Data e hora],MATCH("B"&amp;MID($A78,2,99),tblBatidas[Batida ID],0))),"")</f>
        <v/>
      </c>
      <c r="C78" t="str">
        <f t="shared" si="4"/>
        <v/>
      </c>
      <c r="D78" t="str">
        <f t="shared" si="5"/>
        <v/>
      </c>
      <c r="E78" t="str">
        <f>IFERROR(INDEX(tblBatidas[ID],MATCH("B"&amp;MID($A78,2,99),tblBatidas[Batida ID],0)),"")</f>
        <v/>
      </c>
      <c r="F78" t="str">
        <f>IFERROR(INDEX(tblPessoas[Pessoa],MATCH(E78,tblPessoas[ID],0)),"")</f>
        <v/>
      </c>
      <c r="G78" t="str">
        <f>IFERROR(INDEX(tblBatidas[Projeto],MATCH("B"&amp;MID($A78,2,99),tblBatidas[Batida ID],0)),"")</f>
        <v/>
      </c>
      <c r="H78" t="str">
        <f>IFERROR(INDEX(tblBatidas[Atividade],MATCH("B"&amp;MID($A78,2,99),tblBatidas[Batida ID],0)),"")</f>
        <v/>
      </c>
      <c r="I78" s="4" t="str">
        <f>IFERROR(MOD(INDEX(tblBatidas[Data e hora],MATCH("B"&amp;MID($A78,2,99),tblBatidas[Batida ID],0)),1),"")</f>
        <v/>
      </c>
      <c r="J78" s="4" t="str">
        <f>IFERROR(MOD(INDEX(tblBatidas[Data e hora],MATCH("B"&amp;MID($A78,2,99),tblBatidas[Início vinculado],0)),1),"")</f>
        <v/>
      </c>
      <c r="K78" s="14" t="str">
        <f>IFERROR((INDEX(tblBatidas[Data e hora],MATCH("B"&amp;MID($A78,2,99),tblBatidas[Início vinculado],0))-INDEX(tblBatidas[Data e hora],MATCH("B"&amp;MID($A78,2,99),tblBatidas[Batida ID],0)))*24,"")</f>
        <v/>
      </c>
      <c r="L78" t="str">
        <f>IFERROR(INDEX(tblBatidas[Observação],MATCH("B"&amp;MID($A78,2,99),tblBatidas[Início vinculado],0)),"")</f>
        <v/>
      </c>
      <c r="M78" t="str">
        <f>IFERROR(INDEX(tblPessoas[Base],MATCH(E78,tblPessoas[ID],0)),"")</f>
        <v/>
      </c>
      <c r="N78" s="3">
        <f>IFERROR(IF(D78="DIA ÚTIL",INDEX(tblPessoas[R$/h útil],MATCH(E78,tblPessoas[ID],0)),INDEX(tblPessoas[R$/h FDS],MATCH(E78,tblPessoas[ID],0))),0)</f>
        <v>0</v>
      </c>
      <c r="O78" s="3">
        <f>IFERROR(INDEX(tblPessoas[R$/diária],MATCH(E78,tblPessoas[ID],0)),0)</f>
        <v>0</v>
      </c>
      <c r="P78" s="3" t="str">
        <f t="shared" si="6"/>
        <v/>
      </c>
      <c r="Q78" t="str">
        <f>IF(A78="","",IF(COUNTIF(tblBatidas[Início vinculado],"B"&amp;MID($A78,2,99))=0,"EM ABERTO",IF(OR(COUNTIF(tblBatidas[Início vinculado],"B"&amp;MID($A78,2,99))&gt;1,K78&lt;0,K78&gt;16,INT(INDEX(tblBatidas[Data e hora],MATCH("B"&amp;MID($A78,2,99),tblBatidas[Início vinculado],0)))&lt;&gt;B78,INDEX(tblBatidas[ID],MATCH("B"&amp;MID($A78,2,99),tblBatidas[Início vinculado],0))&lt;&gt;E78,INDEX(tblBatidas[Projeto],MATCH("B"&amp;MID($A78,2,99),tblBatidas[Início vinculado],0))&lt;&gt;G78,INDEX(tblBatidas[Atividade],MATCH("B"&amp;MID($A78,2,99),tblBatidas[Início vinculado],0))&lt;&gt;H78),"REVISAR","CONCLUÍDO")))</f>
        <v/>
      </c>
      <c r="R78">
        <f>IF(Q78&lt;&gt;"CONCLUÍDO",0,IF(COUNTIFS($E$5:E78,E78,$B$5:B78,B78,$Q$5:Q78,"CONCLUÍDO")=1,1,0))</f>
        <v>0</v>
      </c>
      <c r="S78" t="str">
        <f t="shared" si="7"/>
        <v/>
      </c>
      <c r="T78" t="str">
        <f>IF(E78="","",E78*100000+COUNTIFS(tblRegistros[ID],E78,tblRegistros[Data],"&lt;"&amp;B78)+COUNTIFS(tblRegistros[ID],E78,tblRegistros[Data],B78,tblRegistros[Início],"&lt;"&amp;I78)+COUNTIFS($E$5:E78,E78,$B$5:B78,B78,$I$5:I78,I78))</f>
        <v/>
      </c>
    </row>
    <row r="79" spans="2:20">
      <c r="B79" s="2" t="str">
        <f>IFERROR(INT(INDEX(tblBatidas[Data e hora],MATCH("B"&amp;MID($A79,2,99),tblBatidas[Batida ID],0))),"")</f>
        <v/>
      </c>
      <c r="C79" t="str">
        <f t="shared" si="4"/>
        <v/>
      </c>
      <c r="D79" t="str">
        <f t="shared" si="5"/>
        <v/>
      </c>
      <c r="E79" t="str">
        <f>IFERROR(INDEX(tblBatidas[ID],MATCH("B"&amp;MID($A79,2,99),tblBatidas[Batida ID],0)),"")</f>
        <v/>
      </c>
      <c r="F79" t="str">
        <f>IFERROR(INDEX(tblPessoas[Pessoa],MATCH(E79,tblPessoas[ID],0)),"")</f>
        <v/>
      </c>
      <c r="G79" t="str">
        <f>IFERROR(INDEX(tblBatidas[Projeto],MATCH("B"&amp;MID($A79,2,99),tblBatidas[Batida ID],0)),"")</f>
        <v/>
      </c>
      <c r="H79" t="str">
        <f>IFERROR(INDEX(tblBatidas[Atividade],MATCH("B"&amp;MID($A79,2,99),tblBatidas[Batida ID],0)),"")</f>
        <v/>
      </c>
      <c r="I79" s="4" t="str">
        <f>IFERROR(MOD(INDEX(tblBatidas[Data e hora],MATCH("B"&amp;MID($A79,2,99),tblBatidas[Batida ID],0)),1),"")</f>
        <v/>
      </c>
      <c r="J79" s="4" t="str">
        <f>IFERROR(MOD(INDEX(tblBatidas[Data e hora],MATCH("B"&amp;MID($A79,2,99),tblBatidas[Início vinculado],0)),1),"")</f>
        <v/>
      </c>
      <c r="K79" s="14" t="str">
        <f>IFERROR((INDEX(tblBatidas[Data e hora],MATCH("B"&amp;MID($A79,2,99),tblBatidas[Início vinculado],0))-INDEX(tblBatidas[Data e hora],MATCH("B"&amp;MID($A79,2,99),tblBatidas[Batida ID],0)))*24,"")</f>
        <v/>
      </c>
      <c r="L79" t="str">
        <f>IFERROR(INDEX(tblBatidas[Observação],MATCH("B"&amp;MID($A79,2,99),tblBatidas[Início vinculado],0)),"")</f>
        <v/>
      </c>
      <c r="M79" t="str">
        <f>IFERROR(INDEX(tblPessoas[Base],MATCH(E79,tblPessoas[ID],0)),"")</f>
        <v/>
      </c>
      <c r="N79" s="3">
        <f>IFERROR(IF(D79="DIA ÚTIL",INDEX(tblPessoas[R$/h útil],MATCH(E79,tblPessoas[ID],0)),INDEX(tblPessoas[R$/h FDS],MATCH(E79,tblPessoas[ID],0))),0)</f>
        <v>0</v>
      </c>
      <c r="O79" s="3">
        <f>IFERROR(INDEX(tblPessoas[R$/diária],MATCH(E79,tblPessoas[ID],0)),0)</f>
        <v>0</v>
      </c>
      <c r="P79" s="3" t="str">
        <f t="shared" si="6"/>
        <v/>
      </c>
      <c r="Q79" t="str">
        <f>IF(A79="","",IF(COUNTIF(tblBatidas[Início vinculado],"B"&amp;MID($A79,2,99))=0,"EM ABERTO",IF(OR(COUNTIF(tblBatidas[Início vinculado],"B"&amp;MID($A79,2,99))&gt;1,K79&lt;0,K79&gt;16,INT(INDEX(tblBatidas[Data e hora],MATCH("B"&amp;MID($A79,2,99),tblBatidas[Início vinculado],0)))&lt;&gt;B79,INDEX(tblBatidas[ID],MATCH("B"&amp;MID($A79,2,99),tblBatidas[Início vinculado],0))&lt;&gt;E79,INDEX(tblBatidas[Projeto],MATCH("B"&amp;MID($A79,2,99),tblBatidas[Início vinculado],0))&lt;&gt;G79,INDEX(tblBatidas[Atividade],MATCH("B"&amp;MID($A79,2,99),tblBatidas[Início vinculado],0))&lt;&gt;H79),"REVISAR","CONCLUÍDO")))</f>
        <v/>
      </c>
      <c r="R79">
        <f>IF(Q79&lt;&gt;"CONCLUÍDO",0,IF(COUNTIFS($E$5:E79,E79,$B$5:B79,B79,$Q$5:Q79,"CONCLUÍDO")=1,1,0))</f>
        <v>0</v>
      </c>
      <c r="S79" t="str">
        <f t="shared" si="7"/>
        <v/>
      </c>
      <c r="T79" t="str">
        <f>IF(E79="","",E79*100000+COUNTIFS(tblRegistros[ID],E79,tblRegistros[Data],"&lt;"&amp;B79)+COUNTIFS(tblRegistros[ID],E79,tblRegistros[Data],B79,tblRegistros[Início],"&lt;"&amp;I79)+COUNTIFS($E$5:E79,E79,$B$5:B79,B79,$I$5:I79,I79))</f>
        <v/>
      </c>
    </row>
    <row r="80" spans="2:20">
      <c r="B80" s="2" t="str">
        <f>IFERROR(INT(INDEX(tblBatidas[Data e hora],MATCH("B"&amp;MID($A80,2,99),tblBatidas[Batida ID],0))),"")</f>
        <v/>
      </c>
      <c r="C80" t="str">
        <f t="shared" si="4"/>
        <v/>
      </c>
      <c r="D80" t="str">
        <f t="shared" si="5"/>
        <v/>
      </c>
      <c r="E80" t="str">
        <f>IFERROR(INDEX(tblBatidas[ID],MATCH("B"&amp;MID($A80,2,99),tblBatidas[Batida ID],0)),"")</f>
        <v/>
      </c>
      <c r="F80" t="str">
        <f>IFERROR(INDEX(tblPessoas[Pessoa],MATCH(E80,tblPessoas[ID],0)),"")</f>
        <v/>
      </c>
      <c r="G80" t="str">
        <f>IFERROR(INDEX(tblBatidas[Projeto],MATCH("B"&amp;MID($A80,2,99),tblBatidas[Batida ID],0)),"")</f>
        <v/>
      </c>
      <c r="H80" t="str">
        <f>IFERROR(INDEX(tblBatidas[Atividade],MATCH("B"&amp;MID($A80,2,99),tblBatidas[Batida ID],0)),"")</f>
        <v/>
      </c>
      <c r="I80" s="4" t="str">
        <f>IFERROR(MOD(INDEX(tblBatidas[Data e hora],MATCH("B"&amp;MID($A80,2,99),tblBatidas[Batida ID],0)),1),"")</f>
        <v/>
      </c>
      <c r="J80" s="4" t="str">
        <f>IFERROR(MOD(INDEX(tblBatidas[Data e hora],MATCH("B"&amp;MID($A80,2,99),tblBatidas[Início vinculado],0)),1),"")</f>
        <v/>
      </c>
      <c r="K80" s="14" t="str">
        <f>IFERROR((INDEX(tblBatidas[Data e hora],MATCH("B"&amp;MID($A80,2,99),tblBatidas[Início vinculado],0))-INDEX(tblBatidas[Data e hora],MATCH("B"&amp;MID($A80,2,99),tblBatidas[Batida ID],0)))*24,"")</f>
        <v/>
      </c>
      <c r="L80" t="str">
        <f>IFERROR(INDEX(tblBatidas[Observação],MATCH("B"&amp;MID($A80,2,99),tblBatidas[Início vinculado],0)),"")</f>
        <v/>
      </c>
      <c r="M80" t="str">
        <f>IFERROR(INDEX(tblPessoas[Base],MATCH(E80,tblPessoas[ID],0)),"")</f>
        <v/>
      </c>
      <c r="N80" s="3">
        <f>IFERROR(IF(D80="DIA ÚTIL",INDEX(tblPessoas[R$/h útil],MATCH(E80,tblPessoas[ID],0)),INDEX(tblPessoas[R$/h FDS],MATCH(E80,tblPessoas[ID],0))),0)</f>
        <v>0</v>
      </c>
      <c r="O80" s="3">
        <f>IFERROR(INDEX(tblPessoas[R$/diária],MATCH(E80,tblPessoas[ID],0)),0)</f>
        <v>0</v>
      </c>
      <c r="P80" s="3" t="str">
        <f t="shared" si="6"/>
        <v/>
      </c>
      <c r="Q80" t="str">
        <f>IF(A80="","",IF(COUNTIF(tblBatidas[Início vinculado],"B"&amp;MID($A80,2,99))=0,"EM ABERTO",IF(OR(COUNTIF(tblBatidas[Início vinculado],"B"&amp;MID($A80,2,99))&gt;1,K80&lt;0,K80&gt;16,INT(INDEX(tblBatidas[Data e hora],MATCH("B"&amp;MID($A80,2,99),tblBatidas[Início vinculado],0)))&lt;&gt;B80,INDEX(tblBatidas[ID],MATCH("B"&amp;MID($A80,2,99),tblBatidas[Início vinculado],0))&lt;&gt;E80,INDEX(tblBatidas[Projeto],MATCH("B"&amp;MID($A80,2,99),tblBatidas[Início vinculado],0))&lt;&gt;G80,INDEX(tblBatidas[Atividade],MATCH("B"&amp;MID($A80,2,99),tblBatidas[Início vinculado],0))&lt;&gt;H80),"REVISAR","CONCLUÍDO")))</f>
        <v/>
      </c>
      <c r="R80">
        <f>IF(Q80&lt;&gt;"CONCLUÍDO",0,IF(COUNTIFS($E$5:E80,E80,$B$5:B80,B80,$Q$5:Q80,"CONCLUÍDO")=1,1,0))</f>
        <v>0</v>
      </c>
      <c r="S80" t="str">
        <f t="shared" si="7"/>
        <v/>
      </c>
      <c r="T80" t="str">
        <f>IF(E80="","",E80*100000+COUNTIFS(tblRegistros[ID],E80,tblRegistros[Data],"&lt;"&amp;B80)+COUNTIFS(tblRegistros[ID],E80,tblRegistros[Data],B80,tblRegistros[Início],"&lt;"&amp;I80)+COUNTIFS($E$5:E80,E80,$B$5:B80,B80,$I$5:I80,I80))</f>
        <v/>
      </c>
    </row>
    <row r="81" spans="2:20">
      <c r="B81" s="2" t="str">
        <f>IFERROR(INT(INDEX(tblBatidas[Data e hora],MATCH("B"&amp;MID($A81,2,99),tblBatidas[Batida ID],0))),"")</f>
        <v/>
      </c>
      <c r="C81" t="str">
        <f t="shared" si="4"/>
        <v/>
      </c>
      <c r="D81" t="str">
        <f t="shared" si="5"/>
        <v/>
      </c>
      <c r="E81" t="str">
        <f>IFERROR(INDEX(tblBatidas[ID],MATCH("B"&amp;MID($A81,2,99),tblBatidas[Batida ID],0)),"")</f>
        <v/>
      </c>
      <c r="F81" t="str">
        <f>IFERROR(INDEX(tblPessoas[Pessoa],MATCH(E81,tblPessoas[ID],0)),"")</f>
        <v/>
      </c>
      <c r="G81" t="str">
        <f>IFERROR(INDEX(tblBatidas[Projeto],MATCH("B"&amp;MID($A81,2,99),tblBatidas[Batida ID],0)),"")</f>
        <v/>
      </c>
      <c r="H81" t="str">
        <f>IFERROR(INDEX(tblBatidas[Atividade],MATCH("B"&amp;MID($A81,2,99),tblBatidas[Batida ID],0)),"")</f>
        <v/>
      </c>
      <c r="I81" s="4" t="str">
        <f>IFERROR(MOD(INDEX(tblBatidas[Data e hora],MATCH("B"&amp;MID($A81,2,99),tblBatidas[Batida ID],0)),1),"")</f>
        <v/>
      </c>
      <c r="J81" s="4" t="str">
        <f>IFERROR(MOD(INDEX(tblBatidas[Data e hora],MATCH("B"&amp;MID($A81,2,99),tblBatidas[Início vinculado],0)),1),"")</f>
        <v/>
      </c>
      <c r="K81" s="14" t="str">
        <f>IFERROR((INDEX(tblBatidas[Data e hora],MATCH("B"&amp;MID($A81,2,99),tblBatidas[Início vinculado],0))-INDEX(tblBatidas[Data e hora],MATCH("B"&amp;MID($A81,2,99),tblBatidas[Batida ID],0)))*24,"")</f>
        <v/>
      </c>
      <c r="L81" t="str">
        <f>IFERROR(INDEX(tblBatidas[Observação],MATCH("B"&amp;MID($A81,2,99),tblBatidas[Início vinculado],0)),"")</f>
        <v/>
      </c>
      <c r="M81" t="str">
        <f>IFERROR(INDEX(tblPessoas[Base],MATCH(E81,tblPessoas[ID],0)),"")</f>
        <v/>
      </c>
      <c r="N81" s="3">
        <f>IFERROR(IF(D81="DIA ÚTIL",INDEX(tblPessoas[R$/h útil],MATCH(E81,tblPessoas[ID],0)),INDEX(tblPessoas[R$/h FDS],MATCH(E81,tblPessoas[ID],0))),0)</f>
        <v>0</v>
      </c>
      <c r="O81" s="3">
        <f>IFERROR(INDEX(tblPessoas[R$/diária],MATCH(E81,tblPessoas[ID],0)),0)</f>
        <v>0</v>
      </c>
      <c r="P81" s="3" t="str">
        <f t="shared" si="6"/>
        <v/>
      </c>
      <c r="Q81" t="str">
        <f>IF(A81="","",IF(COUNTIF(tblBatidas[Início vinculado],"B"&amp;MID($A81,2,99))=0,"EM ABERTO",IF(OR(COUNTIF(tblBatidas[Início vinculado],"B"&amp;MID($A81,2,99))&gt;1,K81&lt;0,K81&gt;16,INT(INDEX(tblBatidas[Data e hora],MATCH("B"&amp;MID($A81,2,99),tblBatidas[Início vinculado],0)))&lt;&gt;B81,INDEX(tblBatidas[ID],MATCH("B"&amp;MID($A81,2,99),tblBatidas[Início vinculado],0))&lt;&gt;E81,INDEX(tblBatidas[Projeto],MATCH("B"&amp;MID($A81,2,99),tblBatidas[Início vinculado],0))&lt;&gt;G81,INDEX(tblBatidas[Atividade],MATCH("B"&amp;MID($A81,2,99),tblBatidas[Início vinculado],0))&lt;&gt;H81),"REVISAR","CONCLUÍDO")))</f>
        <v/>
      </c>
      <c r="R81">
        <f>IF(Q81&lt;&gt;"CONCLUÍDO",0,IF(COUNTIFS($E$5:E81,E81,$B$5:B81,B81,$Q$5:Q81,"CONCLUÍDO")=1,1,0))</f>
        <v>0</v>
      </c>
      <c r="S81" t="str">
        <f t="shared" si="7"/>
        <v/>
      </c>
      <c r="T81" t="str">
        <f>IF(E81="","",E81*100000+COUNTIFS(tblRegistros[ID],E81,tblRegistros[Data],"&lt;"&amp;B81)+COUNTIFS(tblRegistros[ID],E81,tblRegistros[Data],B81,tblRegistros[Início],"&lt;"&amp;I81)+COUNTIFS($E$5:E81,E81,$B$5:B81,B81,$I$5:I81,I81))</f>
        <v/>
      </c>
    </row>
    <row r="82" spans="2:20">
      <c r="B82" s="2" t="str">
        <f>IFERROR(INT(INDEX(tblBatidas[Data e hora],MATCH("B"&amp;MID($A82,2,99),tblBatidas[Batida ID],0))),"")</f>
        <v/>
      </c>
      <c r="C82" t="str">
        <f t="shared" si="4"/>
        <v/>
      </c>
      <c r="D82" t="str">
        <f t="shared" si="5"/>
        <v/>
      </c>
      <c r="E82" t="str">
        <f>IFERROR(INDEX(tblBatidas[ID],MATCH("B"&amp;MID($A82,2,99),tblBatidas[Batida ID],0)),"")</f>
        <v/>
      </c>
      <c r="F82" t="str">
        <f>IFERROR(INDEX(tblPessoas[Pessoa],MATCH(E82,tblPessoas[ID],0)),"")</f>
        <v/>
      </c>
      <c r="G82" t="str">
        <f>IFERROR(INDEX(tblBatidas[Projeto],MATCH("B"&amp;MID($A82,2,99),tblBatidas[Batida ID],0)),"")</f>
        <v/>
      </c>
      <c r="H82" t="str">
        <f>IFERROR(INDEX(tblBatidas[Atividade],MATCH("B"&amp;MID($A82,2,99),tblBatidas[Batida ID],0)),"")</f>
        <v/>
      </c>
      <c r="I82" s="4" t="str">
        <f>IFERROR(MOD(INDEX(tblBatidas[Data e hora],MATCH("B"&amp;MID($A82,2,99),tblBatidas[Batida ID],0)),1),"")</f>
        <v/>
      </c>
      <c r="J82" s="4" t="str">
        <f>IFERROR(MOD(INDEX(tblBatidas[Data e hora],MATCH("B"&amp;MID($A82,2,99),tblBatidas[Início vinculado],0)),1),"")</f>
        <v/>
      </c>
      <c r="K82" s="14" t="str">
        <f>IFERROR((INDEX(tblBatidas[Data e hora],MATCH("B"&amp;MID($A82,2,99),tblBatidas[Início vinculado],0))-INDEX(tblBatidas[Data e hora],MATCH("B"&amp;MID($A82,2,99),tblBatidas[Batida ID],0)))*24,"")</f>
        <v/>
      </c>
      <c r="L82" t="str">
        <f>IFERROR(INDEX(tblBatidas[Observação],MATCH("B"&amp;MID($A82,2,99),tblBatidas[Início vinculado],0)),"")</f>
        <v/>
      </c>
      <c r="M82" t="str">
        <f>IFERROR(INDEX(tblPessoas[Base],MATCH(E82,tblPessoas[ID],0)),"")</f>
        <v/>
      </c>
      <c r="N82" s="3">
        <f>IFERROR(IF(D82="DIA ÚTIL",INDEX(tblPessoas[R$/h útil],MATCH(E82,tblPessoas[ID],0)),INDEX(tblPessoas[R$/h FDS],MATCH(E82,tblPessoas[ID],0))),0)</f>
        <v>0</v>
      </c>
      <c r="O82" s="3">
        <f>IFERROR(INDEX(tblPessoas[R$/diária],MATCH(E82,tblPessoas[ID],0)),0)</f>
        <v>0</v>
      </c>
      <c r="P82" s="3" t="str">
        <f t="shared" si="6"/>
        <v/>
      </c>
      <c r="Q82" t="str">
        <f>IF(A82="","",IF(COUNTIF(tblBatidas[Início vinculado],"B"&amp;MID($A82,2,99))=0,"EM ABERTO",IF(OR(COUNTIF(tblBatidas[Início vinculado],"B"&amp;MID($A82,2,99))&gt;1,K82&lt;0,K82&gt;16,INT(INDEX(tblBatidas[Data e hora],MATCH("B"&amp;MID($A82,2,99),tblBatidas[Início vinculado],0)))&lt;&gt;B82,INDEX(tblBatidas[ID],MATCH("B"&amp;MID($A82,2,99),tblBatidas[Início vinculado],0))&lt;&gt;E82,INDEX(tblBatidas[Projeto],MATCH("B"&amp;MID($A82,2,99),tblBatidas[Início vinculado],0))&lt;&gt;G82,INDEX(tblBatidas[Atividade],MATCH("B"&amp;MID($A82,2,99),tblBatidas[Início vinculado],0))&lt;&gt;H82),"REVISAR","CONCLUÍDO")))</f>
        <v/>
      </c>
      <c r="R82">
        <f>IF(Q82&lt;&gt;"CONCLUÍDO",0,IF(COUNTIFS($E$5:E82,E82,$B$5:B82,B82,$Q$5:Q82,"CONCLUÍDO")=1,1,0))</f>
        <v>0</v>
      </c>
      <c r="S82" t="str">
        <f t="shared" si="7"/>
        <v/>
      </c>
      <c r="T82" t="str">
        <f>IF(E82="","",E82*100000+COUNTIFS(tblRegistros[ID],E82,tblRegistros[Data],"&lt;"&amp;B82)+COUNTIFS(tblRegistros[ID],E82,tblRegistros[Data],B82,tblRegistros[Início],"&lt;"&amp;I82)+COUNTIFS($E$5:E82,E82,$B$5:B82,B82,$I$5:I82,I82))</f>
        <v/>
      </c>
    </row>
    <row r="83" spans="2:20">
      <c r="B83" s="2" t="str">
        <f>IFERROR(INT(INDEX(tblBatidas[Data e hora],MATCH("B"&amp;MID($A83,2,99),tblBatidas[Batida ID],0))),"")</f>
        <v/>
      </c>
      <c r="C83" t="str">
        <f t="shared" si="4"/>
        <v/>
      </c>
      <c r="D83" t="str">
        <f t="shared" si="5"/>
        <v/>
      </c>
      <c r="E83" t="str">
        <f>IFERROR(INDEX(tblBatidas[ID],MATCH("B"&amp;MID($A83,2,99),tblBatidas[Batida ID],0)),"")</f>
        <v/>
      </c>
      <c r="F83" t="str">
        <f>IFERROR(INDEX(tblPessoas[Pessoa],MATCH(E83,tblPessoas[ID],0)),"")</f>
        <v/>
      </c>
      <c r="G83" t="str">
        <f>IFERROR(INDEX(tblBatidas[Projeto],MATCH("B"&amp;MID($A83,2,99),tblBatidas[Batida ID],0)),"")</f>
        <v/>
      </c>
      <c r="H83" t="str">
        <f>IFERROR(INDEX(tblBatidas[Atividade],MATCH("B"&amp;MID($A83,2,99),tblBatidas[Batida ID],0)),"")</f>
        <v/>
      </c>
      <c r="I83" s="4" t="str">
        <f>IFERROR(MOD(INDEX(tblBatidas[Data e hora],MATCH("B"&amp;MID($A83,2,99),tblBatidas[Batida ID],0)),1),"")</f>
        <v/>
      </c>
      <c r="J83" s="4" t="str">
        <f>IFERROR(MOD(INDEX(tblBatidas[Data e hora],MATCH("B"&amp;MID($A83,2,99),tblBatidas[Início vinculado],0)),1),"")</f>
        <v/>
      </c>
      <c r="K83" s="14" t="str">
        <f>IFERROR((INDEX(tblBatidas[Data e hora],MATCH("B"&amp;MID($A83,2,99),tblBatidas[Início vinculado],0))-INDEX(tblBatidas[Data e hora],MATCH("B"&amp;MID($A83,2,99),tblBatidas[Batida ID],0)))*24,"")</f>
        <v/>
      </c>
      <c r="L83" t="str">
        <f>IFERROR(INDEX(tblBatidas[Observação],MATCH("B"&amp;MID($A83,2,99),tblBatidas[Início vinculado],0)),"")</f>
        <v/>
      </c>
      <c r="M83" t="str">
        <f>IFERROR(INDEX(tblPessoas[Base],MATCH(E83,tblPessoas[ID],0)),"")</f>
        <v/>
      </c>
      <c r="N83" s="3">
        <f>IFERROR(IF(D83="DIA ÚTIL",INDEX(tblPessoas[R$/h útil],MATCH(E83,tblPessoas[ID],0)),INDEX(tblPessoas[R$/h FDS],MATCH(E83,tblPessoas[ID],0))),0)</f>
        <v>0</v>
      </c>
      <c r="O83" s="3">
        <f>IFERROR(INDEX(tblPessoas[R$/diária],MATCH(E83,tblPessoas[ID],0)),0)</f>
        <v>0</v>
      </c>
      <c r="P83" s="3" t="str">
        <f t="shared" si="6"/>
        <v/>
      </c>
      <c r="Q83" t="str">
        <f>IF(A83="","",IF(COUNTIF(tblBatidas[Início vinculado],"B"&amp;MID($A83,2,99))=0,"EM ABERTO",IF(OR(COUNTIF(tblBatidas[Início vinculado],"B"&amp;MID($A83,2,99))&gt;1,K83&lt;0,K83&gt;16,INT(INDEX(tblBatidas[Data e hora],MATCH("B"&amp;MID($A83,2,99),tblBatidas[Início vinculado],0)))&lt;&gt;B83,INDEX(tblBatidas[ID],MATCH("B"&amp;MID($A83,2,99),tblBatidas[Início vinculado],0))&lt;&gt;E83,INDEX(tblBatidas[Projeto],MATCH("B"&amp;MID($A83,2,99),tblBatidas[Início vinculado],0))&lt;&gt;G83,INDEX(tblBatidas[Atividade],MATCH("B"&amp;MID($A83,2,99),tblBatidas[Início vinculado],0))&lt;&gt;H83),"REVISAR","CONCLUÍDO")))</f>
        <v/>
      </c>
      <c r="R83">
        <f>IF(Q83&lt;&gt;"CONCLUÍDO",0,IF(COUNTIFS($E$5:E83,E83,$B$5:B83,B83,$Q$5:Q83,"CONCLUÍDO")=1,1,0))</f>
        <v>0</v>
      </c>
      <c r="S83" t="str">
        <f t="shared" si="7"/>
        <v/>
      </c>
      <c r="T83" t="str">
        <f>IF(E83="","",E83*100000+COUNTIFS(tblRegistros[ID],E83,tblRegistros[Data],"&lt;"&amp;B83)+COUNTIFS(tblRegistros[ID],E83,tblRegistros[Data],B83,tblRegistros[Início],"&lt;"&amp;I83)+COUNTIFS($E$5:E83,E83,$B$5:B83,B83,$I$5:I83,I83))</f>
        <v/>
      </c>
    </row>
    <row r="84" spans="2:20">
      <c r="B84" s="2" t="str">
        <f>IFERROR(INT(INDEX(tblBatidas[Data e hora],MATCH("B"&amp;MID($A84,2,99),tblBatidas[Batida ID],0))),"")</f>
        <v/>
      </c>
      <c r="C84" t="str">
        <f t="shared" si="4"/>
        <v/>
      </c>
      <c r="D84" t="str">
        <f t="shared" si="5"/>
        <v/>
      </c>
      <c r="E84" t="str">
        <f>IFERROR(INDEX(tblBatidas[ID],MATCH("B"&amp;MID($A84,2,99),tblBatidas[Batida ID],0)),"")</f>
        <v/>
      </c>
      <c r="F84" t="str">
        <f>IFERROR(INDEX(tblPessoas[Pessoa],MATCH(E84,tblPessoas[ID],0)),"")</f>
        <v/>
      </c>
      <c r="G84" t="str">
        <f>IFERROR(INDEX(tblBatidas[Projeto],MATCH("B"&amp;MID($A84,2,99),tblBatidas[Batida ID],0)),"")</f>
        <v/>
      </c>
      <c r="H84" t="str">
        <f>IFERROR(INDEX(tblBatidas[Atividade],MATCH("B"&amp;MID($A84,2,99),tblBatidas[Batida ID],0)),"")</f>
        <v/>
      </c>
      <c r="I84" s="4" t="str">
        <f>IFERROR(MOD(INDEX(tblBatidas[Data e hora],MATCH("B"&amp;MID($A84,2,99),tblBatidas[Batida ID],0)),1),"")</f>
        <v/>
      </c>
      <c r="J84" s="4" t="str">
        <f>IFERROR(MOD(INDEX(tblBatidas[Data e hora],MATCH("B"&amp;MID($A84,2,99),tblBatidas[Início vinculado],0)),1),"")</f>
        <v/>
      </c>
      <c r="K84" s="14" t="str">
        <f>IFERROR((INDEX(tblBatidas[Data e hora],MATCH("B"&amp;MID($A84,2,99),tblBatidas[Início vinculado],0))-INDEX(tblBatidas[Data e hora],MATCH("B"&amp;MID($A84,2,99),tblBatidas[Batida ID],0)))*24,"")</f>
        <v/>
      </c>
      <c r="L84" t="str">
        <f>IFERROR(INDEX(tblBatidas[Observação],MATCH("B"&amp;MID($A84,2,99),tblBatidas[Início vinculado],0)),"")</f>
        <v/>
      </c>
      <c r="M84" t="str">
        <f>IFERROR(INDEX(tblPessoas[Base],MATCH(E84,tblPessoas[ID],0)),"")</f>
        <v/>
      </c>
      <c r="N84" s="3">
        <f>IFERROR(IF(D84="DIA ÚTIL",INDEX(tblPessoas[R$/h útil],MATCH(E84,tblPessoas[ID],0)),INDEX(tblPessoas[R$/h FDS],MATCH(E84,tblPessoas[ID],0))),0)</f>
        <v>0</v>
      </c>
      <c r="O84" s="3">
        <f>IFERROR(INDEX(tblPessoas[R$/diária],MATCH(E84,tblPessoas[ID],0)),0)</f>
        <v>0</v>
      </c>
      <c r="P84" s="3" t="str">
        <f t="shared" si="6"/>
        <v/>
      </c>
      <c r="Q84" t="str">
        <f>IF(A84="","",IF(COUNTIF(tblBatidas[Início vinculado],"B"&amp;MID($A84,2,99))=0,"EM ABERTO",IF(OR(COUNTIF(tblBatidas[Início vinculado],"B"&amp;MID($A84,2,99))&gt;1,K84&lt;0,K84&gt;16,INT(INDEX(tblBatidas[Data e hora],MATCH("B"&amp;MID($A84,2,99),tblBatidas[Início vinculado],0)))&lt;&gt;B84,INDEX(tblBatidas[ID],MATCH("B"&amp;MID($A84,2,99),tblBatidas[Início vinculado],0))&lt;&gt;E84,INDEX(tblBatidas[Projeto],MATCH("B"&amp;MID($A84,2,99),tblBatidas[Início vinculado],0))&lt;&gt;G84,INDEX(tblBatidas[Atividade],MATCH("B"&amp;MID($A84,2,99),tblBatidas[Início vinculado],0))&lt;&gt;H84),"REVISAR","CONCLUÍDO")))</f>
        <v/>
      </c>
      <c r="R84">
        <f>IF(Q84&lt;&gt;"CONCLUÍDO",0,IF(COUNTIFS($E$5:E84,E84,$B$5:B84,B84,$Q$5:Q84,"CONCLUÍDO")=1,1,0))</f>
        <v>0</v>
      </c>
      <c r="S84" t="str">
        <f t="shared" si="7"/>
        <v/>
      </c>
      <c r="T84" t="str">
        <f>IF(E84="","",E84*100000+COUNTIFS(tblRegistros[ID],E84,tblRegistros[Data],"&lt;"&amp;B84)+COUNTIFS(tblRegistros[ID],E84,tblRegistros[Data],B84,tblRegistros[Início],"&lt;"&amp;I84)+COUNTIFS($E$5:E84,E84,$B$5:B84,B84,$I$5:I84,I84))</f>
        <v/>
      </c>
    </row>
    <row r="85" spans="2:20">
      <c r="B85" s="2" t="str">
        <f>IFERROR(INT(INDEX(tblBatidas[Data e hora],MATCH("B"&amp;MID($A85,2,99),tblBatidas[Batida ID],0))),"")</f>
        <v/>
      </c>
      <c r="C85" t="str">
        <f t="shared" si="4"/>
        <v/>
      </c>
      <c r="D85" t="str">
        <f t="shared" si="5"/>
        <v/>
      </c>
      <c r="E85" t="str">
        <f>IFERROR(INDEX(tblBatidas[ID],MATCH("B"&amp;MID($A85,2,99),tblBatidas[Batida ID],0)),"")</f>
        <v/>
      </c>
      <c r="F85" t="str">
        <f>IFERROR(INDEX(tblPessoas[Pessoa],MATCH(E85,tblPessoas[ID],0)),"")</f>
        <v/>
      </c>
      <c r="G85" t="str">
        <f>IFERROR(INDEX(tblBatidas[Projeto],MATCH("B"&amp;MID($A85,2,99),tblBatidas[Batida ID],0)),"")</f>
        <v/>
      </c>
      <c r="H85" t="str">
        <f>IFERROR(INDEX(tblBatidas[Atividade],MATCH("B"&amp;MID($A85,2,99),tblBatidas[Batida ID],0)),"")</f>
        <v/>
      </c>
      <c r="I85" s="4" t="str">
        <f>IFERROR(MOD(INDEX(tblBatidas[Data e hora],MATCH("B"&amp;MID($A85,2,99),tblBatidas[Batida ID],0)),1),"")</f>
        <v/>
      </c>
      <c r="J85" s="4" t="str">
        <f>IFERROR(MOD(INDEX(tblBatidas[Data e hora],MATCH("B"&amp;MID($A85,2,99),tblBatidas[Início vinculado],0)),1),"")</f>
        <v/>
      </c>
      <c r="K85" s="14" t="str">
        <f>IFERROR((INDEX(tblBatidas[Data e hora],MATCH("B"&amp;MID($A85,2,99),tblBatidas[Início vinculado],0))-INDEX(tblBatidas[Data e hora],MATCH("B"&amp;MID($A85,2,99),tblBatidas[Batida ID],0)))*24,"")</f>
        <v/>
      </c>
      <c r="L85" t="str">
        <f>IFERROR(INDEX(tblBatidas[Observação],MATCH("B"&amp;MID($A85,2,99),tblBatidas[Início vinculado],0)),"")</f>
        <v/>
      </c>
      <c r="M85" t="str">
        <f>IFERROR(INDEX(tblPessoas[Base],MATCH(E85,tblPessoas[ID],0)),"")</f>
        <v/>
      </c>
      <c r="N85" s="3">
        <f>IFERROR(IF(D85="DIA ÚTIL",INDEX(tblPessoas[R$/h útil],MATCH(E85,tblPessoas[ID],0)),INDEX(tblPessoas[R$/h FDS],MATCH(E85,tblPessoas[ID],0))),0)</f>
        <v>0</v>
      </c>
      <c r="O85" s="3">
        <f>IFERROR(INDEX(tblPessoas[R$/diária],MATCH(E85,tblPessoas[ID],0)),0)</f>
        <v>0</v>
      </c>
      <c r="P85" s="3" t="str">
        <f t="shared" si="6"/>
        <v/>
      </c>
      <c r="Q85" t="str">
        <f>IF(A85="","",IF(COUNTIF(tblBatidas[Início vinculado],"B"&amp;MID($A85,2,99))=0,"EM ABERTO",IF(OR(COUNTIF(tblBatidas[Início vinculado],"B"&amp;MID($A85,2,99))&gt;1,K85&lt;0,K85&gt;16,INT(INDEX(tblBatidas[Data e hora],MATCH("B"&amp;MID($A85,2,99),tblBatidas[Início vinculado],0)))&lt;&gt;B85,INDEX(tblBatidas[ID],MATCH("B"&amp;MID($A85,2,99),tblBatidas[Início vinculado],0))&lt;&gt;E85,INDEX(tblBatidas[Projeto],MATCH("B"&amp;MID($A85,2,99),tblBatidas[Início vinculado],0))&lt;&gt;G85,INDEX(tblBatidas[Atividade],MATCH("B"&amp;MID($A85,2,99),tblBatidas[Início vinculado],0))&lt;&gt;H85),"REVISAR","CONCLUÍDO")))</f>
        <v/>
      </c>
      <c r="R85">
        <f>IF(Q85&lt;&gt;"CONCLUÍDO",0,IF(COUNTIFS($E$5:E85,E85,$B$5:B85,B85,$Q$5:Q85,"CONCLUÍDO")=1,1,0))</f>
        <v>0</v>
      </c>
      <c r="S85" t="str">
        <f t="shared" si="7"/>
        <v/>
      </c>
      <c r="T85" t="str">
        <f>IF(E85="","",E85*100000+COUNTIFS(tblRegistros[ID],E85,tblRegistros[Data],"&lt;"&amp;B85)+COUNTIFS(tblRegistros[ID],E85,tblRegistros[Data],B85,tblRegistros[Início],"&lt;"&amp;I85)+COUNTIFS($E$5:E85,E85,$B$5:B85,B85,$I$5:I85,I85))</f>
        <v/>
      </c>
    </row>
    <row r="86" spans="2:20">
      <c r="B86" s="2" t="str">
        <f>IFERROR(INT(INDEX(tblBatidas[Data e hora],MATCH("B"&amp;MID($A86,2,99),tblBatidas[Batida ID],0))),"")</f>
        <v/>
      </c>
      <c r="C86" t="str">
        <f t="shared" si="4"/>
        <v/>
      </c>
      <c r="D86" t="str">
        <f t="shared" si="5"/>
        <v/>
      </c>
      <c r="E86" t="str">
        <f>IFERROR(INDEX(tblBatidas[ID],MATCH("B"&amp;MID($A86,2,99),tblBatidas[Batida ID],0)),"")</f>
        <v/>
      </c>
      <c r="F86" t="str">
        <f>IFERROR(INDEX(tblPessoas[Pessoa],MATCH(E86,tblPessoas[ID],0)),"")</f>
        <v/>
      </c>
      <c r="G86" t="str">
        <f>IFERROR(INDEX(tblBatidas[Projeto],MATCH("B"&amp;MID($A86,2,99),tblBatidas[Batida ID],0)),"")</f>
        <v/>
      </c>
      <c r="H86" t="str">
        <f>IFERROR(INDEX(tblBatidas[Atividade],MATCH("B"&amp;MID($A86,2,99),tblBatidas[Batida ID],0)),"")</f>
        <v/>
      </c>
      <c r="I86" s="4" t="str">
        <f>IFERROR(MOD(INDEX(tblBatidas[Data e hora],MATCH("B"&amp;MID($A86,2,99),tblBatidas[Batida ID],0)),1),"")</f>
        <v/>
      </c>
      <c r="J86" s="4" t="str">
        <f>IFERROR(MOD(INDEX(tblBatidas[Data e hora],MATCH("B"&amp;MID($A86,2,99),tblBatidas[Início vinculado],0)),1),"")</f>
        <v/>
      </c>
      <c r="K86" s="14" t="str">
        <f>IFERROR((INDEX(tblBatidas[Data e hora],MATCH("B"&amp;MID($A86,2,99),tblBatidas[Início vinculado],0))-INDEX(tblBatidas[Data e hora],MATCH("B"&amp;MID($A86,2,99),tblBatidas[Batida ID],0)))*24,"")</f>
        <v/>
      </c>
      <c r="L86" t="str">
        <f>IFERROR(INDEX(tblBatidas[Observação],MATCH("B"&amp;MID($A86,2,99),tblBatidas[Início vinculado],0)),"")</f>
        <v/>
      </c>
      <c r="M86" t="str">
        <f>IFERROR(INDEX(tblPessoas[Base],MATCH(E86,tblPessoas[ID],0)),"")</f>
        <v/>
      </c>
      <c r="N86" s="3">
        <f>IFERROR(IF(D86="DIA ÚTIL",INDEX(tblPessoas[R$/h útil],MATCH(E86,tblPessoas[ID],0)),INDEX(tblPessoas[R$/h FDS],MATCH(E86,tblPessoas[ID],0))),0)</f>
        <v>0</v>
      </c>
      <c r="O86" s="3">
        <f>IFERROR(INDEX(tblPessoas[R$/diária],MATCH(E86,tblPessoas[ID],0)),0)</f>
        <v>0</v>
      </c>
      <c r="P86" s="3" t="str">
        <f t="shared" si="6"/>
        <v/>
      </c>
      <c r="Q86" t="str">
        <f>IF(A86="","",IF(COUNTIF(tblBatidas[Início vinculado],"B"&amp;MID($A86,2,99))=0,"EM ABERTO",IF(OR(COUNTIF(tblBatidas[Início vinculado],"B"&amp;MID($A86,2,99))&gt;1,K86&lt;0,K86&gt;16,INT(INDEX(tblBatidas[Data e hora],MATCH("B"&amp;MID($A86,2,99),tblBatidas[Início vinculado],0)))&lt;&gt;B86,INDEX(tblBatidas[ID],MATCH("B"&amp;MID($A86,2,99),tblBatidas[Início vinculado],0))&lt;&gt;E86,INDEX(tblBatidas[Projeto],MATCH("B"&amp;MID($A86,2,99),tblBatidas[Início vinculado],0))&lt;&gt;G86,INDEX(tblBatidas[Atividade],MATCH("B"&amp;MID($A86,2,99),tblBatidas[Início vinculado],0))&lt;&gt;H86),"REVISAR","CONCLUÍDO")))</f>
        <v/>
      </c>
      <c r="R86">
        <f>IF(Q86&lt;&gt;"CONCLUÍDO",0,IF(COUNTIFS($E$5:E86,E86,$B$5:B86,B86,$Q$5:Q86,"CONCLUÍDO")=1,1,0))</f>
        <v>0</v>
      </c>
      <c r="S86" t="str">
        <f t="shared" si="7"/>
        <v/>
      </c>
      <c r="T86" t="str">
        <f>IF(E86="","",E86*100000+COUNTIFS(tblRegistros[ID],E86,tblRegistros[Data],"&lt;"&amp;B86)+COUNTIFS(tblRegistros[ID],E86,tblRegistros[Data],B86,tblRegistros[Início],"&lt;"&amp;I86)+COUNTIFS($E$5:E86,E86,$B$5:B86,B86,$I$5:I86,I86))</f>
        <v/>
      </c>
    </row>
    <row r="87" spans="2:20">
      <c r="B87" s="2" t="str">
        <f>IFERROR(INT(INDEX(tblBatidas[Data e hora],MATCH("B"&amp;MID($A87,2,99),tblBatidas[Batida ID],0))),"")</f>
        <v/>
      </c>
      <c r="C87" t="str">
        <f t="shared" si="4"/>
        <v/>
      </c>
      <c r="D87" t="str">
        <f t="shared" si="5"/>
        <v/>
      </c>
      <c r="E87" t="str">
        <f>IFERROR(INDEX(tblBatidas[ID],MATCH("B"&amp;MID($A87,2,99),tblBatidas[Batida ID],0)),"")</f>
        <v/>
      </c>
      <c r="F87" t="str">
        <f>IFERROR(INDEX(tblPessoas[Pessoa],MATCH(E87,tblPessoas[ID],0)),"")</f>
        <v/>
      </c>
      <c r="G87" t="str">
        <f>IFERROR(INDEX(tblBatidas[Projeto],MATCH("B"&amp;MID($A87,2,99),tblBatidas[Batida ID],0)),"")</f>
        <v/>
      </c>
      <c r="H87" t="str">
        <f>IFERROR(INDEX(tblBatidas[Atividade],MATCH("B"&amp;MID($A87,2,99),tblBatidas[Batida ID],0)),"")</f>
        <v/>
      </c>
      <c r="I87" s="4" t="str">
        <f>IFERROR(MOD(INDEX(tblBatidas[Data e hora],MATCH("B"&amp;MID($A87,2,99),tblBatidas[Batida ID],0)),1),"")</f>
        <v/>
      </c>
      <c r="J87" s="4" t="str">
        <f>IFERROR(MOD(INDEX(tblBatidas[Data e hora],MATCH("B"&amp;MID($A87,2,99),tblBatidas[Início vinculado],0)),1),"")</f>
        <v/>
      </c>
      <c r="K87" s="14" t="str">
        <f>IFERROR((INDEX(tblBatidas[Data e hora],MATCH("B"&amp;MID($A87,2,99),tblBatidas[Início vinculado],0))-INDEX(tblBatidas[Data e hora],MATCH("B"&amp;MID($A87,2,99),tblBatidas[Batida ID],0)))*24,"")</f>
        <v/>
      </c>
      <c r="L87" t="str">
        <f>IFERROR(INDEX(tblBatidas[Observação],MATCH("B"&amp;MID($A87,2,99),tblBatidas[Início vinculado],0)),"")</f>
        <v/>
      </c>
      <c r="M87" t="str">
        <f>IFERROR(INDEX(tblPessoas[Base],MATCH(E87,tblPessoas[ID],0)),"")</f>
        <v/>
      </c>
      <c r="N87" s="3">
        <f>IFERROR(IF(D87="DIA ÚTIL",INDEX(tblPessoas[R$/h útil],MATCH(E87,tblPessoas[ID],0)),INDEX(tblPessoas[R$/h FDS],MATCH(E87,tblPessoas[ID],0))),0)</f>
        <v>0</v>
      </c>
      <c r="O87" s="3">
        <f>IFERROR(INDEX(tblPessoas[R$/diária],MATCH(E87,tblPessoas[ID],0)),0)</f>
        <v>0</v>
      </c>
      <c r="P87" s="3" t="str">
        <f t="shared" si="6"/>
        <v/>
      </c>
      <c r="Q87" t="str">
        <f>IF(A87="","",IF(COUNTIF(tblBatidas[Início vinculado],"B"&amp;MID($A87,2,99))=0,"EM ABERTO",IF(OR(COUNTIF(tblBatidas[Início vinculado],"B"&amp;MID($A87,2,99))&gt;1,K87&lt;0,K87&gt;16,INT(INDEX(tblBatidas[Data e hora],MATCH("B"&amp;MID($A87,2,99),tblBatidas[Início vinculado],0)))&lt;&gt;B87,INDEX(tblBatidas[ID],MATCH("B"&amp;MID($A87,2,99),tblBatidas[Início vinculado],0))&lt;&gt;E87,INDEX(tblBatidas[Projeto],MATCH("B"&amp;MID($A87,2,99),tblBatidas[Início vinculado],0))&lt;&gt;G87,INDEX(tblBatidas[Atividade],MATCH("B"&amp;MID($A87,2,99),tblBatidas[Início vinculado],0))&lt;&gt;H87),"REVISAR","CONCLUÍDO")))</f>
        <v/>
      </c>
      <c r="R87">
        <f>IF(Q87&lt;&gt;"CONCLUÍDO",0,IF(COUNTIFS($E$5:E87,E87,$B$5:B87,B87,$Q$5:Q87,"CONCLUÍDO")=1,1,0))</f>
        <v>0</v>
      </c>
      <c r="S87" t="str">
        <f t="shared" si="7"/>
        <v/>
      </c>
      <c r="T87" t="str">
        <f>IF(E87="","",E87*100000+COUNTIFS(tblRegistros[ID],E87,tblRegistros[Data],"&lt;"&amp;B87)+COUNTIFS(tblRegistros[ID],E87,tblRegistros[Data],B87,tblRegistros[Início],"&lt;"&amp;I87)+COUNTIFS($E$5:E87,E87,$B$5:B87,B87,$I$5:I87,I87))</f>
        <v/>
      </c>
    </row>
    <row r="88" spans="2:20">
      <c r="B88" s="2" t="str">
        <f>IFERROR(INT(INDEX(tblBatidas[Data e hora],MATCH("B"&amp;MID($A88,2,99),tblBatidas[Batida ID],0))),"")</f>
        <v/>
      </c>
      <c r="C88" t="str">
        <f t="shared" si="4"/>
        <v/>
      </c>
      <c r="D88" t="str">
        <f t="shared" si="5"/>
        <v/>
      </c>
      <c r="E88" t="str">
        <f>IFERROR(INDEX(tblBatidas[ID],MATCH("B"&amp;MID($A88,2,99),tblBatidas[Batida ID],0)),"")</f>
        <v/>
      </c>
      <c r="F88" t="str">
        <f>IFERROR(INDEX(tblPessoas[Pessoa],MATCH(E88,tblPessoas[ID],0)),"")</f>
        <v/>
      </c>
      <c r="G88" t="str">
        <f>IFERROR(INDEX(tblBatidas[Projeto],MATCH("B"&amp;MID($A88,2,99),tblBatidas[Batida ID],0)),"")</f>
        <v/>
      </c>
      <c r="H88" t="str">
        <f>IFERROR(INDEX(tblBatidas[Atividade],MATCH("B"&amp;MID($A88,2,99),tblBatidas[Batida ID],0)),"")</f>
        <v/>
      </c>
      <c r="I88" s="4" t="str">
        <f>IFERROR(MOD(INDEX(tblBatidas[Data e hora],MATCH("B"&amp;MID($A88,2,99),tblBatidas[Batida ID],0)),1),"")</f>
        <v/>
      </c>
      <c r="J88" s="4" t="str">
        <f>IFERROR(MOD(INDEX(tblBatidas[Data e hora],MATCH("B"&amp;MID($A88,2,99),tblBatidas[Início vinculado],0)),1),"")</f>
        <v/>
      </c>
      <c r="K88" s="14" t="str">
        <f>IFERROR((INDEX(tblBatidas[Data e hora],MATCH("B"&amp;MID($A88,2,99),tblBatidas[Início vinculado],0))-INDEX(tblBatidas[Data e hora],MATCH("B"&amp;MID($A88,2,99),tblBatidas[Batida ID],0)))*24,"")</f>
        <v/>
      </c>
      <c r="L88" t="str">
        <f>IFERROR(INDEX(tblBatidas[Observação],MATCH("B"&amp;MID($A88,2,99),tblBatidas[Início vinculado],0)),"")</f>
        <v/>
      </c>
      <c r="M88" t="str">
        <f>IFERROR(INDEX(tblPessoas[Base],MATCH(E88,tblPessoas[ID],0)),"")</f>
        <v/>
      </c>
      <c r="N88" s="3">
        <f>IFERROR(IF(D88="DIA ÚTIL",INDEX(tblPessoas[R$/h útil],MATCH(E88,tblPessoas[ID],0)),INDEX(tblPessoas[R$/h FDS],MATCH(E88,tblPessoas[ID],0))),0)</f>
        <v>0</v>
      </c>
      <c r="O88" s="3">
        <f>IFERROR(INDEX(tblPessoas[R$/diária],MATCH(E88,tblPessoas[ID],0)),0)</f>
        <v>0</v>
      </c>
      <c r="P88" s="3" t="str">
        <f t="shared" si="6"/>
        <v/>
      </c>
      <c r="Q88" t="str">
        <f>IF(A88="","",IF(COUNTIF(tblBatidas[Início vinculado],"B"&amp;MID($A88,2,99))=0,"EM ABERTO",IF(OR(COUNTIF(tblBatidas[Início vinculado],"B"&amp;MID($A88,2,99))&gt;1,K88&lt;0,K88&gt;16,INT(INDEX(tblBatidas[Data e hora],MATCH("B"&amp;MID($A88,2,99),tblBatidas[Início vinculado],0)))&lt;&gt;B88,INDEX(tblBatidas[ID],MATCH("B"&amp;MID($A88,2,99),tblBatidas[Início vinculado],0))&lt;&gt;E88,INDEX(tblBatidas[Projeto],MATCH("B"&amp;MID($A88,2,99),tblBatidas[Início vinculado],0))&lt;&gt;G88,INDEX(tblBatidas[Atividade],MATCH("B"&amp;MID($A88,2,99),tblBatidas[Início vinculado],0))&lt;&gt;H88),"REVISAR","CONCLUÍDO")))</f>
        <v/>
      </c>
      <c r="R88">
        <f>IF(Q88&lt;&gt;"CONCLUÍDO",0,IF(COUNTIFS($E$5:E88,E88,$B$5:B88,B88,$Q$5:Q88,"CONCLUÍDO")=1,1,0))</f>
        <v>0</v>
      </c>
      <c r="S88" t="str">
        <f t="shared" si="7"/>
        <v/>
      </c>
      <c r="T88" t="str">
        <f>IF(E88="","",E88*100000+COUNTIFS(tblRegistros[ID],E88,tblRegistros[Data],"&lt;"&amp;B88)+COUNTIFS(tblRegistros[ID],E88,tblRegistros[Data],B88,tblRegistros[Início],"&lt;"&amp;I88)+COUNTIFS($E$5:E88,E88,$B$5:B88,B88,$I$5:I88,I88))</f>
        <v/>
      </c>
    </row>
    <row r="89" spans="2:20">
      <c r="B89" s="2" t="str">
        <f>IFERROR(INT(INDEX(tblBatidas[Data e hora],MATCH("B"&amp;MID($A89,2,99),tblBatidas[Batida ID],0))),"")</f>
        <v/>
      </c>
      <c r="C89" t="str">
        <f t="shared" si="4"/>
        <v/>
      </c>
      <c r="D89" t="str">
        <f t="shared" si="5"/>
        <v/>
      </c>
      <c r="E89" t="str">
        <f>IFERROR(INDEX(tblBatidas[ID],MATCH("B"&amp;MID($A89,2,99),tblBatidas[Batida ID],0)),"")</f>
        <v/>
      </c>
      <c r="F89" t="str">
        <f>IFERROR(INDEX(tblPessoas[Pessoa],MATCH(E89,tblPessoas[ID],0)),"")</f>
        <v/>
      </c>
      <c r="G89" t="str">
        <f>IFERROR(INDEX(tblBatidas[Projeto],MATCH("B"&amp;MID($A89,2,99),tblBatidas[Batida ID],0)),"")</f>
        <v/>
      </c>
      <c r="H89" t="str">
        <f>IFERROR(INDEX(tblBatidas[Atividade],MATCH("B"&amp;MID($A89,2,99),tblBatidas[Batida ID],0)),"")</f>
        <v/>
      </c>
      <c r="I89" s="4" t="str">
        <f>IFERROR(MOD(INDEX(tblBatidas[Data e hora],MATCH("B"&amp;MID($A89,2,99),tblBatidas[Batida ID],0)),1),"")</f>
        <v/>
      </c>
      <c r="J89" s="4" t="str">
        <f>IFERROR(MOD(INDEX(tblBatidas[Data e hora],MATCH("B"&amp;MID($A89,2,99),tblBatidas[Início vinculado],0)),1),"")</f>
        <v/>
      </c>
      <c r="K89" s="14" t="str">
        <f>IFERROR((INDEX(tblBatidas[Data e hora],MATCH("B"&amp;MID($A89,2,99),tblBatidas[Início vinculado],0))-INDEX(tblBatidas[Data e hora],MATCH("B"&amp;MID($A89,2,99),tblBatidas[Batida ID],0)))*24,"")</f>
        <v/>
      </c>
      <c r="L89" t="str">
        <f>IFERROR(INDEX(tblBatidas[Observação],MATCH("B"&amp;MID($A89,2,99),tblBatidas[Início vinculado],0)),"")</f>
        <v/>
      </c>
      <c r="M89" t="str">
        <f>IFERROR(INDEX(tblPessoas[Base],MATCH(E89,tblPessoas[ID],0)),"")</f>
        <v/>
      </c>
      <c r="N89" s="3">
        <f>IFERROR(IF(D89="DIA ÚTIL",INDEX(tblPessoas[R$/h útil],MATCH(E89,tblPessoas[ID],0)),INDEX(tblPessoas[R$/h FDS],MATCH(E89,tblPessoas[ID],0))),0)</f>
        <v>0</v>
      </c>
      <c r="O89" s="3">
        <f>IFERROR(INDEX(tblPessoas[R$/diária],MATCH(E89,tblPessoas[ID],0)),0)</f>
        <v>0</v>
      </c>
      <c r="P89" s="3" t="str">
        <f t="shared" si="6"/>
        <v/>
      </c>
      <c r="Q89" t="str">
        <f>IF(A89="","",IF(COUNTIF(tblBatidas[Início vinculado],"B"&amp;MID($A89,2,99))=0,"EM ABERTO",IF(OR(COUNTIF(tblBatidas[Início vinculado],"B"&amp;MID($A89,2,99))&gt;1,K89&lt;0,K89&gt;16,INT(INDEX(tblBatidas[Data e hora],MATCH("B"&amp;MID($A89,2,99),tblBatidas[Início vinculado],0)))&lt;&gt;B89,INDEX(tblBatidas[ID],MATCH("B"&amp;MID($A89,2,99),tblBatidas[Início vinculado],0))&lt;&gt;E89,INDEX(tblBatidas[Projeto],MATCH("B"&amp;MID($A89,2,99),tblBatidas[Início vinculado],0))&lt;&gt;G89,INDEX(tblBatidas[Atividade],MATCH("B"&amp;MID($A89,2,99),tblBatidas[Início vinculado],0))&lt;&gt;H89),"REVISAR","CONCLUÍDO")))</f>
        <v/>
      </c>
      <c r="R89">
        <f>IF(Q89&lt;&gt;"CONCLUÍDO",0,IF(COUNTIFS($E$5:E89,E89,$B$5:B89,B89,$Q$5:Q89,"CONCLUÍDO")=1,1,0))</f>
        <v>0</v>
      </c>
      <c r="S89" t="str">
        <f t="shared" si="7"/>
        <v/>
      </c>
      <c r="T89" t="str">
        <f>IF(E89="","",E89*100000+COUNTIFS(tblRegistros[ID],E89,tblRegistros[Data],"&lt;"&amp;B89)+COUNTIFS(tblRegistros[ID],E89,tblRegistros[Data],B89,tblRegistros[Início],"&lt;"&amp;I89)+COUNTIFS($E$5:E89,E89,$B$5:B89,B89,$I$5:I89,I89))</f>
        <v/>
      </c>
    </row>
    <row r="90" spans="2:20">
      <c r="B90" s="2" t="str">
        <f>IFERROR(INT(INDEX(tblBatidas[Data e hora],MATCH("B"&amp;MID($A90,2,99),tblBatidas[Batida ID],0))),"")</f>
        <v/>
      </c>
      <c r="C90" t="str">
        <f t="shared" si="4"/>
        <v/>
      </c>
      <c r="D90" t="str">
        <f t="shared" si="5"/>
        <v/>
      </c>
      <c r="E90" t="str">
        <f>IFERROR(INDEX(tblBatidas[ID],MATCH("B"&amp;MID($A90,2,99),tblBatidas[Batida ID],0)),"")</f>
        <v/>
      </c>
      <c r="F90" t="str">
        <f>IFERROR(INDEX(tblPessoas[Pessoa],MATCH(E90,tblPessoas[ID],0)),"")</f>
        <v/>
      </c>
      <c r="G90" t="str">
        <f>IFERROR(INDEX(tblBatidas[Projeto],MATCH("B"&amp;MID($A90,2,99),tblBatidas[Batida ID],0)),"")</f>
        <v/>
      </c>
      <c r="H90" t="str">
        <f>IFERROR(INDEX(tblBatidas[Atividade],MATCH("B"&amp;MID($A90,2,99),tblBatidas[Batida ID],0)),"")</f>
        <v/>
      </c>
      <c r="I90" s="4" t="str">
        <f>IFERROR(MOD(INDEX(tblBatidas[Data e hora],MATCH("B"&amp;MID($A90,2,99),tblBatidas[Batida ID],0)),1),"")</f>
        <v/>
      </c>
      <c r="J90" s="4" t="str">
        <f>IFERROR(MOD(INDEX(tblBatidas[Data e hora],MATCH("B"&amp;MID($A90,2,99),tblBatidas[Início vinculado],0)),1),"")</f>
        <v/>
      </c>
      <c r="K90" s="14" t="str">
        <f>IFERROR((INDEX(tblBatidas[Data e hora],MATCH("B"&amp;MID($A90,2,99),tblBatidas[Início vinculado],0))-INDEX(tblBatidas[Data e hora],MATCH("B"&amp;MID($A90,2,99),tblBatidas[Batida ID],0)))*24,"")</f>
        <v/>
      </c>
      <c r="L90" t="str">
        <f>IFERROR(INDEX(tblBatidas[Observação],MATCH("B"&amp;MID($A90,2,99),tblBatidas[Início vinculado],0)),"")</f>
        <v/>
      </c>
      <c r="M90" t="str">
        <f>IFERROR(INDEX(tblPessoas[Base],MATCH(E90,tblPessoas[ID],0)),"")</f>
        <v/>
      </c>
      <c r="N90" s="3">
        <f>IFERROR(IF(D90="DIA ÚTIL",INDEX(tblPessoas[R$/h útil],MATCH(E90,tblPessoas[ID],0)),INDEX(tblPessoas[R$/h FDS],MATCH(E90,tblPessoas[ID],0))),0)</f>
        <v>0</v>
      </c>
      <c r="O90" s="3">
        <f>IFERROR(INDEX(tblPessoas[R$/diária],MATCH(E90,tblPessoas[ID],0)),0)</f>
        <v>0</v>
      </c>
      <c r="P90" s="3" t="str">
        <f t="shared" si="6"/>
        <v/>
      </c>
      <c r="Q90" t="str">
        <f>IF(A90="","",IF(COUNTIF(tblBatidas[Início vinculado],"B"&amp;MID($A90,2,99))=0,"EM ABERTO",IF(OR(COUNTIF(tblBatidas[Início vinculado],"B"&amp;MID($A90,2,99))&gt;1,K90&lt;0,K90&gt;16,INT(INDEX(tblBatidas[Data e hora],MATCH("B"&amp;MID($A90,2,99),tblBatidas[Início vinculado],0)))&lt;&gt;B90,INDEX(tblBatidas[ID],MATCH("B"&amp;MID($A90,2,99),tblBatidas[Início vinculado],0))&lt;&gt;E90,INDEX(tblBatidas[Projeto],MATCH("B"&amp;MID($A90,2,99),tblBatidas[Início vinculado],0))&lt;&gt;G90,INDEX(tblBatidas[Atividade],MATCH("B"&amp;MID($A90,2,99),tblBatidas[Início vinculado],0))&lt;&gt;H90),"REVISAR","CONCLUÍDO")))</f>
        <v/>
      </c>
      <c r="R90">
        <f>IF(Q90&lt;&gt;"CONCLUÍDO",0,IF(COUNTIFS($E$5:E90,E90,$B$5:B90,B90,$Q$5:Q90,"CONCLUÍDO")=1,1,0))</f>
        <v>0</v>
      </c>
      <c r="S90" t="str">
        <f t="shared" si="7"/>
        <v/>
      </c>
      <c r="T90" t="str">
        <f>IF(E90="","",E90*100000+COUNTIFS(tblRegistros[ID],E90,tblRegistros[Data],"&lt;"&amp;B90)+COUNTIFS(tblRegistros[ID],E90,tblRegistros[Data],B90,tblRegistros[Início],"&lt;"&amp;I90)+COUNTIFS($E$5:E90,E90,$B$5:B90,B90,$I$5:I90,I90))</f>
        <v/>
      </c>
    </row>
    <row r="91" spans="2:20">
      <c r="B91" s="2" t="str">
        <f>IFERROR(INT(INDEX(tblBatidas[Data e hora],MATCH("B"&amp;MID($A91,2,99),tblBatidas[Batida ID],0))),"")</f>
        <v/>
      </c>
      <c r="C91" t="str">
        <f t="shared" si="4"/>
        <v/>
      </c>
      <c r="D91" t="str">
        <f t="shared" si="5"/>
        <v/>
      </c>
      <c r="E91" t="str">
        <f>IFERROR(INDEX(tblBatidas[ID],MATCH("B"&amp;MID($A91,2,99),tblBatidas[Batida ID],0)),"")</f>
        <v/>
      </c>
      <c r="F91" t="str">
        <f>IFERROR(INDEX(tblPessoas[Pessoa],MATCH(E91,tblPessoas[ID],0)),"")</f>
        <v/>
      </c>
      <c r="G91" t="str">
        <f>IFERROR(INDEX(tblBatidas[Projeto],MATCH("B"&amp;MID($A91,2,99),tblBatidas[Batida ID],0)),"")</f>
        <v/>
      </c>
      <c r="H91" t="str">
        <f>IFERROR(INDEX(tblBatidas[Atividade],MATCH("B"&amp;MID($A91,2,99),tblBatidas[Batida ID],0)),"")</f>
        <v/>
      </c>
      <c r="I91" s="4" t="str">
        <f>IFERROR(MOD(INDEX(tblBatidas[Data e hora],MATCH("B"&amp;MID($A91,2,99),tblBatidas[Batida ID],0)),1),"")</f>
        <v/>
      </c>
      <c r="J91" s="4" t="str">
        <f>IFERROR(MOD(INDEX(tblBatidas[Data e hora],MATCH("B"&amp;MID($A91,2,99),tblBatidas[Início vinculado],0)),1),"")</f>
        <v/>
      </c>
      <c r="K91" s="14" t="str">
        <f>IFERROR((INDEX(tblBatidas[Data e hora],MATCH("B"&amp;MID($A91,2,99),tblBatidas[Início vinculado],0))-INDEX(tblBatidas[Data e hora],MATCH("B"&amp;MID($A91,2,99),tblBatidas[Batida ID],0)))*24,"")</f>
        <v/>
      </c>
      <c r="L91" t="str">
        <f>IFERROR(INDEX(tblBatidas[Observação],MATCH("B"&amp;MID($A91,2,99),tblBatidas[Início vinculado],0)),"")</f>
        <v/>
      </c>
      <c r="M91" t="str">
        <f>IFERROR(INDEX(tblPessoas[Base],MATCH(E91,tblPessoas[ID],0)),"")</f>
        <v/>
      </c>
      <c r="N91" s="3">
        <f>IFERROR(IF(D91="DIA ÚTIL",INDEX(tblPessoas[R$/h útil],MATCH(E91,tblPessoas[ID],0)),INDEX(tblPessoas[R$/h FDS],MATCH(E91,tblPessoas[ID],0))),0)</f>
        <v>0</v>
      </c>
      <c r="O91" s="3">
        <f>IFERROR(INDEX(tblPessoas[R$/diária],MATCH(E91,tblPessoas[ID],0)),0)</f>
        <v>0</v>
      </c>
      <c r="P91" s="3" t="str">
        <f t="shared" si="6"/>
        <v/>
      </c>
      <c r="Q91" t="str">
        <f>IF(A91="","",IF(COUNTIF(tblBatidas[Início vinculado],"B"&amp;MID($A91,2,99))=0,"EM ABERTO",IF(OR(COUNTIF(tblBatidas[Início vinculado],"B"&amp;MID($A91,2,99))&gt;1,K91&lt;0,K91&gt;16,INT(INDEX(tblBatidas[Data e hora],MATCH("B"&amp;MID($A91,2,99),tblBatidas[Início vinculado],0)))&lt;&gt;B91,INDEX(tblBatidas[ID],MATCH("B"&amp;MID($A91,2,99),tblBatidas[Início vinculado],0))&lt;&gt;E91,INDEX(tblBatidas[Projeto],MATCH("B"&amp;MID($A91,2,99),tblBatidas[Início vinculado],0))&lt;&gt;G91,INDEX(tblBatidas[Atividade],MATCH("B"&amp;MID($A91,2,99),tblBatidas[Início vinculado],0))&lt;&gt;H91),"REVISAR","CONCLUÍDO")))</f>
        <v/>
      </c>
      <c r="R91">
        <f>IF(Q91&lt;&gt;"CONCLUÍDO",0,IF(COUNTIFS($E$5:E91,E91,$B$5:B91,B91,$Q$5:Q91,"CONCLUÍDO")=1,1,0))</f>
        <v>0</v>
      </c>
      <c r="S91" t="str">
        <f t="shared" si="7"/>
        <v/>
      </c>
      <c r="T91" t="str">
        <f>IF(E91="","",E91*100000+COUNTIFS(tblRegistros[ID],E91,tblRegistros[Data],"&lt;"&amp;B91)+COUNTIFS(tblRegistros[ID],E91,tblRegistros[Data],B91,tblRegistros[Início],"&lt;"&amp;I91)+COUNTIFS($E$5:E91,E91,$B$5:B91,B91,$I$5:I91,I91))</f>
        <v/>
      </c>
    </row>
    <row r="92" spans="2:20">
      <c r="B92" s="2" t="str">
        <f>IFERROR(INT(INDEX(tblBatidas[Data e hora],MATCH("B"&amp;MID($A92,2,99),tblBatidas[Batida ID],0))),"")</f>
        <v/>
      </c>
      <c r="C92" t="str">
        <f t="shared" si="4"/>
        <v/>
      </c>
      <c r="D92" t="str">
        <f t="shared" si="5"/>
        <v/>
      </c>
      <c r="E92" t="str">
        <f>IFERROR(INDEX(tblBatidas[ID],MATCH("B"&amp;MID($A92,2,99),tblBatidas[Batida ID],0)),"")</f>
        <v/>
      </c>
      <c r="F92" t="str">
        <f>IFERROR(INDEX(tblPessoas[Pessoa],MATCH(E92,tblPessoas[ID],0)),"")</f>
        <v/>
      </c>
      <c r="G92" t="str">
        <f>IFERROR(INDEX(tblBatidas[Projeto],MATCH("B"&amp;MID($A92,2,99),tblBatidas[Batida ID],0)),"")</f>
        <v/>
      </c>
      <c r="H92" t="str">
        <f>IFERROR(INDEX(tblBatidas[Atividade],MATCH("B"&amp;MID($A92,2,99),tblBatidas[Batida ID],0)),"")</f>
        <v/>
      </c>
      <c r="I92" s="4" t="str">
        <f>IFERROR(MOD(INDEX(tblBatidas[Data e hora],MATCH("B"&amp;MID($A92,2,99),tblBatidas[Batida ID],0)),1),"")</f>
        <v/>
      </c>
      <c r="J92" s="4" t="str">
        <f>IFERROR(MOD(INDEX(tblBatidas[Data e hora],MATCH("B"&amp;MID($A92,2,99),tblBatidas[Início vinculado],0)),1),"")</f>
        <v/>
      </c>
      <c r="K92" s="14" t="str">
        <f>IFERROR((INDEX(tblBatidas[Data e hora],MATCH("B"&amp;MID($A92,2,99),tblBatidas[Início vinculado],0))-INDEX(tblBatidas[Data e hora],MATCH("B"&amp;MID($A92,2,99),tblBatidas[Batida ID],0)))*24,"")</f>
        <v/>
      </c>
      <c r="L92" t="str">
        <f>IFERROR(INDEX(tblBatidas[Observação],MATCH("B"&amp;MID($A92,2,99),tblBatidas[Início vinculado],0)),"")</f>
        <v/>
      </c>
      <c r="M92" t="str">
        <f>IFERROR(INDEX(tblPessoas[Base],MATCH(E92,tblPessoas[ID],0)),"")</f>
        <v/>
      </c>
      <c r="N92" s="3">
        <f>IFERROR(IF(D92="DIA ÚTIL",INDEX(tblPessoas[R$/h útil],MATCH(E92,tblPessoas[ID],0)),INDEX(tblPessoas[R$/h FDS],MATCH(E92,tblPessoas[ID],0))),0)</f>
        <v>0</v>
      </c>
      <c r="O92" s="3">
        <f>IFERROR(INDEX(tblPessoas[R$/diária],MATCH(E92,tblPessoas[ID],0)),0)</f>
        <v>0</v>
      </c>
      <c r="P92" s="3" t="str">
        <f t="shared" si="6"/>
        <v/>
      </c>
      <c r="Q92" t="str">
        <f>IF(A92="","",IF(COUNTIF(tblBatidas[Início vinculado],"B"&amp;MID($A92,2,99))=0,"EM ABERTO",IF(OR(COUNTIF(tblBatidas[Início vinculado],"B"&amp;MID($A92,2,99))&gt;1,K92&lt;0,K92&gt;16,INT(INDEX(tblBatidas[Data e hora],MATCH("B"&amp;MID($A92,2,99),tblBatidas[Início vinculado],0)))&lt;&gt;B92,INDEX(tblBatidas[ID],MATCH("B"&amp;MID($A92,2,99),tblBatidas[Início vinculado],0))&lt;&gt;E92,INDEX(tblBatidas[Projeto],MATCH("B"&amp;MID($A92,2,99),tblBatidas[Início vinculado],0))&lt;&gt;G92,INDEX(tblBatidas[Atividade],MATCH("B"&amp;MID($A92,2,99),tblBatidas[Início vinculado],0))&lt;&gt;H92),"REVISAR","CONCLUÍDO")))</f>
        <v/>
      </c>
      <c r="R92">
        <f>IF(Q92&lt;&gt;"CONCLUÍDO",0,IF(COUNTIFS($E$5:E92,E92,$B$5:B92,B92,$Q$5:Q92,"CONCLUÍDO")=1,1,0))</f>
        <v>0</v>
      </c>
      <c r="S92" t="str">
        <f t="shared" si="7"/>
        <v/>
      </c>
      <c r="T92" t="str">
        <f>IF(E92="","",E92*100000+COUNTIFS(tblRegistros[ID],E92,tblRegistros[Data],"&lt;"&amp;B92)+COUNTIFS(tblRegistros[ID],E92,tblRegistros[Data],B92,tblRegistros[Início],"&lt;"&amp;I92)+COUNTIFS($E$5:E92,E92,$B$5:B92,B92,$I$5:I92,I92))</f>
        <v/>
      </c>
    </row>
    <row r="93" spans="2:20">
      <c r="B93" s="2" t="str">
        <f>IFERROR(INT(INDEX(tblBatidas[Data e hora],MATCH("B"&amp;MID($A93,2,99),tblBatidas[Batida ID],0))),"")</f>
        <v/>
      </c>
      <c r="C93" t="str">
        <f t="shared" si="4"/>
        <v/>
      </c>
      <c r="D93" t="str">
        <f t="shared" si="5"/>
        <v/>
      </c>
      <c r="E93" t="str">
        <f>IFERROR(INDEX(tblBatidas[ID],MATCH("B"&amp;MID($A93,2,99),tblBatidas[Batida ID],0)),"")</f>
        <v/>
      </c>
      <c r="F93" t="str">
        <f>IFERROR(INDEX(tblPessoas[Pessoa],MATCH(E93,tblPessoas[ID],0)),"")</f>
        <v/>
      </c>
      <c r="G93" t="str">
        <f>IFERROR(INDEX(tblBatidas[Projeto],MATCH("B"&amp;MID($A93,2,99),tblBatidas[Batida ID],0)),"")</f>
        <v/>
      </c>
      <c r="H93" t="str">
        <f>IFERROR(INDEX(tblBatidas[Atividade],MATCH("B"&amp;MID($A93,2,99),tblBatidas[Batida ID],0)),"")</f>
        <v/>
      </c>
      <c r="I93" s="4" t="str">
        <f>IFERROR(MOD(INDEX(tblBatidas[Data e hora],MATCH("B"&amp;MID($A93,2,99),tblBatidas[Batida ID],0)),1),"")</f>
        <v/>
      </c>
      <c r="J93" s="4" t="str">
        <f>IFERROR(MOD(INDEX(tblBatidas[Data e hora],MATCH("B"&amp;MID($A93,2,99),tblBatidas[Início vinculado],0)),1),"")</f>
        <v/>
      </c>
      <c r="K93" s="14" t="str">
        <f>IFERROR((INDEX(tblBatidas[Data e hora],MATCH("B"&amp;MID($A93,2,99),tblBatidas[Início vinculado],0))-INDEX(tblBatidas[Data e hora],MATCH("B"&amp;MID($A93,2,99),tblBatidas[Batida ID],0)))*24,"")</f>
        <v/>
      </c>
      <c r="L93" t="str">
        <f>IFERROR(INDEX(tblBatidas[Observação],MATCH("B"&amp;MID($A93,2,99),tblBatidas[Início vinculado],0)),"")</f>
        <v/>
      </c>
      <c r="M93" t="str">
        <f>IFERROR(INDEX(tblPessoas[Base],MATCH(E93,tblPessoas[ID],0)),"")</f>
        <v/>
      </c>
      <c r="N93" s="3">
        <f>IFERROR(IF(D93="DIA ÚTIL",INDEX(tblPessoas[R$/h útil],MATCH(E93,tblPessoas[ID],0)),INDEX(tblPessoas[R$/h FDS],MATCH(E93,tblPessoas[ID],0))),0)</f>
        <v>0</v>
      </c>
      <c r="O93" s="3">
        <f>IFERROR(INDEX(tblPessoas[R$/diária],MATCH(E93,tblPessoas[ID],0)),0)</f>
        <v>0</v>
      </c>
      <c r="P93" s="3" t="str">
        <f t="shared" si="6"/>
        <v/>
      </c>
      <c r="Q93" t="str">
        <f>IF(A93="","",IF(COUNTIF(tblBatidas[Início vinculado],"B"&amp;MID($A93,2,99))=0,"EM ABERTO",IF(OR(COUNTIF(tblBatidas[Início vinculado],"B"&amp;MID($A93,2,99))&gt;1,K93&lt;0,K93&gt;16,INT(INDEX(tblBatidas[Data e hora],MATCH("B"&amp;MID($A93,2,99),tblBatidas[Início vinculado],0)))&lt;&gt;B93,INDEX(tblBatidas[ID],MATCH("B"&amp;MID($A93,2,99),tblBatidas[Início vinculado],0))&lt;&gt;E93,INDEX(tblBatidas[Projeto],MATCH("B"&amp;MID($A93,2,99),tblBatidas[Início vinculado],0))&lt;&gt;G93,INDEX(tblBatidas[Atividade],MATCH("B"&amp;MID($A93,2,99),tblBatidas[Início vinculado],0))&lt;&gt;H93),"REVISAR","CONCLUÍDO")))</f>
        <v/>
      </c>
      <c r="R93">
        <f>IF(Q93&lt;&gt;"CONCLUÍDO",0,IF(COUNTIFS($E$5:E93,E93,$B$5:B93,B93,$Q$5:Q93,"CONCLUÍDO")=1,1,0))</f>
        <v>0</v>
      </c>
      <c r="S93" t="str">
        <f t="shared" si="7"/>
        <v/>
      </c>
      <c r="T93" t="str">
        <f>IF(E93="","",E93*100000+COUNTIFS(tblRegistros[ID],E93,tblRegistros[Data],"&lt;"&amp;B93)+COUNTIFS(tblRegistros[ID],E93,tblRegistros[Data],B93,tblRegistros[Início],"&lt;"&amp;I93)+COUNTIFS($E$5:E93,E93,$B$5:B93,B93,$I$5:I93,I93))</f>
        <v/>
      </c>
    </row>
    <row r="94" spans="2:20">
      <c r="B94" s="2" t="str">
        <f>IFERROR(INT(INDEX(tblBatidas[Data e hora],MATCH("B"&amp;MID($A94,2,99),tblBatidas[Batida ID],0))),"")</f>
        <v/>
      </c>
      <c r="C94" t="str">
        <f t="shared" si="4"/>
        <v/>
      </c>
      <c r="D94" t="str">
        <f t="shared" si="5"/>
        <v/>
      </c>
      <c r="E94" t="str">
        <f>IFERROR(INDEX(tblBatidas[ID],MATCH("B"&amp;MID($A94,2,99),tblBatidas[Batida ID],0)),"")</f>
        <v/>
      </c>
      <c r="F94" t="str">
        <f>IFERROR(INDEX(tblPessoas[Pessoa],MATCH(E94,tblPessoas[ID],0)),"")</f>
        <v/>
      </c>
      <c r="G94" t="str">
        <f>IFERROR(INDEX(tblBatidas[Projeto],MATCH("B"&amp;MID($A94,2,99),tblBatidas[Batida ID],0)),"")</f>
        <v/>
      </c>
      <c r="H94" t="str">
        <f>IFERROR(INDEX(tblBatidas[Atividade],MATCH("B"&amp;MID($A94,2,99),tblBatidas[Batida ID],0)),"")</f>
        <v/>
      </c>
      <c r="I94" s="4" t="str">
        <f>IFERROR(MOD(INDEX(tblBatidas[Data e hora],MATCH("B"&amp;MID($A94,2,99),tblBatidas[Batida ID],0)),1),"")</f>
        <v/>
      </c>
      <c r="J94" s="4" t="str">
        <f>IFERROR(MOD(INDEX(tblBatidas[Data e hora],MATCH("B"&amp;MID($A94,2,99),tblBatidas[Início vinculado],0)),1),"")</f>
        <v/>
      </c>
      <c r="K94" s="14" t="str">
        <f>IFERROR((INDEX(tblBatidas[Data e hora],MATCH("B"&amp;MID($A94,2,99),tblBatidas[Início vinculado],0))-INDEX(tblBatidas[Data e hora],MATCH("B"&amp;MID($A94,2,99),tblBatidas[Batida ID],0)))*24,"")</f>
        <v/>
      </c>
      <c r="L94" t="str">
        <f>IFERROR(INDEX(tblBatidas[Observação],MATCH("B"&amp;MID($A94,2,99),tblBatidas[Início vinculado],0)),"")</f>
        <v/>
      </c>
      <c r="M94" t="str">
        <f>IFERROR(INDEX(tblPessoas[Base],MATCH(E94,tblPessoas[ID],0)),"")</f>
        <v/>
      </c>
      <c r="N94" s="3">
        <f>IFERROR(IF(D94="DIA ÚTIL",INDEX(tblPessoas[R$/h útil],MATCH(E94,tblPessoas[ID],0)),INDEX(tblPessoas[R$/h FDS],MATCH(E94,tblPessoas[ID],0))),0)</f>
        <v>0</v>
      </c>
      <c r="O94" s="3">
        <f>IFERROR(INDEX(tblPessoas[R$/diária],MATCH(E94,tblPessoas[ID],0)),0)</f>
        <v>0</v>
      </c>
      <c r="P94" s="3" t="str">
        <f t="shared" si="6"/>
        <v/>
      </c>
      <c r="Q94" t="str">
        <f>IF(A94="","",IF(COUNTIF(tblBatidas[Início vinculado],"B"&amp;MID($A94,2,99))=0,"EM ABERTO",IF(OR(COUNTIF(tblBatidas[Início vinculado],"B"&amp;MID($A94,2,99))&gt;1,K94&lt;0,K94&gt;16,INT(INDEX(tblBatidas[Data e hora],MATCH("B"&amp;MID($A94,2,99),tblBatidas[Início vinculado],0)))&lt;&gt;B94,INDEX(tblBatidas[ID],MATCH("B"&amp;MID($A94,2,99),tblBatidas[Início vinculado],0))&lt;&gt;E94,INDEX(tblBatidas[Projeto],MATCH("B"&amp;MID($A94,2,99),tblBatidas[Início vinculado],0))&lt;&gt;G94,INDEX(tblBatidas[Atividade],MATCH("B"&amp;MID($A94,2,99),tblBatidas[Início vinculado],0))&lt;&gt;H94),"REVISAR","CONCLUÍDO")))</f>
        <v/>
      </c>
      <c r="R94">
        <f>IF(Q94&lt;&gt;"CONCLUÍDO",0,IF(COUNTIFS($E$5:E94,E94,$B$5:B94,B94,$Q$5:Q94,"CONCLUÍDO")=1,1,0))</f>
        <v>0</v>
      </c>
      <c r="S94" t="str">
        <f t="shared" si="7"/>
        <v/>
      </c>
      <c r="T94" t="str">
        <f>IF(E94="","",E94*100000+COUNTIFS(tblRegistros[ID],E94,tblRegistros[Data],"&lt;"&amp;B94)+COUNTIFS(tblRegistros[ID],E94,tblRegistros[Data],B94,tblRegistros[Início],"&lt;"&amp;I94)+COUNTIFS($E$5:E94,E94,$B$5:B94,B94,$I$5:I94,I94))</f>
        <v/>
      </c>
    </row>
    <row r="95" spans="2:20">
      <c r="B95" s="2" t="str">
        <f>IFERROR(INT(INDEX(tblBatidas[Data e hora],MATCH("B"&amp;MID($A95,2,99),tblBatidas[Batida ID],0))),"")</f>
        <v/>
      </c>
      <c r="C95" t="str">
        <f t="shared" si="4"/>
        <v/>
      </c>
      <c r="D95" t="str">
        <f t="shared" si="5"/>
        <v/>
      </c>
      <c r="E95" t="str">
        <f>IFERROR(INDEX(tblBatidas[ID],MATCH("B"&amp;MID($A95,2,99),tblBatidas[Batida ID],0)),"")</f>
        <v/>
      </c>
      <c r="F95" t="str">
        <f>IFERROR(INDEX(tblPessoas[Pessoa],MATCH(E95,tblPessoas[ID],0)),"")</f>
        <v/>
      </c>
      <c r="G95" t="str">
        <f>IFERROR(INDEX(tblBatidas[Projeto],MATCH("B"&amp;MID($A95,2,99),tblBatidas[Batida ID],0)),"")</f>
        <v/>
      </c>
      <c r="H95" t="str">
        <f>IFERROR(INDEX(tblBatidas[Atividade],MATCH("B"&amp;MID($A95,2,99),tblBatidas[Batida ID],0)),"")</f>
        <v/>
      </c>
      <c r="I95" s="4" t="str">
        <f>IFERROR(MOD(INDEX(tblBatidas[Data e hora],MATCH("B"&amp;MID($A95,2,99),tblBatidas[Batida ID],0)),1),"")</f>
        <v/>
      </c>
      <c r="J95" s="4" t="str">
        <f>IFERROR(MOD(INDEX(tblBatidas[Data e hora],MATCH("B"&amp;MID($A95,2,99),tblBatidas[Início vinculado],0)),1),"")</f>
        <v/>
      </c>
      <c r="K95" s="14" t="str">
        <f>IFERROR((INDEX(tblBatidas[Data e hora],MATCH("B"&amp;MID($A95,2,99),tblBatidas[Início vinculado],0))-INDEX(tblBatidas[Data e hora],MATCH("B"&amp;MID($A95,2,99),tblBatidas[Batida ID],0)))*24,"")</f>
        <v/>
      </c>
      <c r="L95" t="str">
        <f>IFERROR(INDEX(tblBatidas[Observação],MATCH("B"&amp;MID($A95,2,99),tblBatidas[Início vinculado],0)),"")</f>
        <v/>
      </c>
      <c r="M95" t="str">
        <f>IFERROR(INDEX(tblPessoas[Base],MATCH(E95,tblPessoas[ID],0)),"")</f>
        <v/>
      </c>
      <c r="N95" s="3">
        <f>IFERROR(IF(D95="DIA ÚTIL",INDEX(tblPessoas[R$/h útil],MATCH(E95,tblPessoas[ID],0)),INDEX(tblPessoas[R$/h FDS],MATCH(E95,tblPessoas[ID],0))),0)</f>
        <v>0</v>
      </c>
      <c r="O95" s="3">
        <f>IFERROR(INDEX(tblPessoas[R$/diária],MATCH(E95,tblPessoas[ID],0)),0)</f>
        <v>0</v>
      </c>
      <c r="P95" s="3" t="str">
        <f t="shared" si="6"/>
        <v/>
      </c>
      <c r="Q95" t="str">
        <f>IF(A95="","",IF(COUNTIF(tblBatidas[Início vinculado],"B"&amp;MID($A95,2,99))=0,"EM ABERTO",IF(OR(COUNTIF(tblBatidas[Início vinculado],"B"&amp;MID($A95,2,99))&gt;1,K95&lt;0,K95&gt;16,INT(INDEX(tblBatidas[Data e hora],MATCH("B"&amp;MID($A95,2,99),tblBatidas[Início vinculado],0)))&lt;&gt;B95,INDEX(tblBatidas[ID],MATCH("B"&amp;MID($A95,2,99),tblBatidas[Início vinculado],0))&lt;&gt;E95,INDEX(tblBatidas[Projeto],MATCH("B"&amp;MID($A95,2,99),tblBatidas[Início vinculado],0))&lt;&gt;G95,INDEX(tblBatidas[Atividade],MATCH("B"&amp;MID($A95,2,99),tblBatidas[Início vinculado],0))&lt;&gt;H95),"REVISAR","CONCLUÍDO")))</f>
        <v/>
      </c>
      <c r="R95">
        <f>IF(Q95&lt;&gt;"CONCLUÍDO",0,IF(COUNTIFS($E$5:E95,E95,$B$5:B95,B95,$Q$5:Q95,"CONCLUÍDO")=1,1,0))</f>
        <v>0</v>
      </c>
      <c r="S95" t="str">
        <f t="shared" si="7"/>
        <v/>
      </c>
      <c r="T95" t="str">
        <f>IF(E95="","",E95*100000+COUNTIFS(tblRegistros[ID],E95,tblRegistros[Data],"&lt;"&amp;B95)+COUNTIFS(tblRegistros[ID],E95,tblRegistros[Data],B95,tblRegistros[Início],"&lt;"&amp;I95)+COUNTIFS($E$5:E95,E95,$B$5:B95,B95,$I$5:I95,I95))</f>
        <v/>
      </c>
    </row>
    <row r="96" spans="2:20">
      <c r="B96" s="2" t="str">
        <f>IFERROR(INT(INDEX(tblBatidas[Data e hora],MATCH("B"&amp;MID($A96,2,99),tblBatidas[Batida ID],0))),"")</f>
        <v/>
      </c>
      <c r="C96" t="str">
        <f t="shared" si="4"/>
        <v/>
      </c>
      <c r="D96" t="str">
        <f t="shared" si="5"/>
        <v/>
      </c>
      <c r="E96" t="str">
        <f>IFERROR(INDEX(tblBatidas[ID],MATCH("B"&amp;MID($A96,2,99),tblBatidas[Batida ID],0)),"")</f>
        <v/>
      </c>
      <c r="F96" t="str">
        <f>IFERROR(INDEX(tblPessoas[Pessoa],MATCH(E96,tblPessoas[ID],0)),"")</f>
        <v/>
      </c>
      <c r="G96" t="str">
        <f>IFERROR(INDEX(tblBatidas[Projeto],MATCH("B"&amp;MID($A96,2,99),tblBatidas[Batida ID],0)),"")</f>
        <v/>
      </c>
      <c r="H96" t="str">
        <f>IFERROR(INDEX(tblBatidas[Atividade],MATCH("B"&amp;MID($A96,2,99),tblBatidas[Batida ID],0)),"")</f>
        <v/>
      </c>
      <c r="I96" s="4" t="str">
        <f>IFERROR(MOD(INDEX(tblBatidas[Data e hora],MATCH("B"&amp;MID($A96,2,99),tblBatidas[Batida ID],0)),1),"")</f>
        <v/>
      </c>
      <c r="J96" s="4" t="str">
        <f>IFERROR(MOD(INDEX(tblBatidas[Data e hora],MATCH("B"&amp;MID($A96,2,99),tblBatidas[Início vinculado],0)),1),"")</f>
        <v/>
      </c>
      <c r="K96" s="14" t="str">
        <f>IFERROR((INDEX(tblBatidas[Data e hora],MATCH("B"&amp;MID($A96,2,99),tblBatidas[Início vinculado],0))-INDEX(tblBatidas[Data e hora],MATCH("B"&amp;MID($A96,2,99),tblBatidas[Batida ID],0)))*24,"")</f>
        <v/>
      </c>
      <c r="L96" t="str">
        <f>IFERROR(INDEX(tblBatidas[Observação],MATCH("B"&amp;MID($A96,2,99),tblBatidas[Início vinculado],0)),"")</f>
        <v/>
      </c>
      <c r="M96" t="str">
        <f>IFERROR(INDEX(tblPessoas[Base],MATCH(E96,tblPessoas[ID],0)),"")</f>
        <v/>
      </c>
      <c r="N96" s="3">
        <f>IFERROR(IF(D96="DIA ÚTIL",INDEX(tblPessoas[R$/h útil],MATCH(E96,tblPessoas[ID],0)),INDEX(tblPessoas[R$/h FDS],MATCH(E96,tblPessoas[ID],0))),0)</f>
        <v>0</v>
      </c>
      <c r="O96" s="3">
        <f>IFERROR(INDEX(tblPessoas[R$/diária],MATCH(E96,tblPessoas[ID],0)),0)</f>
        <v>0</v>
      </c>
      <c r="P96" s="3" t="str">
        <f t="shared" si="6"/>
        <v/>
      </c>
      <c r="Q96" t="str">
        <f>IF(A96="","",IF(COUNTIF(tblBatidas[Início vinculado],"B"&amp;MID($A96,2,99))=0,"EM ABERTO",IF(OR(COUNTIF(tblBatidas[Início vinculado],"B"&amp;MID($A96,2,99))&gt;1,K96&lt;0,K96&gt;16,INT(INDEX(tblBatidas[Data e hora],MATCH("B"&amp;MID($A96,2,99),tblBatidas[Início vinculado],0)))&lt;&gt;B96,INDEX(tblBatidas[ID],MATCH("B"&amp;MID($A96,2,99),tblBatidas[Início vinculado],0))&lt;&gt;E96,INDEX(tblBatidas[Projeto],MATCH("B"&amp;MID($A96,2,99),tblBatidas[Início vinculado],0))&lt;&gt;G96,INDEX(tblBatidas[Atividade],MATCH("B"&amp;MID($A96,2,99),tblBatidas[Início vinculado],0))&lt;&gt;H96),"REVISAR","CONCLUÍDO")))</f>
        <v/>
      </c>
      <c r="R96">
        <f>IF(Q96&lt;&gt;"CONCLUÍDO",0,IF(COUNTIFS($E$5:E96,E96,$B$5:B96,B96,$Q$5:Q96,"CONCLUÍDO")=1,1,0))</f>
        <v>0</v>
      </c>
      <c r="S96" t="str">
        <f t="shared" si="7"/>
        <v/>
      </c>
      <c r="T96" t="str">
        <f>IF(E96="","",E96*100000+COUNTIFS(tblRegistros[ID],E96,tblRegistros[Data],"&lt;"&amp;B96)+COUNTIFS(tblRegistros[ID],E96,tblRegistros[Data],B96,tblRegistros[Início],"&lt;"&amp;I96)+COUNTIFS($E$5:E96,E96,$B$5:B96,B96,$I$5:I96,I96))</f>
        <v/>
      </c>
    </row>
    <row r="97" spans="2:20">
      <c r="B97" s="2" t="str">
        <f>IFERROR(INT(INDEX(tblBatidas[Data e hora],MATCH("B"&amp;MID($A97,2,99),tblBatidas[Batida ID],0))),"")</f>
        <v/>
      </c>
      <c r="C97" t="str">
        <f t="shared" si="4"/>
        <v/>
      </c>
      <c r="D97" t="str">
        <f t="shared" si="5"/>
        <v/>
      </c>
      <c r="E97" t="str">
        <f>IFERROR(INDEX(tblBatidas[ID],MATCH("B"&amp;MID($A97,2,99),tblBatidas[Batida ID],0)),"")</f>
        <v/>
      </c>
      <c r="F97" t="str">
        <f>IFERROR(INDEX(tblPessoas[Pessoa],MATCH(E97,tblPessoas[ID],0)),"")</f>
        <v/>
      </c>
      <c r="G97" t="str">
        <f>IFERROR(INDEX(tblBatidas[Projeto],MATCH("B"&amp;MID($A97,2,99),tblBatidas[Batida ID],0)),"")</f>
        <v/>
      </c>
      <c r="H97" t="str">
        <f>IFERROR(INDEX(tblBatidas[Atividade],MATCH("B"&amp;MID($A97,2,99),tblBatidas[Batida ID],0)),"")</f>
        <v/>
      </c>
      <c r="I97" s="4" t="str">
        <f>IFERROR(MOD(INDEX(tblBatidas[Data e hora],MATCH("B"&amp;MID($A97,2,99),tblBatidas[Batida ID],0)),1),"")</f>
        <v/>
      </c>
      <c r="J97" s="4" t="str">
        <f>IFERROR(MOD(INDEX(tblBatidas[Data e hora],MATCH("B"&amp;MID($A97,2,99),tblBatidas[Início vinculado],0)),1),"")</f>
        <v/>
      </c>
      <c r="K97" s="14" t="str">
        <f>IFERROR((INDEX(tblBatidas[Data e hora],MATCH("B"&amp;MID($A97,2,99),tblBatidas[Início vinculado],0))-INDEX(tblBatidas[Data e hora],MATCH("B"&amp;MID($A97,2,99),tblBatidas[Batida ID],0)))*24,"")</f>
        <v/>
      </c>
      <c r="L97" t="str">
        <f>IFERROR(INDEX(tblBatidas[Observação],MATCH("B"&amp;MID($A97,2,99),tblBatidas[Início vinculado],0)),"")</f>
        <v/>
      </c>
      <c r="M97" t="str">
        <f>IFERROR(INDEX(tblPessoas[Base],MATCH(E97,tblPessoas[ID],0)),"")</f>
        <v/>
      </c>
      <c r="N97" s="3">
        <f>IFERROR(IF(D97="DIA ÚTIL",INDEX(tblPessoas[R$/h útil],MATCH(E97,tblPessoas[ID],0)),INDEX(tblPessoas[R$/h FDS],MATCH(E97,tblPessoas[ID],0))),0)</f>
        <v>0</v>
      </c>
      <c r="O97" s="3">
        <f>IFERROR(INDEX(tblPessoas[R$/diária],MATCH(E97,tblPessoas[ID],0)),0)</f>
        <v>0</v>
      </c>
      <c r="P97" s="3" t="str">
        <f t="shared" si="6"/>
        <v/>
      </c>
      <c r="Q97" t="str">
        <f>IF(A97="","",IF(COUNTIF(tblBatidas[Início vinculado],"B"&amp;MID($A97,2,99))=0,"EM ABERTO",IF(OR(COUNTIF(tblBatidas[Início vinculado],"B"&amp;MID($A97,2,99))&gt;1,K97&lt;0,K97&gt;16,INT(INDEX(tblBatidas[Data e hora],MATCH("B"&amp;MID($A97,2,99),tblBatidas[Início vinculado],0)))&lt;&gt;B97,INDEX(tblBatidas[ID],MATCH("B"&amp;MID($A97,2,99),tblBatidas[Início vinculado],0))&lt;&gt;E97,INDEX(tblBatidas[Projeto],MATCH("B"&amp;MID($A97,2,99),tblBatidas[Início vinculado],0))&lt;&gt;G97,INDEX(tblBatidas[Atividade],MATCH("B"&amp;MID($A97,2,99),tblBatidas[Início vinculado],0))&lt;&gt;H97),"REVISAR","CONCLUÍDO")))</f>
        <v/>
      </c>
      <c r="R97">
        <f>IF(Q97&lt;&gt;"CONCLUÍDO",0,IF(COUNTIFS($E$5:E97,E97,$B$5:B97,B97,$Q$5:Q97,"CONCLUÍDO")=1,1,0))</f>
        <v>0</v>
      </c>
      <c r="S97" t="str">
        <f t="shared" si="7"/>
        <v/>
      </c>
      <c r="T97" t="str">
        <f>IF(E97="","",E97*100000+COUNTIFS(tblRegistros[ID],E97,tblRegistros[Data],"&lt;"&amp;B97)+COUNTIFS(tblRegistros[ID],E97,tblRegistros[Data],B97,tblRegistros[Início],"&lt;"&amp;I97)+COUNTIFS($E$5:E97,E97,$B$5:B97,B97,$I$5:I97,I97))</f>
        <v/>
      </c>
    </row>
    <row r="98" spans="2:20">
      <c r="B98" s="2" t="str">
        <f>IFERROR(INT(INDEX(tblBatidas[Data e hora],MATCH("B"&amp;MID($A98,2,99),tblBatidas[Batida ID],0))),"")</f>
        <v/>
      </c>
      <c r="C98" t="str">
        <f t="shared" si="4"/>
        <v/>
      </c>
      <c r="D98" t="str">
        <f t="shared" si="5"/>
        <v/>
      </c>
      <c r="E98" t="str">
        <f>IFERROR(INDEX(tblBatidas[ID],MATCH("B"&amp;MID($A98,2,99),tblBatidas[Batida ID],0)),"")</f>
        <v/>
      </c>
      <c r="F98" t="str">
        <f>IFERROR(INDEX(tblPessoas[Pessoa],MATCH(E98,tblPessoas[ID],0)),"")</f>
        <v/>
      </c>
      <c r="G98" t="str">
        <f>IFERROR(INDEX(tblBatidas[Projeto],MATCH("B"&amp;MID($A98,2,99),tblBatidas[Batida ID],0)),"")</f>
        <v/>
      </c>
      <c r="H98" t="str">
        <f>IFERROR(INDEX(tblBatidas[Atividade],MATCH("B"&amp;MID($A98,2,99),tblBatidas[Batida ID],0)),"")</f>
        <v/>
      </c>
      <c r="I98" s="4" t="str">
        <f>IFERROR(MOD(INDEX(tblBatidas[Data e hora],MATCH("B"&amp;MID($A98,2,99),tblBatidas[Batida ID],0)),1),"")</f>
        <v/>
      </c>
      <c r="J98" s="4" t="str">
        <f>IFERROR(MOD(INDEX(tblBatidas[Data e hora],MATCH("B"&amp;MID($A98,2,99),tblBatidas[Início vinculado],0)),1),"")</f>
        <v/>
      </c>
      <c r="K98" s="14" t="str">
        <f>IFERROR((INDEX(tblBatidas[Data e hora],MATCH("B"&amp;MID($A98,2,99),tblBatidas[Início vinculado],0))-INDEX(tblBatidas[Data e hora],MATCH("B"&amp;MID($A98,2,99),tblBatidas[Batida ID],0)))*24,"")</f>
        <v/>
      </c>
      <c r="L98" t="str">
        <f>IFERROR(INDEX(tblBatidas[Observação],MATCH("B"&amp;MID($A98,2,99),tblBatidas[Início vinculado],0)),"")</f>
        <v/>
      </c>
      <c r="M98" t="str">
        <f>IFERROR(INDEX(tblPessoas[Base],MATCH(E98,tblPessoas[ID],0)),"")</f>
        <v/>
      </c>
      <c r="N98" s="3">
        <f>IFERROR(IF(D98="DIA ÚTIL",INDEX(tblPessoas[R$/h útil],MATCH(E98,tblPessoas[ID],0)),INDEX(tblPessoas[R$/h FDS],MATCH(E98,tblPessoas[ID],0))),0)</f>
        <v>0</v>
      </c>
      <c r="O98" s="3">
        <f>IFERROR(INDEX(tblPessoas[R$/diária],MATCH(E98,tblPessoas[ID],0)),0)</f>
        <v>0</v>
      </c>
      <c r="P98" s="3" t="str">
        <f t="shared" si="6"/>
        <v/>
      </c>
      <c r="Q98" t="str">
        <f>IF(A98="","",IF(COUNTIF(tblBatidas[Início vinculado],"B"&amp;MID($A98,2,99))=0,"EM ABERTO",IF(OR(COUNTIF(tblBatidas[Início vinculado],"B"&amp;MID($A98,2,99))&gt;1,K98&lt;0,K98&gt;16,INT(INDEX(tblBatidas[Data e hora],MATCH("B"&amp;MID($A98,2,99),tblBatidas[Início vinculado],0)))&lt;&gt;B98,INDEX(tblBatidas[ID],MATCH("B"&amp;MID($A98,2,99),tblBatidas[Início vinculado],0))&lt;&gt;E98,INDEX(tblBatidas[Projeto],MATCH("B"&amp;MID($A98,2,99),tblBatidas[Início vinculado],0))&lt;&gt;G98,INDEX(tblBatidas[Atividade],MATCH("B"&amp;MID($A98,2,99),tblBatidas[Início vinculado],0))&lt;&gt;H98),"REVISAR","CONCLUÍDO")))</f>
        <v/>
      </c>
      <c r="R98">
        <f>IF(Q98&lt;&gt;"CONCLUÍDO",0,IF(COUNTIFS($E$5:E98,E98,$B$5:B98,B98,$Q$5:Q98,"CONCLUÍDO")=1,1,0))</f>
        <v>0</v>
      </c>
      <c r="S98" t="str">
        <f t="shared" si="7"/>
        <v/>
      </c>
      <c r="T98" t="str">
        <f>IF(E98="","",E98*100000+COUNTIFS(tblRegistros[ID],E98,tblRegistros[Data],"&lt;"&amp;B98)+COUNTIFS(tblRegistros[ID],E98,tblRegistros[Data],B98,tblRegistros[Início],"&lt;"&amp;I98)+COUNTIFS($E$5:E98,E98,$B$5:B98,B98,$I$5:I98,I98))</f>
        <v/>
      </c>
    </row>
    <row r="99" spans="2:20">
      <c r="B99" s="2" t="str">
        <f>IFERROR(INT(INDEX(tblBatidas[Data e hora],MATCH("B"&amp;MID($A99,2,99),tblBatidas[Batida ID],0))),"")</f>
        <v/>
      </c>
      <c r="C99" t="str">
        <f t="shared" si="4"/>
        <v/>
      </c>
      <c r="D99" t="str">
        <f t="shared" si="5"/>
        <v/>
      </c>
      <c r="E99" t="str">
        <f>IFERROR(INDEX(tblBatidas[ID],MATCH("B"&amp;MID($A99,2,99),tblBatidas[Batida ID],0)),"")</f>
        <v/>
      </c>
      <c r="F99" t="str">
        <f>IFERROR(INDEX(tblPessoas[Pessoa],MATCH(E99,tblPessoas[ID],0)),"")</f>
        <v/>
      </c>
      <c r="G99" t="str">
        <f>IFERROR(INDEX(tblBatidas[Projeto],MATCH("B"&amp;MID($A99,2,99),tblBatidas[Batida ID],0)),"")</f>
        <v/>
      </c>
      <c r="H99" t="str">
        <f>IFERROR(INDEX(tblBatidas[Atividade],MATCH("B"&amp;MID($A99,2,99),tblBatidas[Batida ID],0)),"")</f>
        <v/>
      </c>
      <c r="I99" s="4" t="str">
        <f>IFERROR(MOD(INDEX(tblBatidas[Data e hora],MATCH("B"&amp;MID($A99,2,99),tblBatidas[Batida ID],0)),1),"")</f>
        <v/>
      </c>
      <c r="J99" s="4" t="str">
        <f>IFERROR(MOD(INDEX(tblBatidas[Data e hora],MATCH("B"&amp;MID($A99,2,99),tblBatidas[Início vinculado],0)),1),"")</f>
        <v/>
      </c>
      <c r="K99" s="14" t="str">
        <f>IFERROR((INDEX(tblBatidas[Data e hora],MATCH("B"&amp;MID($A99,2,99),tblBatidas[Início vinculado],0))-INDEX(tblBatidas[Data e hora],MATCH("B"&amp;MID($A99,2,99),tblBatidas[Batida ID],0)))*24,"")</f>
        <v/>
      </c>
      <c r="L99" t="str">
        <f>IFERROR(INDEX(tblBatidas[Observação],MATCH("B"&amp;MID($A99,2,99),tblBatidas[Início vinculado],0)),"")</f>
        <v/>
      </c>
      <c r="M99" t="str">
        <f>IFERROR(INDEX(tblPessoas[Base],MATCH(E99,tblPessoas[ID],0)),"")</f>
        <v/>
      </c>
      <c r="N99" s="3">
        <f>IFERROR(IF(D99="DIA ÚTIL",INDEX(tblPessoas[R$/h útil],MATCH(E99,tblPessoas[ID],0)),INDEX(tblPessoas[R$/h FDS],MATCH(E99,tblPessoas[ID],0))),0)</f>
        <v>0</v>
      </c>
      <c r="O99" s="3">
        <f>IFERROR(INDEX(tblPessoas[R$/diária],MATCH(E99,tblPessoas[ID],0)),0)</f>
        <v>0</v>
      </c>
      <c r="P99" s="3" t="str">
        <f t="shared" si="6"/>
        <v/>
      </c>
      <c r="Q99" t="str">
        <f>IF(A99="","",IF(COUNTIF(tblBatidas[Início vinculado],"B"&amp;MID($A99,2,99))=0,"EM ABERTO",IF(OR(COUNTIF(tblBatidas[Início vinculado],"B"&amp;MID($A99,2,99))&gt;1,K99&lt;0,K99&gt;16,INT(INDEX(tblBatidas[Data e hora],MATCH("B"&amp;MID($A99,2,99),tblBatidas[Início vinculado],0)))&lt;&gt;B99,INDEX(tblBatidas[ID],MATCH("B"&amp;MID($A99,2,99),tblBatidas[Início vinculado],0))&lt;&gt;E99,INDEX(tblBatidas[Projeto],MATCH("B"&amp;MID($A99,2,99),tblBatidas[Início vinculado],0))&lt;&gt;G99,INDEX(tblBatidas[Atividade],MATCH("B"&amp;MID($A99,2,99),tblBatidas[Início vinculado],0))&lt;&gt;H99),"REVISAR","CONCLUÍDO")))</f>
        <v/>
      </c>
      <c r="R99">
        <f>IF(Q99&lt;&gt;"CONCLUÍDO",0,IF(COUNTIFS($E$5:E99,E99,$B$5:B99,B99,$Q$5:Q99,"CONCLUÍDO")=1,1,0))</f>
        <v>0</v>
      </c>
      <c r="S99" t="str">
        <f t="shared" si="7"/>
        <v/>
      </c>
      <c r="T99" t="str">
        <f>IF(E99="","",E99*100000+COUNTIFS(tblRegistros[ID],E99,tblRegistros[Data],"&lt;"&amp;B99)+COUNTIFS(tblRegistros[ID],E99,tblRegistros[Data],B99,tblRegistros[Início],"&lt;"&amp;I99)+COUNTIFS($E$5:E99,E99,$B$5:B99,B99,$I$5:I99,I99))</f>
        <v/>
      </c>
    </row>
    <row r="100" spans="2:20">
      <c r="B100" s="2" t="str">
        <f>IFERROR(INT(INDEX(tblBatidas[Data e hora],MATCH("B"&amp;MID($A100,2,99),tblBatidas[Batida ID],0))),"")</f>
        <v/>
      </c>
      <c r="C100" t="str">
        <f t="shared" si="4"/>
        <v/>
      </c>
      <c r="D100" t="str">
        <f t="shared" si="5"/>
        <v/>
      </c>
      <c r="E100" t="str">
        <f>IFERROR(INDEX(tblBatidas[ID],MATCH("B"&amp;MID($A100,2,99),tblBatidas[Batida ID],0)),"")</f>
        <v/>
      </c>
      <c r="F100" t="str">
        <f>IFERROR(INDEX(tblPessoas[Pessoa],MATCH(E100,tblPessoas[ID],0)),"")</f>
        <v/>
      </c>
      <c r="G100" t="str">
        <f>IFERROR(INDEX(tblBatidas[Projeto],MATCH("B"&amp;MID($A100,2,99),tblBatidas[Batida ID],0)),"")</f>
        <v/>
      </c>
      <c r="H100" t="str">
        <f>IFERROR(INDEX(tblBatidas[Atividade],MATCH("B"&amp;MID($A100,2,99),tblBatidas[Batida ID],0)),"")</f>
        <v/>
      </c>
      <c r="I100" s="4" t="str">
        <f>IFERROR(MOD(INDEX(tblBatidas[Data e hora],MATCH("B"&amp;MID($A100,2,99),tblBatidas[Batida ID],0)),1),"")</f>
        <v/>
      </c>
      <c r="J100" s="4" t="str">
        <f>IFERROR(MOD(INDEX(tblBatidas[Data e hora],MATCH("B"&amp;MID($A100,2,99),tblBatidas[Início vinculado],0)),1),"")</f>
        <v/>
      </c>
      <c r="K100" s="14" t="str">
        <f>IFERROR((INDEX(tblBatidas[Data e hora],MATCH("B"&amp;MID($A100,2,99),tblBatidas[Início vinculado],0))-INDEX(tblBatidas[Data e hora],MATCH("B"&amp;MID($A100,2,99),tblBatidas[Batida ID],0)))*24,"")</f>
        <v/>
      </c>
      <c r="L100" t="str">
        <f>IFERROR(INDEX(tblBatidas[Observação],MATCH("B"&amp;MID($A100,2,99),tblBatidas[Início vinculado],0)),"")</f>
        <v/>
      </c>
      <c r="M100" t="str">
        <f>IFERROR(INDEX(tblPessoas[Base],MATCH(E100,tblPessoas[ID],0)),"")</f>
        <v/>
      </c>
      <c r="N100" s="3">
        <f>IFERROR(IF(D100="DIA ÚTIL",INDEX(tblPessoas[R$/h útil],MATCH(E100,tblPessoas[ID],0)),INDEX(tblPessoas[R$/h FDS],MATCH(E100,tblPessoas[ID],0))),0)</f>
        <v>0</v>
      </c>
      <c r="O100" s="3">
        <f>IFERROR(INDEX(tblPessoas[R$/diária],MATCH(E100,tblPessoas[ID],0)),0)</f>
        <v>0</v>
      </c>
      <c r="P100" s="3" t="str">
        <f t="shared" si="6"/>
        <v/>
      </c>
      <c r="Q100" t="str">
        <f>IF(A100="","",IF(COUNTIF(tblBatidas[Início vinculado],"B"&amp;MID($A100,2,99))=0,"EM ABERTO",IF(OR(COUNTIF(tblBatidas[Início vinculado],"B"&amp;MID($A100,2,99))&gt;1,K100&lt;0,K100&gt;16,INT(INDEX(tblBatidas[Data e hora],MATCH("B"&amp;MID($A100,2,99),tblBatidas[Início vinculado],0)))&lt;&gt;B100,INDEX(tblBatidas[ID],MATCH("B"&amp;MID($A100,2,99),tblBatidas[Início vinculado],0))&lt;&gt;E100,INDEX(tblBatidas[Projeto],MATCH("B"&amp;MID($A100,2,99),tblBatidas[Início vinculado],0))&lt;&gt;G100,INDEX(tblBatidas[Atividade],MATCH("B"&amp;MID($A100,2,99),tblBatidas[Início vinculado],0))&lt;&gt;H100),"REVISAR","CONCLUÍDO")))</f>
        <v/>
      </c>
      <c r="R100">
        <f>IF(Q100&lt;&gt;"CONCLUÍDO",0,IF(COUNTIFS($E$5:E100,E100,$B$5:B100,B100,$Q$5:Q100,"CONCLUÍDO")=1,1,0))</f>
        <v>0</v>
      </c>
      <c r="S100" t="str">
        <f t="shared" si="7"/>
        <v/>
      </c>
      <c r="T100" t="str">
        <f>IF(E100="","",E100*100000+COUNTIFS(tblRegistros[ID],E100,tblRegistros[Data],"&lt;"&amp;B100)+COUNTIFS(tblRegistros[ID],E100,tblRegistros[Data],B100,tblRegistros[Início],"&lt;"&amp;I100)+COUNTIFS($E$5:E100,E100,$B$5:B100,B100,$I$5:I100,I100))</f>
        <v/>
      </c>
    </row>
    <row r="101" spans="2:20">
      <c r="B101" s="2" t="str">
        <f>IFERROR(INT(INDEX(tblBatidas[Data e hora],MATCH("B"&amp;MID($A101,2,99),tblBatidas[Batida ID],0))),"")</f>
        <v/>
      </c>
      <c r="C101" t="str">
        <f t="shared" si="4"/>
        <v/>
      </c>
      <c r="D101" t="str">
        <f t="shared" si="5"/>
        <v/>
      </c>
      <c r="E101" t="str">
        <f>IFERROR(INDEX(tblBatidas[ID],MATCH("B"&amp;MID($A101,2,99),tblBatidas[Batida ID],0)),"")</f>
        <v/>
      </c>
      <c r="F101" t="str">
        <f>IFERROR(INDEX(tblPessoas[Pessoa],MATCH(E101,tblPessoas[ID],0)),"")</f>
        <v/>
      </c>
      <c r="G101" t="str">
        <f>IFERROR(INDEX(tblBatidas[Projeto],MATCH("B"&amp;MID($A101,2,99),tblBatidas[Batida ID],0)),"")</f>
        <v/>
      </c>
      <c r="H101" t="str">
        <f>IFERROR(INDEX(tblBatidas[Atividade],MATCH("B"&amp;MID($A101,2,99),tblBatidas[Batida ID],0)),"")</f>
        <v/>
      </c>
      <c r="I101" s="4" t="str">
        <f>IFERROR(MOD(INDEX(tblBatidas[Data e hora],MATCH("B"&amp;MID($A101,2,99),tblBatidas[Batida ID],0)),1),"")</f>
        <v/>
      </c>
      <c r="J101" s="4" t="str">
        <f>IFERROR(MOD(INDEX(tblBatidas[Data e hora],MATCH("B"&amp;MID($A101,2,99),tblBatidas[Início vinculado],0)),1),"")</f>
        <v/>
      </c>
      <c r="K101" s="14" t="str">
        <f>IFERROR((INDEX(tblBatidas[Data e hora],MATCH("B"&amp;MID($A101,2,99),tblBatidas[Início vinculado],0))-INDEX(tblBatidas[Data e hora],MATCH("B"&amp;MID($A101,2,99),tblBatidas[Batida ID],0)))*24,"")</f>
        <v/>
      </c>
      <c r="L101" t="str">
        <f>IFERROR(INDEX(tblBatidas[Observação],MATCH("B"&amp;MID($A101,2,99),tblBatidas[Início vinculado],0)),"")</f>
        <v/>
      </c>
      <c r="M101" t="str">
        <f>IFERROR(INDEX(tblPessoas[Base],MATCH(E101,tblPessoas[ID],0)),"")</f>
        <v/>
      </c>
      <c r="N101" s="3">
        <f>IFERROR(IF(D101="DIA ÚTIL",INDEX(tblPessoas[R$/h útil],MATCH(E101,tblPessoas[ID],0)),INDEX(tblPessoas[R$/h FDS],MATCH(E101,tblPessoas[ID],0))),0)</f>
        <v>0</v>
      </c>
      <c r="O101" s="3">
        <f>IFERROR(INDEX(tblPessoas[R$/diária],MATCH(E101,tblPessoas[ID],0)),0)</f>
        <v>0</v>
      </c>
      <c r="P101" s="3" t="str">
        <f t="shared" si="6"/>
        <v/>
      </c>
      <c r="Q101" t="str">
        <f>IF(A101="","",IF(COUNTIF(tblBatidas[Início vinculado],"B"&amp;MID($A101,2,99))=0,"EM ABERTO",IF(OR(COUNTIF(tblBatidas[Início vinculado],"B"&amp;MID($A101,2,99))&gt;1,K101&lt;0,K101&gt;16,INT(INDEX(tblBatidas[Data e hora],MATCH("B"&amp;MID($A101,2,99),tblBatidas[Início vinculado],0)))&lt;&gt;B101,INDEX(tblBatidas[ID],MATCH("B"&amp;MID($A101,2,99),tblBatidas[Início vinculado],0))&lt;&gt;E101,INDEX(tblBatidas[Projeto],MATCH("B"&amp;MID($A101,2,99),tblBatidas[Início vinculado],0))&lt;&gt;G101,INDEX(tblBatidas[Atividade],MATCH("B"&amp;MID($A101,2,99),tblBatidas[Início vinculado],0))&lt;&gt;H101),"REVISAR","CONCLUÍDO")))</f>
        <v/>
      </c>
      <c r="R101">
        <f>IF(Q101&lt;&gt;"CONCLUÍDO",0,IF(COUNTIFS($E$5:E101,E101,$B$5:B101,B101,$Q$5:Q101,"CONCLUÍDO")=1,1,0))</f>
        <v>0</v>
      </c>
      <c r="S101" t="str">
        <f t="shared" si="7"/>
        <v/>
      </c>
      <c r="T101" t="str">
        <f>IF(E101="","",E101*100000+COUNTIFS(tblRegistros[ID],E101,tblRegistros[Data],"&lt;"&amp;B101)+COUNTIFS(tblRegistros[ID],E101,tblRegistros[Data],B101,tblRegistros[Início],"&lt;"&amp;I101)+COUNTIFS($E$5:E101,E101,$B$5:B101,B101,$I$5:I101,I101))</f>
        <v/>
      </c>
    </row>
    <row r="102" spans="2:20">
      <c r="B102" s="2" t="str">
        <f>IFERROR(INT(INDEX(tblBatidas[Data e hora],MATCH("B"&amp;MID($A102,2,99),tblBatidas[Batida ID],0))),"")</f>
        <v/>
      </c>
      <c r="C102" t="str">
        <f t="shared" si="4"/>
        <v/>
      </c>
      <c r="D102" t="str">
        <f t="shared" si="5"/>
        <v/>
      </c>
      <c r="E102" t="str">
        <f>IFERROR(INDEX(tblBatidas[ID],MATCH("B"&amp;MID($A102,2,99),tblBatidas[Batida ID],0)),"")</f>
        <v/>
      </c>
      <c r="F102" t="str">
        <f>IFERROR(INDEX(tblPessoas[Pessoa],MATCH(E102,tblPessoas[ID],0)),"")</f>
        <v/>
      </c>
      <c r="G102" t="str">
        <f>IFERROR(INDEX(tblBatidas[Projeto],MATCH("B"&amp;MID($A102,2,99),tblBatidas[Batida ID],0)),"")</f>
        <v/>
      </c>
      <c r="H102" t="str">
        <f>IFERROR(INDEX(tblBatidas[Atividade],MATCH("B"&amp;MID($A102,2,99),tblBatidas[Batida ID],0)),"")</f>
        <v/>
      </c>
      <c r="I102" s="4" t="str">
        <f>IFERROR(MOD(INDEX(tblBatidas[Data e hora],MATCH("B"&amp;MID($A102,2,99),tblBatidas[Batida ID],0)),1),"")</f>
        <v/>
      </c>
      <c r="J102" s="4" t="str">
        <f>IFERROR(MOD(INDEX(tblBatidas[Data e hora],MATCH("B"&amp;MID($A102,2,99),tblBatidas[Início vinculado],0)),1),"")</f>
        <v/>
      </c>
      <c r="K102" s="14" t="str">
        <f>IFERROR((INDEX(tblBatidas[Data e hora],MATCH("B"&amp;MID($A102,2,99),tblBatidas[Início vinculado],0))-INDEX(tblBatidas[Data e hora],MATCH("B"&amp;MID($A102,2,99),tblBatidas[Batida ID],0)))*24,"")</f>
        <v/>
      </c>
      <c r="L102" t="str">
        <f>IFERROR(INDEX(tblBatidas[Observação],MATCH("B"&amp;MID($A102,2,99),tblBatidas[Início vinculado],0)),"")</f>
        <v/>
      </c>
      <c r="M102" t="str">
        <f>IFERROR(INDEX(tblPessoas[Base],MATCH(E102,tblPessoas[ID],0)),"")</f>
        <v/>
      </c>
      <c r="N102" s="3">
        <f>IFERROR(IF(D102="DIA ÚTIL",INDEX(tblPessoas[R$/h útil],MATCH(E102,tblPessoas[ID],0)),INDEX(tblPessoas[R$/h FDS],MATCH(E102,tblPessoas[ID],0))),0)</f>
        <v>0</v>
      </c>
      <c r="O102" s="3">
        <f>IFERROR(INDEX(tblPessoas[R$/diária],MATCH(E102,tblPessoas[ID],0)),0)</f>
        <v>0</v>
      </c>
      <c r="P102" s="3" t="str">
        <f t="shared" si="6"/>
        <v/>
      </c>
      <c r="Q102" t="str">
        <f>IF(A102="","",IF(COUNTIF(tblBatidas[Início vinculado],"B"&amp;MID($A102,2,99))=0,"EM ABERTO",IF(OR(COUNTIF(tblBatidas[Início vinculado],"B"&amp;MID($A102,2,99))&gt;1,K102&lt;0,K102&gt;16,INT(INDEX(tblBatidas[Data e hora],MATCH("B"&amp;MID($A102,2,99),tblBatidas[Início vinculado],0)))&lt;&gt;B102,INDEX(tblBatidas[ID],MATCH("B"&amp;MID($A102,2,99),tblBatidas[Início vinculado],0))&lt;&gt;E102,INDEX(tblBatidas[Projeto],MATCH("B"&amp;MID($A102,2,99),tblBatidas[Início vinculado],0))&lt;&gt;G102,INDEX(tblBatidas[Atividade],MATCH("B"&amp;MID($A102,2,99),tblBatidas[Início vinculado],0))&lt;&gt;H102),"REVISAR","CONCLUÍDO")))</f>
        <v/>
      </c>
      <c r="R102">
        <f>IF(Q102&lt;&gt;"CONCLUÍDO",0,IF(COUNTIFS($E$5:E102,E102,$B$5:B102,B102,$Q$5:Q102,"CONCLUÍDO")=1,1,0))</f>
        <v>0</v>
      </c>
      <c r="S102" t="str">
        <f t="shared" si="7"/>
        <v/>
      </c>
      <c r="T102" t="str">
        <f>IF(E102="","",E102*100000+COUNTIFS(tblRegistros[ID],E102,tblRegistros[Data],"&lt;"&amp;B102)+COUNTIFS(tblRegistros[ID],E102,tblRegistros[Data],B102,tblRegistros[Início],"&lt;"&amp;I102)+COUNTIFS($E$5:E102,E102,$B$5:B102,B102,$I$5:I102,I102))</f>
        <v/>
      </c>
    </row>
    <row r="103" spans="2:20">
      <c r="B103" s="2" t="str">
        <f>IFERROR(INT(INDEX(tblBatidas[Data e hora],MATCH("B"&amp;MID($A103,2,99),tblBatidas[Batida ID],0))),"")</f>
        <v/>
      </c>
      <c r="C103" t="str">
        <f t="shared" si="4"/>
        <v/>
      </c>
      <c r="D103" t="str">
        <f t="shared" si="5"/>
        <v/>
      </c>
      <c r="E103" t="str">
        <f>IFERROR(INDEX(tblBatidas[ID],MATCH("B"&amp;MID($A103,2,99),tblBatidas[Batida ID],0)),"")</f>
        <v/>
      </c>
      <c r="F103" t="str">
        <f>IFERROR(INDEX(tblPessoas[Pessoa],MATCH(E103,tblPessoas[ID],0)),"")</f>
        <v/>
      </c>
      <c r="G103" t="str">
        <f>IFERROR(INDEX(tblBatidas[Projeto],MATCH("B"&amp;MID($A103,2,99),tblBatidas[Batida ID],0)),"")</f>
        <v/>
      </c>
      <c r="H103" t="str">
        <f>IFERROR(INDEX(tblBatidas[Atividade],MATCH("B"&amp;MID($A103,2,99),tblBatidas[Batida ID],0)),"")</f>
        <v/>
      </c>
      <c r="I103" s="4" t="str">
        <f>IFERROR(MOD(INDEX(tblBatidas[Data e hora],MATCH("B"&amp;MID($A103,2,99),tblBatidas[Batida ID],0)),1),"")</f>
        <v/>
      </c>
      <c r="J103" s="4" t="str">
        <f>IFERROR(MOD(INDEX(tblBatidas[Data e hora],MATCH("B"&amp;MID($A103,2,99),tblBatidas[Início vinculado],0)),1),"")</f>
        <v/>
      </c>
      <c r="K103" s="14" t="str">
        <f>IFERROR((INDEX(tblBatidas[Data e hora],MATCH("B"&amp;MID($A103,2,99),tblBatidas[Início vinculado],0))-INDEX(tblBatidas[Data e hora],MATCH("B"&amp;MID($A103,2,99),tblBatidas[Batida ID],0)))*24,"")</f>
        <v/>
      </c>
      <c r="L103" t="str">
        <f>IFERROR(INDEX(tblBatidas[Observação],MATCH("B"&amp;MID($A103,2,99),tblBatidas[Início vinculado],0)),"")</f>
        <v/>
      </c>
      <c r="M103" t="str">
        <f>IFERROR(INDEX(tblPessoas[Base],MATCH(E103,tblPessoas[ID],0)),"")</f>
        <v/>
      </c>
      <c r="N103" s="3">
        <f>IFERROR(IF(D103="DIA ÚTIL",INDEX(tblPessoas[R$/h útil],MATCH(E103,tblPessoas[ID],0)),INDEX(tblPessoas[R$/h FDS],MATCH(E103,tblPessoas[ID],0))),0)</f>
        <v>0</v>
      </c>
      <c r="O103" s="3">
        <f>IFERROR(INDEX(tblPessoas[R$/diária],MATCH(E103,tblPessoas[ID],0)),0)</f>
        <v>0</v>
      </c>
      <c r="P103" s="3" t="str">
        <f t="shared" si="6"/>
        <v/>
      </c>
      <c r="Q103" t="str">
        <f>IF(A103="","",IF(COUNTIF(tblBatidas[Início vinculado],"B"&amp;MID($A103,2,99))=0,"EM ABERTO",IF(OR(COUNTIF(tblBatidas[Início vinculado],"B"&amp;MID($A103,2,99))&gt;1,K103&lt;0,K103&gt;16,INT(INDEX(tblBatidas[Data e hora],MATCH("B"&amp;MID($A103,2,99),tblBatidas[Início vinculado],0)))&lt;&gt;B103,INDEX(tblBatidas[ID],MATCH("B"&amp;MID($A103,2,99),tblBatidas[Início vinculado],0))&lt;&gt;E103,INDEX(tblBatidas[Projeto],MATCH("B"&amp;MID($A103,2,99),tblBatidas[Início vinculado],0))&lt;&gt;G103,INDEX(tblBatidas[Atividade],MATCH("B"&amp;MID($A103,2,99),tblBatidas[Início vinculado],0))&lt;&gt;H103),"REVISAR","CONCLUÍDO")))</f>
        <v/>
      </c>
      <c r="R103">
        <f>IF(Q103&lt;&gt;"CONCLUÍDO",0,IF(COUNTIFS($E$5:E103,E103,$B$5:B103,B103,$Q$5:Q103,"CONCLUÍDO")=1,1,0))</f>
        <v>0</v>
      </c>
      <c r="S103" t="str">
        <f t="shared" si="7"/>
        <v/>
      </c>
      <c r="T103" t="str">
        <f>IF(E103="","",E103*100000+COUNTIFS(tblRegistros[ID],E103,tblRegistros[Data],"&lt;"&amp;B103)+COUNTIFS(tblRegistros[ID],E103,tblRegistros[Data],B103,tblRegistros[Início],"&lt;"&amp;I103)+COUNTIFS($E$5:E103,E103,$B$5:B103,B103,$I$5:I103,I103))</f>
        <v/>
      </c>
    </row>
    <row r="104" spans="2:20">
      <c r="B104" s="2" t="str">
        <f>IFERROR(INT(INDEX(tblBatidas[Data e hora],MATCH("B"&amp;MID($A104,2,99),tblBatidas[Batida ID],0))),"")</f>
        <v/>
      </c>
      <c r="C104" t="str">
        <f t="shared" si="4"/>
        <v/>
      </c>
      <c r="D104" t="str">
        <f t="shared" si="5"/>
        <v/>
      </c>
      <c r="E104" t="str">
        <f>IFERROR(INDEX(tblBatidas[ID],MATCH("B"&amp;MID($A104,2,99),tblBatidas[Batida ID],0)),"")</f>
        <v/>
      </c>
      <c r="F104" t="str">
        <f>IFERROR(INDEX(tblPessoas[Pessoa],MATCH(E104,tblPessoas[ID],0)),"")</f>
        <v/>
      </c>
      <c r="G104" t="str">
        <f>IFERROR(INDEX(tblBatidas[Projeto],MATCH("B"&amp;MID($A104,2,99),tblBatidas[Batida ID],0)),"")</f>
        <v/>
      </c>
      <c r="H104" t="str">
        <f>IFERROR(INDEX(tblBatidas[Atividade],MATCH("B"&amp;MID($A104,2,99),tblBatidas[Batida ID],0)),"")</f>
        <v/>
      </c>
      <c r="I104" s="4" t="str">
        <f>IFERROR(MOD(INDEX(tblBatidas[Data e hora],MATCH("B"&amp;MID($A104,2,99),tblBatidas[Batida ID],0)),1),"")</f>
        <v/>
      </c>
      <c r="J104" s="4" t="str">
        <f>IFERROR(MOD(INDEX(tblBatidas[Data e hora],MATCH("B"&amp;MID($A104,2,99),tblBatidas[Início vinculado],0)),1),"")</f>
        <v/>
      </c>
      <c r="K104" s="14" t="str">
        <f>IFERROR((INDEX(tblBatidas[Data e hora],MATCH("B"&amp;MID($A104,2,99),tblBatidas[Início vinculado],0))-INDEX(tblBatidas[Data e hora],MATCH("B"&amp;MID($A104,2,99),tblBatidas[Batida ID],0)))*24,"")</f>
        <v/>
      </c>
      <c r="L104" t="str">
        <f>IFERROR(INDEX(tblBatidas[Observação],MATCH("B"&amp;MID($A104,2,99),tblBatidas[Início vinculado],0)),"")</f>
        <v/>
      </c>
      <c r="M104" t="str">
        <f>IFERROR(INDEX(tblPessoas[Base],MATCH(E104,tblPessoas[ID],0)),"")</f>
        <v/>
      </c>
      <c r="N104" s="3">
        <f>IFERROR(IF(D104="DIA ÚTIL",INDEX(tblPessoas[R$/h útil],MATCH(E104,tblPessoas[ID],0)),INDEX(tblPessoas[R$/h FDS],MATCH(E104,tblPessoas[ID],0))),0)</f>
        <v>0</v>
      </c>
      <c r="O104" s="3">
        <f>IFERROR(INDEX(tblPessoas[R$/diária],MATCH(E104,tblPessoas[ID],0)),0)</f>
        <v>0</v>
      </c>
      <c r="P104" s="3" t="str">
        <f t="shared" si="6"/>
        <v/>
      </c>
      <c r="Q104" t="str">
        <f>IF(A104="","",IF(COUNTIF(tblBatidas[Início vinculado],"B"&amp;MID($A104,2,99))=0,"EM ABERTO",IF(OR(COUNTIF(tblBatidas[Início vinculado],"B"&amp;MID($A104,2,99))&gt;1,K104&lt;0,K104&gt;16,INT(INDEX(tblBatidas[Data e hora],MATCH("B"&amp;MID($A104,2,99),tblBatidas[Início vinculado],0)))&lt;&gt;B104,INDEX(tblBatidas[ID],MATCH("B"&amp;MID($A104,2,99),tblBatidas[Início vinculado],0))&lt;&gt;E104,INDEX(tblBatidas[Projeto],MATCH("B"&amp;MID($A104,2,99),tblBatidas[Início vinculado],0))&lt;&gt;G104,INDEX(tblBatidas[Atividade],MATCH("B"&amp;MID($A104,2,99),tblBatidas[Início vinculado],0))&lt;&gt;H104),"REVISAR","CONCLUÍDO")))</f>
        <v/>
      </c>
      <c r="R104">
        <f>IF(Q104&lt;&gt;"CONCLUÍDO",0,IF(COUNTIFS($E$5:E104,E104,$B$5:B104,B104,$Q$5:Q104,"CONCLUÍDO")=1,1,0))</f>
        <v>0</v>
      </c>
      <c r="S104" t="str">
        <f t="shared" si="7"/>
        <v/>
      </c>
      <c r="T104" t="str">
        <f>IF(E104="","",E104*100000+COUNTIFS(tblRegistros[ID],E104,tblRegistros[Data],"&lt;"&amp;B104)+COUNTIFS(tblRegistros[ID],E104,tblRegistros[Data],B104,tblRegistros[Início],"&lt;"&amp;I104)+COUNTIFS($E$5:E104,E104,$B$5:B104,B104,$I$5:I104,I104))</f>
        <v/>
      </c>
    </row>
    <row r="105" spans="2:20">
      <c r="B105" s="2" t="str">
        <f>IFERROR(INT(INDEX(tblBatidas[Data e hora],MATCH("B"&amp;MID($A105,2,99),tblBatidas[Batida ID],0))),"")</f>
        <v/>
      </c>
      <c r="C105" t="str">
        <f t="shared" si="4"/>
        <v/>
      </c>
      <c r="D105" t="str">
        <f t="shared" si="5"/>
        <v/>
      </c>
      <c r="E105" t="str">
        <f>IFERROR(INDEX(tblBatidas[ID],MATCH("B"&amp;MID($A105,2,99),tblBatidas[Batida ID],0)),"")</f>
        <v/>
      </c>
      <c r="F105" t="str">
        <f>IFERROR(INDEX(tblPessoas[Pessoa],MATCH(E105,tblPessoas[ID],0)),"")</f>
        <v/>
      </c>
      <c r="G105" t="str">
        <f>IFERROR(INDEX(tblBatidas[Projeto],MATCH("B"&amp;MID($A105,2,99),tblBatidas[Batida ID],0)),"")</f>
        <v/>
      </c>
      <c r="H105" t="str">
        <f>IFERROR(INDEX(tblBatidas[Atividade],MATCH("B"&amp;MID($A105,2,99),tblBatidas[Batida ID],0)),"")</f>
        <v/>
      </c>
      <c r="I105" s="4" t="str">
        <f>IFERROR(MOD(INDEX(tblBatidas[Data e hora],MATCH("B"&amp;MID($A105,2,99),tblBatidas[Batida ID],0)),1),"")</f>
        <v/>
      </c>
      <c r="J105" s="4" t="str">
        <f>IFERROR(MOD(INDEX(tblBatidas[Data e hora],MATCH("B"&amp;MID($A105,2,99),tblBatidas[Início vinculado],0)),1),"")</f>
        <v/>
      </c>
      <c r="K105" s="14" t="str">
        <f>IFERROR((INDEX(tblBatidas[Data e hora],MATCH("B"&amp;MID($A105,2,99),tblBatidas[Início vinculado],0))-INDEX(tblBatidas[Data e hora],MATCH("B"&amp;MID($A105,2,99),tblBatidas[Batida ID],0)))*24,"")</f>
        <v/>
      </c>
      <c r="L105" t="str">
        <f>IFERROR(INDEX(tblBatidas[Observação],MATCH("B"&amp;MID($A105,2,99),tblBatidas[Início vinculado],0)),"")</f>
        <v/>
      </c>
      <c r="M105" t="str">
        <f>IFERROR(INDEX(tblPessoas[Base],MATCH(E105,tblPessoas[ID],0)),"")</f>
        <v/>
      </c>
      <c r="N105" s="3">
        <f>IFERROR(IF(D105="DIA ÚTIL",INDEX(tblPessoas[R$/h útil],MATCH(E105,tblPessoas[ID],0)),INDEX(tblPessoas[R$/h FDS],MATCH(E105,tblPessoas[ID],0))),0)</f>
        <v>0</v>
      </c>
      <c r="O105" s="3">
        <f>IFERROR(INDEX(tblPessoas[R$/diária],MATCH(E105,tblPessoas[ID],0)),0)</f>
        <v>0</v>
      </c>
      <c r="P105" s="3" t="str">
        <f t="shared" si="6"/>
        <v/>
      </c>
      <c r="Q105" t="str">
        <f>IF(A105="","",IF(COUNTIF(tblBatidas[Início vinculado],"B"&amp;MID($A105,2,99))=0,"EM ABERTO",IF(OR(COUNTIF(tblBatidas[Início vinculado],"B"&amp;MID($A105,2,99))&gt;1,K105&lt;0,K105&gt;16,INT(INDEX(tblBatidas[Data e hora],MATCH("B"&amp;MID($A105,2,99),tblBatidas[Início vinculado],0)))&lt;&gt;B105,INDEX(tblBatidas[ID],MATCH("B"&amp;MID($A105,2,99),tblBatidas[Início vinculado],0))&lt;&gt;E105,INDEX(tblBatidas[Projeto],MATCH("B"&amp;MID($A105,2,99),tblBatidas[Início vinculado],0))&lt;&gt;G105,INDEX(tblBatidas[Atividade],MATCH("B"&amp;MID($A105,2,99),tblBatidas[Início vinculado],0))&lt;&gt;H105),"REVISAR","CONCLUÍDO")))</f>
        <v/>
      </c>
      <c r="R105">
        <f>IF(Q105&lt;&gt;"CONCLUÍDO",0,IF(COUNTIFS($E$5:E105,E105,$B$5:B105,B105,$Q$5:Q105,"CONCLUÍDO")=1,1,0))</f>
        <v>0</v>
      </c>
      <c r="S105" t="str">
        <f t="shared" si="7"/>
        <v/>
      </c>
      <c r="T105" t="str">
        <f>IF(E105="","",E105*100000+COUNTIFS(tblRegistros[ID],E105,tblRegistros[Data],"&lt;"&amp;B105)+COUNTIFS(tblRegistros[ID],E105,tblRegistros[Data],B105,tblRegistros[Início],"&lt;"&amp;I105)+COUNTIFS($E$5:E105,E105,$B$5:B105,B105,$I$5:I105,I105))</f>
        <v/>
      </c>
    </row>
    <row r="106" spans="2:20">
      <c r="B106" s="2" t="str">
        <f>IFERROR(INT(INDEX(tblBatidas[Data e hora],MATCH("B"&amp;MID($A106,2,99),tblBatidas[Batida ID],0))),"")</f>
        <v/>
      </c>
      <c r="C106" t="str">
        <f t="shared" si="4"/>
        <v/>
      </c>
      <c r="D106" t="str">
        <f t="shared" si="5"/>
        <v/>
      </c>
      <c r="E106" t="str">
        <f>IFERROR(INDEX(tblBatidas[ID],MATCH("B"&amp;MID($A106,2,99),tblBatidas[Batida ID],0)),"")</f>
        <v/>
      </c>
      <c r="F106" t="str">
        <f>IFERROR(INDEX(tblPessoas[Pessoa],MATCH(E106,tblPessoas[ID],0)),"")</f>
        <v/>
      </c>
      <c r="G106" t="str">
        <f>IFERROR(INDEX(tblBatidas[Projeto],MATCH("B"&amp;MID($A106,2,99),tblBatidas[Batida ID],0)),"")</f>
        <v/>
      </c>
      <c r="H106" t="str">
        <f>IFERROR(INDEX(tblBatidas[Atividade],MATCH("B"&amp;MID($A106,2,99),tblBatidas[Batida ID],0)),"")</f>
        <v/>
      </c>
      <c r="I106" s="4" t="str">
        <f>IFERROR(MOD(INDEX(tblBatidas[Data e hora],MATCH("B"&amp;MID($A106,2,99),tblBatidas[Batida ID],0)),1),"")</f>
        <v/>
      </c>
      <c r="J106" s="4" t="str">
        <f>IFERROR(MOD(INDEX(tblBatidas[Data e hora],MATCH("B"&amp;MID($A106,2,99),tblBatidas[Início vinculado],0)),1),"")</f>
        <v/>
      </c>
      <c r="K106" s="14" t="str">
        <f>IFERROR((INDEX(tblBatidas[Data e hora],MATCH("B"&amp;MID($A106,2,99),tblBatidas[Início vinculado],0))-INDEX(tblBatidas[Data e hora],MATCH("B"&amp;MID($A106,2,99),tblBatidas[Batida ID],0)))*24,"")</f>
        <v/>
      </c>
      <c r="L106" t="str">
        <f>IFERROR(INDEX(tblBatidas[Observação],MATCH("B"&amp;MID($A106,2,99),tblBatidas[Início vinculado],0)),"")</f>
        <v/>
      </c>
      <c r="M106" t="str">
        <f>IFERROR(INDEX(tblPessoas[Base],MATCH(E106,tblPessoas[ID],0)),"")</f>
        <v/>
      </c>
      <c r="N106" s="3">
        <f>IFERROR(IF(D106="DIA ÚTIL",INDEX(tblPessoas[R$/h útil],MATCH(E106,tblPessoas[ID],0)),INDEX(tblPessoas[R$/h FDS],MATCH(E106,tblPessoas[ID],0))),0)</f>
        <v>0</v>
      </c>
      <c r="O106" s="3">
        <f>IFERROR(INDEX(tblPessoas[R$/diária],MATCH(E106,tblPessoas[ID],0)),0)</f>
        <v>0</v>
      </c>
      <c r="P106" s="3" t="str">
        <f t="shared" si="6"/>
        <v/>
      </c>
      <c r="Q106" t="str">
        <f>IF(A106="","",IF(COUNTIF(tblBatidas[Início vinculado],"B"&amp;MID($A106,2,99))=0,"EM ABERTO",IF(OR(COUNTIF(tblBatidas[Início vinculado],"B"&amp;MID($A106,2,99))&gt;1,K106&lt;0,K106&gt;16,INT(INDEX(tblBatidas[Data e hora],MATCH("B"&amp;MID($A106,2,99),tblBatidas[Início vinculado],0)))&lt;&gt;B106,INDEX(tblBatidas[ID],MATCH("B"&amp;MID($A106,2,99),tblBatidas[Início vinculado],0))&lt;&gt;E106,INDEX(tblBatidas[Projeto],MATCH("B"&amp;MID($A106,2,99),tblBatidas[Início vinculado],0))&lt;&gt;G106,INDEX(tblBatidas[Atividade],MATCH("B"&amp;MID($A106,2,99),tblBatidas[Início vinculado],0))&lt;&gt;H106),"REVISAR","CONCLUÍDO")))</f>
        <v/>
      </c>
      <c r="R106">
        <f>IF(Q106&lt;&gt;"CONCLUÍDO",0,IF(COUNTIFS($E$5:E106,E106,$B$5:B106,B106,$Q$5:Q106,"CONCLUÍDO")=1,1,0))</f>
        <v>0</v>
      </c>
      <c r="S106" t="str">
        <f t="shared" si="7"/>
        <v/>
      </c>
      <c r="T106" t="str">
        <f>IF(E106="","",E106*100000+COUNTIFS(tblRegistros[ID],E106,tblRegistros[Data],"&lt;"&amp;B106)+COUNTIFS(tblRegistros[ID],E106,tblRegistros[Data],B106,tblRegistros[Início],"&lt;"&amp;I106)+COUNTIFS($E$5:E106,E106,$B$5:B106,B106,$I$5:I106,I106))</f>
        <v/>
      </c>
    </row>
    <row r="107" spans="2:20">
      <c r="B107" s="2" t="str">
        <f>IFERROR(INT(INDEX(tblBatidas[Data e hora],MATCH("B"&amp;MID($A107,2,99),tblBatidas[Batida ID],0))),"")</f>
        <v/>
      </c>
      <c r="C107" t="str">
        <f t="shared" si="4"/>
        <v/>
      </c>
      <c r="D107" t="str">
        <f t="shared" si="5"/>
        <v/>
      </c>
      <c r="E107" t="str">
        <f>IFERROR(INDEX(tblBatidas[ID],MATCH("B"&amp;MID($A107,2,99),tblBatidas[Batida ID],0)),"")</f>
        <v/>
      </c>
      <c r="F107" t="str">
        <f>IFERROR(INDEX(tblPessoas[Pessoa],MATCH(E107,tblPessoas[ID],0)),"")</f>
        <v/>
      </c>
      <c r="G107" t="str">
        <f>IFERROR(INDEX(tblBatidas[Projeto],MATCH("B"&amp;MID($A107,2,99),tblBatidas[Batida ID],0)),"")</f>
        <v/>
      </c>
      <c r="H107" t="str">
        <f>IFERROR(INDEX(tblBatidas[Atividade],MATCH("B"&amp;MID($A107,2,99),tblBatidas[Batida ID],0)),"")</f>
        <v/>
      </c>
      <c r="I107" s="4" t="str">
        <f>IFERROR(MOD(INDEX(tblBatidas[Data e hora],MATCH("B"&amp;MID($A107,2,99),tblBatidas[Batida ID],0)),1),"")</f>
        <v/>
      </c>
      <c r="J107" s="4" t="str">
        <f>IFERROR(MOD(INDEX(tblBatidas[Data e hora],MATCH("B"&amp;MID($A107,2,99),tblBatidas[Início vinculado],0)),1),"")</f>
        <v/>
      </c>
      <c r="K107" s="14" t="str">
        <f>IFERROR((INDEX(tblBatidas[Data e hora],MATCH("B"&amp;MID($A107,2,99),tblBatidas[Início vinculado],0))-INDEX(tblBatidas[Data e hora],MATCH("B"&amp;MID($A107,2,99),tblBatidas[Batida ID],0)))*24,"")</f>
        <v/>
      </c>
      <c r="L107" t="str">
        <f>IFERROR(INDEX(tblBatidas[Observação],MATCH("B"&amp;MID($A107,2,99),tblBatidas[Início vinculado],0)),"")</f>
        <v/>
      </c>
      <c r="M107" t="str">
        <f>IFERROR(INDEX(tblPessoas[Base],MATCH(E107,tblPessoas[ID],0)),"")</f>
        <v/>
      </c>
      <c r="N107" s="3">
        <f>IFERROR(IF(D107="DIA ÚTIL",INDEX(tblPessoas[R$/h útil],MATCH(E107,tblPessoas[ID],0)),INDEX(tblPessoas[R$/h FDS],MATCH(E107,tblPessoas[ID],0))),0)</f>
        <v>0</v>
      </c>
      <c r="O107" s="3">
        <f>IFERROR(INDEX(tblPessoas[R$/diária],MATCH(E107,tblPessoas[ID],0)),0)</f>
        <v>0</v>
      </c>
      <c r="P107" s="3" t="str">
        <f t="shared" si="6"/>
        <v/>
      </c>
      <c r="Q107" t="str">
        <f>IF(A107="","",IF(COUNTIF(tblBatidas[Início vinculado],"B"&amp;MID($A107,2,99))=0,"EM ABERTO",IF(OR(COUNTIF(tblBatidas[Início vinculado],"B"&amp;MID($A107,2,99))&gt;1,K107&lt;0,K107&gt;16,INT(INDEX(tblBatidas[Data e hora],MATCH("B"&amp;MID($A107,2,99),tblBatidas[Início vinculado],0)))&lt;&gt;B107,INDEX(tblBatidas[ID],MATCH("B"&amp;MID($A107,2,99),tblBatidas[Início vinculado],0))&lt;&gt;E107,INDEX(tblBatidas[Projeto],MATCH("B"&amp;MID($A107,2,99),tblBatidas[Início vinculado],0))&lt;&gt;G107,INDEX(tblBatidas[Atividade],MATCH("B"&amp;MID($A107,2,99),tblBatidas[Início vinculado],0))&lt;&gt;H107),"REVISAR","CONCLUÍDO")))</f>
        <v/>
      </c>
      <c r="R107">
        <f>IF(Q107&lt;&gt;"CONCLUÍDO",0,IF(COUNTIFS($E$5:E107,E107,$B$5:B107,B107,$Q$5:Q107,"CONCLUÍDO")=1,1,0))</f>
        <v>0</v>
      </c>
      <c r="S107" t="str">
        <f t="shared" si="7"/>
        <v/>
      </c>
      <c r="T107" t="str">
        <f>IF(E107="","",E107*100000+COUNTIFS(tblRegistros[ID],E107,tblRegistros[Data],"&lt;"&amp;B107)+COUNTIFS(tblRegistros[ID],E107,tblRegistros[Data],B107,tblRegistros[Início],"&lt;"&amp;I107)+COUNTIFS($E$5:E107,E107,$B$5:B107,B107,$I$5:I107,I107))</f>
        <v/>
      </c>
    </row>
    <row r="108" spans="2:20">
      <c r="B108" s="2" t="str">
        <f>IFERROR(INT(INDEX(tblBatidas[Data e hora],MATCH("B"&amp;MID($A108,2,99),tblBatidas[Batida ID],0))),"")</f>
        <v/>
      </c>
      <c r="C108" t="str">
        <f t="shared" si="4"/>
        <v/>
      </c>
      <c r="D108" t="str">
        <f t="shared" si="5"/>
        <v/>
      </c>
      <c r="E108" t="str">
        <f>IFERROR(INDEX(tblBatidas[ID],MATCH("B"&amp;MID($A108,2,99),tblBatidas[Batida ID],0)),"")</f>
        <v/>
      </c>
      <c r="F108" t="str">
        <f>IFERROR(INDEX(tblPessoas[Pessoa],MATCH(E108,tblPessoas[ID],0)),"")</f>
        <v/>
      </c>
      <c r="G108" t="str">
        <f>IFERROR(INDEX(tblBatidas[Projeto],MATCH("B"&amp;MID($A108,2,99),tblBatidas[Batida ID],0)),"")</f>
        <v/>
      </c>
      <c r="H108" t="str">
        <f>IFERROR(INDEX(tblBatidas[Atividade],MATCH("B"&amp;MID($A108,2,99),tblBatidas[Batida ID],0)),"")</f>
        <v/>
      </c>
      <c r="I108" s="4" t="str">
        <f>IFERROR(MOD(INDEX(tblBatidas[Data e hora],MATCH("B"&amp;MID($A108,2,99),tblBatidas[Batida ID],0)),1),"")</f>
        <v/>
      </c>
      <c r="J108" s="4" t="str">
        <f>IFERROR(MOD(INDEX(tblBatidas[Data e hora],MATCH("B"&amp;MID($A108,2,99),tblBatidas[Início vinculado],0)),1),"")</f>
        <v/>
      </c>
      <c r="K108" s="14" t="str">
        <f>IFERROR((INDEX(tblBatidas[Data e hora],MATCH("B"&amp;MID($A108,2,99),tblBatidas[Início vinculado],0))-INDEX(tblBatidas[Data e hora],MATCH("B"&amp;MID($A108,2,99),tblBatidas[Batida ID],0)))*24,"")</f>
        <v/>
      </c>
      <c r="L108" t="str">
        <f>IFERROR(INDEX(tblBatidas[Observação],MATCH("B"&amp;MID($A108,2,99),tblBatidas[Início vinculado],0)),"")</f>
        <v/>
      </c>
      <c r="M108" t="str">
        <f>IFERROR(INDEX(tblPessoas[Base],MATCH(E108,tblPessoas[ID],0)),"")</f>
        <v/>
      </c>
      <c r="N108" s="3">
        <f>IFERROR(IF(D108="DIA ÚTIL",INDEX(tblPessoas[R$/h útil],MATCH(E108,tblPessoas[ID],0)),INDEX(tblPessoas[R$/h FDS],MATCH(E108,tblPessoas[ID],0))),0)</f>
        <v>0</v>
      </c>
      <c r="O108" s="3">
        <f>IFERROR(INDEX(tblPessoas[R$/diária],MATCH(E108,tblPessoas[ID],0)),0)</f>
        <v>0</v>
      </c>
      <c r="P108" s="3" t="str">
        <f t="shared" si="6"/>
        <v/>
      </c>
      <c r="Q108" t="str">
        <f>IF(A108="","",IF(COUNTIF(tblBatidas[Início vinculado],"B"&amp;MID($A108,2,99))=0,"EM ABERTO",IF(OR(COUNTIF(tblBatidas[Início vinculado],"B"&amp;MID($A108,2,99))&gt;1,K108&lt;0,K108&gt;16,INT(INDEX(tblBatidas[Data e hora],MATCH("B"&amp;MID($A108,2,99),tblBatidas[Início vinculado],0)))&lt;&gt;B108,INDEX(tblBatidas[ID],MATCH("B"&amp;MID($A108,2,99),tblBatidas[Início vinculado],0))&lt;&gt;E108,INDEX(tblBatidas[Projeto],MATCH("B"&amp;MID($A108,2,99),tblBatidas[Início vinculado],0))&lt;&gt;G108,INDEX(tblBatidas[Atividade],MATCH("B"&amp;MID($A108,2,99),tblBatidas[Início vinculado],0))&lt;&gt;H108),"REVISAR","CONCLUÍDO")))</f>
        <v/>
      </c>
      <c r="R108">
        <f>IF(Q108&lt;&gt;"CONCLUÍDO",0,IF(COUNTIFS($E$5:E108,E108,$B$5:B108,B108,$Q$5:Q108,"CONCLUÍDO")=1,1,0))</f>
        <v>0</v>
      </c>
      <c r="S108" t="str">
        <f t="shared" si="7"/>
        <v/>
      </c>
      <c r="T108" t="str">
        <f>IF(E108="","",E108*100000+COUNTIFS(tblRegistros[ID],E108,tblRegistros[Data],"&lt;"&amp;B108)+COUNTIFS(tblRegistros[ID],E108,tblRegistros[Data],B108,tblRegistros[Início],"&lt;"&amp;I108)+COUNTIFS($E$5:E108,E108,$B$5:B108,B108,$I$5:I108,I108))</f>
        <v/>
      </c>
    </row>
    <row r="109" spans="2:20">
      <c r="B109" s="2" t="str">
        <f>IFERROR(INT(INDEX(tblBatidas[Data e hora],MATCH("B"&amp;MID($A109,2,99),tblBatidas[Batida ID],0))),"")</f>
        <v/>
      </c>
      <c r="C109" t="str">
        <f t="shared" si="4"/>
        <v/>
      </c>
      <c r="D109" t="str">
        <f t="shared" si="5"/>
        <v/>
      </c>
      <c r="E109" t="str">
        <f>IFERROR(INDEX(tblBatidas[ID],MATCH("B"&amp;MID($A109,2,99),tblBatidas[Batida ID],0)),"")</f>
        <v/>
      </c>
      <c r="F109" t="str">
        <f>IFERROR(INDEX(tblPessoas[Pessoa],MATCH(E109,tblPessoas[ID],0)),"")</f>
        <v/>
      </c>
      <c r="G109" t="str">
        <f>IFERROR(INDEX(tblBatidas[Projeto],MATCH("B"&amp;MID($A109,2,99),tblBatidas[Batida ID],0)),"")</f>
        <v/>
      </c>
      <c r="H109" t="str">
        <f>IFERROR(INDEX(tblBatidas[Atividade],MATCH("B"&amp;MID($A109,2,99),tblBatidas[Batida ID],0)),"")</f>
        <v/>
      </c>
      <c r="I109" s="4" t="str">
        <f>IFERROR(MOD(INDEX(tblBatidas[Data e hora],MATCH("B"&amp;MID($A109,2,99),tblBatidas[Batida ID],0)),1),"")</f>
        <v/>
      </c>
      <c r="J109" s="4" t="str">
        <f>IFERROR(MOD(INDEX(tblBatidas[Data e hora],MATCH("B"&amp;MID($A109,2,99),tblBatidas[Início vinculado],0)),1),"")</f>
        <v/>
      </c>
      <c r="K109" s="14" t="str">
        <f>IFERROR((INDEX(tblBatidas[Data e hora],MATCH("B"&amp;MID($A109,2,99),tblBatidas[Início vinculado],0))-INDEX(tblBatidas[Data e hora],MATCH("B"&amp;MID($A109,2,99),tblBatidas[Batida ID],0)))*24,"")</f>
        <v/>
      </c>
      <c r="L109" t="str">
        <f>IFERROR(INDEX(tblBatidas[Observação],MATCH("B"&amp;MID($A109,2,99),tblBatidas[Início vinculado],0)),"")</f>
        <v/>
      </c>
      <c r="M109" t="str">
        <f>IFERROR(INDEX(tblPessoas[Base],MATCH(E109,tblPessoas[ID],0)),"")</f>
        <v/>
      </c>
      <c r="N109" s="3">
        <f>IFERROR(IF(D109="DIA ÚTIL",INDEX(tblPessoas[R$/h útil],MATCH(E109,tblPessoas[ID],0)),INDEX(tblPessoas[R$/h FDS],MATCH(E109,tblPessoas[ID],0))),0)</f>
        <v>0</v>
      </c>
      <c r="O109" s="3">
        <f>IFERROR(INDEX(tblPessoas[R$/diária],MATCH(E109,tblPessoas[ID],0)),0)</f>
        <v>0</v>
      </c>
      <c r="P109" s="3" t="str">
        <f t="shared" si="6"/>
        <v/>
      </c>
      <c r="Q109" t="str">
        <f>IF(A109="","",IF(COUNTIF(tblBatidas[Início vinculado],"B"&amp;MID($A109,2,99))=0,"EM ABERTO",IF(OR(COUNTIF(tblBatidas[Início vinculado],"B"&amp;MID($A109,2,99))&gt;1,K109&lt;0,K109&gt;16,INT(INDEX(tblBatidas[Data e hora],MATCH("B"&amp;MID($A109,2,99),tblBatidas[Início vinculado],0)))&lt;&gt;B109,INDEX(tblBatidas[ID],MATCH("B"&amp;MID($A109,2,99),tblBatidas[Início vinculado],0))&lt;&gt;E109,INDEX(tblBatidas[Projeto],MATCH("B"&amp;MID($A109,2,99),tblBatidas[Início vinculado],0))&lt;&gt;G109,INDEX(tblBatidas[Atividade],MATCH("B"&amp;MID($A109,2,99),tblBatidas[Início vinculado],0))&lt;&gt;H109),"REVISAR","CONCLUÍDO")))</f>
        <v/>
      </c>
      <c r="R109">
        <f>IF(Q109&lt;&gt;"CONCLUÍDO",0,IF(COUNTIFS($E$5:E109,E109,$B$5:B109,B109,$Q$5:Q109,"CONCLUÍDO")=1,1,0))</f>
        <v>0</v>
      </c>
      <c r="S109" t="str">
        <f t="shared" si="7"/>
        <v/>
      </c>
      <c r="T109" t="str">
        <f>IF(E109="","",E109*100000+COUNTIFS(tblRegistros[ID],E109,tblRegistros[Data],"&lt;"&amp;B109)+COUNTIFS(tblRegistros[ID],E109,tblRegistros[Data],B109,tblRegistros[Início],"&lt;"&amp;I109)+COUNTIFS($E$5:E109,E109,$B$5:B109,B109,$I$5:I109,I109))</f>
        <v/>
      </c>
    </row>
    <row r="110" spans="2:20">
      <c r="B110" s="2" t="str">
        <f>IFERROR(INT(INDEX(tblBatidas[Data e hora],MATCH("B"&amp;MID($A110,2,99),tblBatidas[Batida ID],0))),"")</f>
        <v/>
      </c>
      <c r="C110" t="str">
        <f t="shared" si="4"/>
        <v/>
      </c>
      <c r="D110" t="str">
        <f t="shared" si="5"/>
        <v/>
      </c>
      <c r="E110" t="str">
        <f>IFERROR(INDEX(tblBatidas[ID],MATCH("B"&amp;MID($A110,2,99),tblBatidas[Batida ID],0)),"")</f>
        <v/>
      </c>
      <c r="F110" t="str">
        <f>IFERROR(INDEX(tblPessoas[Pessoa],MATCH(E110,tblPessoas[ID],0)),"")</f>
        <v/>
      </c>
      <c r="G110" t="str">
        <f>IFERROR(INDEX(tblBatidas[Projeto],MATCH("B"&amp;MID($A110,2,99),tblBatidas[Batida ID],0)),"")</f>
        <v/>
      </c>
      <c r="H110" t="str">
        <f>IFERROR(INDEX(tblBatidas[Atividade],MATCH("B"&amp;MID($A110,2,99),tblBatidas[Batida ID],0)),"")</f>
        <v/>
      </c>
      <c r="I110" s="4" t="str">
        <f>IFERROR(MOD(INDEX(tblBatidas[Data e hora],MATCH("B"&amp;MID($A110,2,99),tblBatidas[Batida ID],0)),1),"")</f>
        <v/>
      </c>
      <c r="J110" s="4" t="str">
        <f>IFERROR(MOD(INDEX(tblBatidas[Data e hora],MATCH("B"&amp;MID($A110,2,99),tblBatidas[Início vinculado],0)),1),"")</f>
        <v/>
      </c>
      <c r="K110" s="14" t="str">
        <f>IFERROR((INDEX(tblBatidas[Data e hora],MATCH("B"&amp;MID($A110,2,99),tblBatidas[Início vinculado],0))-INDEX(tblBatidas[Data e hora],MATCH("B"&amp;MID($A110,2,99),tblBatidas[Batida ID],0)))*24,"")</f>
        <v/>
      </c>
      <c r="L110" t="str">
        <f>IFERROR(INDEX(tblBatidas[Observação],MATCH("B"&amp;MID($A110,2,99),tblBatidas[Início vinculado],0)),"")</f>
        <v/>
      </c>
      <c r="M110" t="str">
        <f>IFERROR(INDEX(tblPessoas[Base],MATCH(E110,tblPessoas[ID],0)),"")</f>
        <v/>
      </c>
      <c r="N110" s="3">
        <f>IFERROR(IF(D110="DIA ÚTIL",INDEX(tblPessoas[R$/h útil],MATCH(E110,tblPessoas[ID],0)),INDEX(tblPessoas[R$/h FDS],MATCH(E110,tblPessoas[ID],0))),0)</f>
        <v>0</v>
      </c>
      <c r="O110" s="3">
        <f>IFERROR(INDEX(tblPessoas[R$/diária],MATCH(E110,tblPessoas[ID],0)),0)</f>
        <v>0</v>
      </c>
      <c r="P110" s="3" t="str">
        <f t="shared" si="6"/>
        <v/>
      </c>
      <c r="Q110" t="str">
        <f>IF(A110="","",IF(COUNTIF(tblBatidas[Início vinculado],"B"&amp;MID($A110,2,99))=0,"EM ABERTO",IF(OR(COUNTIF(tblBatidas[Início vinculado],"B"&amp;MID($A110,2,99))&gt;1,K110&lt;0,K110&gt;16,INT(INDEX(tblBatidas[Data e hora],MATCH("B"&amp;MID($A110,2,99),tblBatidas[Início vinculado],0)))&lt;&gt;B110,INDEX(tblBatidas[ID],MATCH("B"&amp;MID($A110,2,99),tblBatidas[Início vinculado],0))&lt;&gt;E110,INDEX(tblBatidas[Projeto],MATCH("B"&amp;MID($A110,2,99),tblBatidas[Início vinculado],0))&lt;&gt;G110,INDEX(tblBatidas[Atividade],MATCH("B"&amp;MID($A110,2,99),tblBatidas[Início vinculado],0))&lt;&gt;H110),"REVISAR","CONCLUÍDO")))</f>
        <v/>
      </c>
      <c r="R110">
        <f>IF(Q110&lt;&gt;"CONCLUÍDO",0,IF(COUNTIFS($E$5:E110,E110,$B$5:B110,B110,$Q$5:Q110,"CONCLUÍDO")=1,1,0))</f>
        <v>0</v>
      </c>
      <c r="S110" t="str">
        <f t="shared" si="7"/>
        <v/>
      </c>
      <c r="T110" t="str">
        <f>IF(E110="","",E110*100000+COUNTIFS(tblRegistros[ID],E110,tblRegistros[Data],"&lt;"&amp;B110)+COUNTIFS(tblRegistros[ID],E110,tblRegistros[Data],B110,tblRegistros[Início],"&lt;"&amp;I110)+COUNTIFS($E$5:E110,E110,$B$5:B110,B110,$I$5:I110,I110))</f>
        <v/>
      </c>
    </row>
    <row r="111" spans="2:20">
      <c r="B111" s="2" t="str">
        <f>IFERROR(INT(INDEX(tblBatidas[Data e hora],MATCH("B"&amp;MID($A111,2,99),tblBatidas[Batida ID],0))),"")</f>
        <v/>
      </c>
      <c r="C111" t="str">
        <f t="shared" si="4"/>
        <v/>
      </c>
      <c r="D111" t="str">
        <f t="shared" si="5"/>
        <v/>
      </c>
      <c r="E111" t="str">
        <f>IFERROR(INDEX(tblBatidas[ID],MATCH("B"&amp;MID($A111,2,99),tblBatidas[Batida ID],0)),"")</f>
        <v/>
      </c>
      <c r="F111" t="str">
        <f>IFERROR(INDEX(tblPessoas[Pessoa],MATCH(E111,tblPessoas[ID],0)),"")</f>
        <v/>
      </c>
      <c r="G111" t="str">
        <f>IFERROR(INDEX(tblBatidas[Projeto],MATCH("B"&amp;MID($A111,2,99),tblBatidas[Batida ID],0)),"")</f>
        <v/>
      </c>
      <c r="H111" t="str">
        <f>IFERROR(INDEX(tblBatidas[Atividade],MATCH("B"&amp;MID($A111,2,99),tblBatidas[Batida ID],0)),"")</f>
        <v/>
      </c>
      <c r="I111" s="4" t="str">
        <f>IFERROR(MOD(INDEX(tblBatidas[Data e hora],MATCH("B"&amp;MID($A111,2,99),tblBatidas[Batida ID],0)),1),"")</f>
        <v/>
      </c>
      <c r="J111" s="4" t="str">
        <f>IFERROR(MOD(INDEX(tblBatidas[Data e hora],MATCH("B"&amp;MID($A111,2,99),tblBatidas[Início vinculado],0)),1),"")</f>
        <v/>
      </c>
      <c r="K111" s="14" t="str">
        <f>IFERROR((INDEX(tblBatidas[Data e hora],MATCH("B"&amp;MID($A111,2,99),tblBatidas[Início vinculado],0))-INDEX(tblBatidas[Data e hora],MATCH("B"&amp;MID($A111,2,99),tblBatidas[Batida ID],0)))*24,"")</f>
        <v/>
      </c>
      <c r="L111" t="str">
        <f>IFERROR(INDEX(tblBatidas[Observação],MATCH("B"&amp;MID($A111,2,99),tblBatidas[Início vinculado],0)),"")</f>
        <v/>
      </c>
      <c r="M111" t="str">
        <f>IFERROR(INDEX(tblPessoas[Base],MATCH(E111,tblPessoas[ID],0)),"")</f>
        <v/>
      </c>
      <c r="N111" s="3">
        <f>IFERROR(IF(D111="DIA ÚTIL",INDEX(tblPessoas[R$/h útil],MATCH(E111,tblPessoas[ID],0)),INDEX(tblPessoas[R$/h FDS],MATCH(E111,tblPessoas[ID],0))),0)</f>
        <v>0</v>
      </c>
      <c r="O111" s="3">
        <f>IFERROR(INDEX(tblPessoas[R$/diária],MATCH(E111,tblPessoas[ID],0)),0)</f>
        <v>0</v>
      </c>
      <c r="P111" s="3" t="str">
        <f t="shared" si="6"/>
        <v/>
      </c>
      <c r="Q111" t="str">
        <f>IF(A111="","",IF(COUNTIF(tblBatidas[Início vinculado],"B"&amp;MID($A111,2,99))=0,"EM ABERTO",IF(OR(COUNTIF(tblBatidas[Início vinculado],"B"&amp;MID($A111,2,99))&gt;1,K111&lt;0,K111&gt;16,INT(INDEX(tblBatidas[Data e hora],MATCH("B"&amp;MID($A111,2,99),tblBatidas[Início vinculado],0)))&lt;&gt;B111,INDEX(tblBatidas[ID],MATCH("B"&amp;MID($A111,2,99),tblBatidas[Início vinculado],0))&lt;&gt;E111,INDEX(tblBatidas[Projeto],MATCH("B"&amp;MID($A111,2,99),tblBatidas[Início vinculado],0))&lt;&gt;G111,INDEX(tblBatidas[Atividade],MATCH("B"&amp;MID($A111,2,99),tblBatidas[Início vinculado],0))&lt;&gt;H111),"REVISAR","CONCLUÍDO")))</f>
        <v/>
      </c>
      <c r="R111">
        <f>IF(Q111&lt;&gt;"CONCLUÍDO",0,IF(COUNTIFS($E$5:E111,E111,$B$5:B111,B111,$Q$5:Q111,"CONCLUÍDO")=1,1,0))</f>
        <v>0</v>
      </c>
      <c r="S111" t="str">
        <f t="shared" si="7"/>
        <v/>
      </c>
      <c r="T111" t="str">
        <f>IF(E111="","",E111*100000+COUNTIFS(tblRegistros[ID],E111,tblRegistros[Data],"&lt;"&amp;B111)+COUNTIFS(tblRegistros[ID],E111,tblRegistros[Data],B111,tblRegistros[Início],"&lt;"&amp;I111)+COUNTIFS($E$5:E111,E111,$B$5:B111,B111,$I$5:I111,I111))</f>
        <v/>
      </c>
    </row>
    <row r="112" spans="2:20">
      <c r="B112" s="2" t="str">
        <f>IFERROR(INT(INDEX(tblBatidas[Data e hora],MATCH("B"&amp;MID($A112,2,99),tblBatidas[Batida ID],0))),"")</f>
        <v/>
      </c>
      <c r="C112" t="str">
        <f t="shared" si="4"/>
        <v/>
      </c>
      <c r="D112" t="str">
        <f t="shared" si="5"/>
        <v/>
      </c>
      <c r="E112" t="str">
        <f>IFERROR(INDEX(tblBatidas[ID],MATCH("B"&amp;MID($A112,2,99),tblBatidas[Batida ID],0)),"")</f>
        <v/>
      </c>
      <c r="F112" t="str">
        <f>IFERROR(INDEX(tblPessoas[Pessoa],MATCH(E112,tblPessoas[ID],0)),"")</f>
        <v/>
      </c>
      <c r="G112" t="str">
        <f>IFERROR(INDEX(tblBatidas[Projeto],MATCH("B"&amp;MID($A112,2,99),tblBatidas[Batida ID],0)),"")</f>
        <v/>
      </c>
      <c r="H112" t="str">
        <f>IFERROR(INDEX(tblBatidas[Atividade],MATCH("B"&amp;MID($A112,2,99),tblBatidas[Batida ID],0)),"")</f>
        <v/>
      </c>
      <c r="I112" s="4" t="str">
        <f>IFERROR(MOD(INDEX(tblBatidas[Data e hora],MATCH("B"&amp;MID($A112,2,99),tblBatidas[Batida ID],0)),1),"")</f>
        <v/>
      </c>
      <c r="J112" s="4" t="str">
        <f>IFERROR(MOD(INDEX(tblBatidas[Data e hora],MATCH("B"&amp;MID($A112,2,99),tblBatidas[Início vinculado],0)),1),"")</f>
        <v/>
      </c>
      <c r="K112" s="14" t="str">
        <f>IFERROR((INDEX(tblBatidas[Data e hora],MATCH("B"&amp;MID($A112,2,99),tblBatidas[Início vinculado],0))-INDEX(tblBatidas[Data e hora],MATCH("B"&amp;MID($A112,2,99),tblBatidas[Batida ID],0)))*24,"")</f>
        <v/>
      </c>
      <c r="L112" t="str">
        <f>IFERROR(INDEX(tblBatidas[Observação],MATCH("B"&amp;MID($A112,2,99),tblBatidas[Início vinculado],0)),"")</f>
        <v/>
      </c>
      <c r="M112" t="str">
        <f>IFERROR(INDEX(tblPessoas[Base],MATCH(E112,tblPessoas[ID],0)),"")</f>
        <v/>
      </c>
      <c r="N112" s="3">
        <f>IFERROR(IF(D112="DIA ÚTIL",INDEX(tblPessoas[R$/h útil],MATCH(E112,tblPessoas[ID],0)),INDEX(tblPessoas[R$/h FDS],MATCH(E112,tblPessoas[ID],0))),0)</f>
        <v>0</v>
      </c>
      <c r="O112" s="3">
        <f>IFERROR(INDEX(tblPessoas[R$/diária],MATCH(E112,tblPessoas[ID],0)),0)</f>
        <v>0</v>
      </c>
      <c r="P112" s="3" t="str">
        <f t="shared" si="6"/>
        <v/>
      </c>
      <c r="Q112" t="str">
        <f>IF(A112="","",IF(COUNTIF(tblBatidas[Início vinculado],"B"&amp;MID($A112,2,99))=0,"EM ABERTO",IF(OR(COUNTIF(tblBatidas[Início vinculado],"B"&amp;MID($A112,2,99))&gt;1,K112&lt;0,K112&gt;16,INT(INDEX(tblBatidas[Data e hora],MATCH("B"&amp;MID($A112,2,99),tblBatidas[Início vinculado],0)))&lt;&gt;B112,INDEX(tblBatidas[ID],MATCH("B"&amp;MID($A112,2,99),tblBatidas[Início vinculado],0))&lt;&gt;E112,INDEX(tblBatidas[Projeto],MATCH("B"&amp;MID($A112,2,99),tblBatidas[Início vinculado],0))&lt;&gt;G112,INDEX(tblBatidas[Atividade],MATCH("B"&amp;MID($A112,2,99),tblBatidas[Início vinculado],0))&lt;&gt;H112),"REVISAR","CONCLUÍDO")))</f>
        <v/>
      </c>
      <c r="R112">
        <f>IF(Q112&lt;&gt;"CONCLUÍDO",0,IF(COUNTIFS($E$5:E112,E112,$B$5:B112,B112,$Q$5:Q112,"CONCLUÍDO")=1,1,0))</f>
        <v>0</v>
      </c>
      <c r="S112" t="str">
        <f t="shared" si="7"/>
        <v/>
      </c>
      <c r="T112" t="str">
        <f>IF(E112="","",E112*100000+COUNTIFS(tblRegistros[ID],E112,tblRegistros[Data],"&lt;"&amp;B112)+COUNTIFS(tblRegistros[ID],E112,tblRegistros[Data],B112,tblRegistros[Início],"&lt;"&amp;I112)+COUNTIFS($E$5:E112,E112,$B$5:B112,B112,$I$5:I112,I112))</f>
        <v/>
      </c>
    </row>
    <row r="113" spans="2:20">
      <c r="B113" s="2" t="str">
        <f>IFERROR(INT(INDEX(tblBatidas[Data e hora],MATCH("B"&amp;MID($A113,2,99),tblBatidas[Batida ID],0))),"")</f>
        <v/>
      </c>
      <c r="C113" t="str">
        <f t="shared" si="4"/>
        <v/>
      </c>
      <c r="D113" t="str">
        <f t="shared" si="5"/>
        <v/>
      </c>
      <c r="E113" t="str">
        <f>IFERROR(INDEX(tblBatidas[ID],MATCH("B"&amp;MID($A113,2,99),tblBatidas[Batida ID],0)),"")</f>
        <v/>
      </c>
      <c r="F113" t="str">
        <f>IFERROR(INDEX(tblPessoas[Pessoa],MATCH(E113,tblPessoas[ID],0)),"")</f>
        <v/>
      </c>
      <c r="G113" t="str">
        <f>IFERROR(INDEX(tblBatidas[Projeto],MATCH("B"&amp;MID($A113,2,99),tblBatidas[Batida ID],0)),"")</f>
        <v/>
      </c>
      <c r="H113" t="str">
        <f>IFERROR(INDEX(tblBatidas[Atividade],MATCH("B"&amp;MID($A113,2,99),tblBatidas[Batida ID],0)),"")</f>
        <v/>
      </c>
      <c r="I113" s="4" t="str">
        <f>IFERROR(MOD(INDEX(tblBatidas[Data e hora],MATCH("B"&amp;MID($A113,2,99),tblBatidas[Batida ID],0)),1),"")</f>
        <v/>
      </c>
      <c r="J113" s="4" t="str">
        <f>IFERROR(MOD(INDEX(tblBatidas[Data e hora],MATCH("B"&amp;MID($A113,2,99),tblBatidas[Início vinculado],0)),1),"")</f>
        <v/>
      </c>
      <c r="K113" s="14" t="str">
        <f>IFERROR((INDEX(tblBatidas[Data e hora],MATCH("B"&amp;MID($A113,2,99),tblBatidas[Início vinculado],0))-INDEX(tblBatidas[Data e hora],MATCH("B"&amp;MID($A113,2,99),tblBatidas[Batida ID],0)))*24,"")</f>
        <v/>
      </c>
      <c r="L113" t="str">
        <f>IFERROR(INDEX(tblBatidas[Observação],MATCH("B"&amp;MID($A113,2,99),tblBatidas[Início vinculado],0)),"")</f>
        <v/>
      </c>
      <c r="M113" t="str">
        <f>IFERROR(INDEX(tblPessoas[Base],MATCH(E113,tblPessoas[ID],0)),"")</f>
        <v/>
      </c>
      <c r="N113" s="3">
        <f>IFERROR(IF(D113="DIA ÚTIL",INDEX(tblPessoas[R$/h útil],MATCH(E113,tblPessoas[ID],0)),INDEX(tblPessoas[R$/h FDS],MATCH(E113,tblPessoas[ID],0))),0)</f>
        <v>0</v>
      </c>
      <c r="O113" s="3">
        <f>IFERROR(INDEX(tblPessoas[R$/diária],MATCH(E113,tblPessoas[ID],0)),0)</f>
        <v>0</v>
      </c>
      <c r="P113" s="3" t="str">
        <f t="shared" si="6"/>
        <v/>
      </c>
      <c r="Q113" t="str">
        <f>IF(A113="","",IF(COUNTIF(tblBatidas[Início vinculado],"B"&amp;MID($A113,2,99))=0,"EM ABERTO",IF(OR(COUNTIF(tblBatidas[Início vinculado],"B"&amp;MID($A113,2,99))&gt;1,K113&lt;0,K113&gt;16,INT(INDEX(tblBatidas[Data e hora],MATCH("B"&amp;MID($A113,2,99),tblBatidas[Início vinculado],0)))&lt;&gt;B113,INDEX(tblBatidas[ID],MATCH("B"&amp;MID($A113,2,99),tblBatidas[Início vinculado],0))&lt;&gt;E113,INDEX(tblBatidas[Projeto],MATCH("B"&amp;MID($A113,2,99),tblBatidas[Início vinculado],0))&lt;&gt;G113,INDEX(tblBatidas[Atividade],MATCH("B"&amp;MID($A113,2,99),tblBatidas[Início vinculado],0))&lt;&gt;H113),"REVISAR","CONCLUÍDO")))</f>
        <v/>
      </c>
      <c r="R113">
        <f>IF(Q113&lt;&gt;"CONCLUÍDO",0,IF(COUNTIFS($E$5:E113,E113,$B$5:B113,B113,$Q$5:Q113,"CONCLUÍDO")=1,1,0))</f>
        <v>0</v>
      </c>
      <c r="S113" t="str">
        <f t="shared" si="7"/>
        <v/>
      </c>
      <c r="T113" t="str">
        <f>IF(E113="","",E113*100000+COUNTIFS(tblRegistros[ID],E113,tblRegistros[Data],"&lt;"&amp;B113)+COUNTIFS(tblRegistros[ID],E113,tblRegistros[Data],B113,tblRegistros[Início],"&lt;"&amp;I113)+COUNTIFS($E$5:E113,E113,$B$5:B113,B113,$I$5:I113,I113))</f>
        <v/>
      </c>
    </row>
    <row r="114" spans="2:20">
      <c r="B114" s="2" t="str">
        <f>IFERROR(INT(INDEX(tblBatidas[Data e hora],MATCH("B"&amp;MID($A114,2,99),tblBatidas[Batida ID],0))),"")</f>
        <v/>
      </c>
      <c r="C114" t="str">
        <f t="shared" si="4"/>
        <v/>
      </c>
      <c r="D114" t="str">
        <f t="shared" si="5"/>
        <v/>
      </c>
      <c r="E114" t="str">
        <f>IFERROR(INDEX(tblBatidas[ID],MATCH("B"&amp;MID($A114,2,99),tblBatidas[Batida ID],0)),"")</f>
        <v/>
      </c>
      <c r="F114" t="str">
        <f>IFERROR(INDEX(tblPessoas[Pessoa],MATCH(E114,tblPessoas[ID],0)),"")</f>
        <v/>
      </c>
      <c r="G114" t="str">
        <f>IFERROR(INDEX(tblBatidas[Projeto],MATCH("B"&amp;MID($A114,2,99),tblBatidas[Batida ID],0)),"")</f>
        <v/>
      </c>
      <c r="H114" t="str">
        <f>IFERROR(INDEX(tblBatidas[Atividade],MATCH("B"&amp;MID($A114,2,99),tblBatidas[Batida ID],0)),"")</f>
        <v/>
      </c>
      <c r="I114" s="4" t="str">
        <f>IFERROR(MOD(INDEX(tblBatidas[Data e hora],MATCH("B"&amp;MID($A114,2,99),tblBatidas[Batida ID],0)),1),"")</f>
        <v/>
      </c>
      <c r="J114" s="4" t="str">
        <f>IFERROR(MOD(INDEX(tblBatidas[Data e hora],MATCH("B"&amp;MID($A114,2,99),tblBatidas[Início vinculado],0)),1),"")</f>
        <v/>
      </c>
      <c r="K114" s="14" t="str">
        <f>IFERROR((INDEX(tblBatidas[Data e hora],MATCH("B"&amp;MID($A114,2,99),tblBatidas[Início vinculado],0))-INDEX(tblBatidas[Data e hora],MATCH("B"&amp;MID($A114,2,99),tblBatidas[Batida ID],0)))*24,"")</f>
        <v/>
      </c>
      <c r="L114" t="str">
        <f>IFERROR(INDEX(tblBatidas[Observação],MATCH("B"&amp;MID($A114,2,99),tblBatidas[Início vinculado],0)),"")</f>
        <v/>
      </c>
      <c r="M114" t="str">
        <f>IFERROR(INDEX(tblPessoas[Base],MATCH(E114,tblPessoas[ID],0)),"")</f>
        <v/>
      </c>
      <c r="N114" s="3">
        <f>IFERROR(IF(D114="DIA ÚTIL",INDEX(tblPessoas[R$/h útil],MATCH(E114,tblPessoas[ID],0)),INDEX(tblPessoas[R$/h FDS],MATCH(E114,tblPessoas[ID],0))),0)</f>
        <v>0</v>
      </c>
      <c r="O114" s="3">
        <f>IFERROR(INDEX(tblPessoas[R$/diária],MATCH(E114,tblPessoas[ID],0)),0)</f>
        <v>0</v>
      </c>
      <c r="P114" s="3" t="str">
        <f t="shared" si="6"/>
        <v/>
      </c>
      <c r="Q114" t="str">
        <f>IF(A114="","",IF(COUNTIF(tblBatidas[Início vinculado],"B"&amp;MID($A114,2,99))=0,"EM ABERTO",IF(OR(COUNTIF(tblBatidas[Início vinculado],"B"&amp;MID($A114,2,99))&gt;1,K114&lt;0,K114&gt;16,INT(INDEX(tblBatidas[Data e hora],MATCH("B"&amp;MID($A114,2,99),tblBatidas[Início vinculado],0)))&lt;&gt;B114,INDEX(tblBatidas[ID],MATCH("B"&amp;MID($A114,2,99),tblBatidas[Início vinculado],0))&lt;&gt;E114,INDEX(tblBatidas[Projeto],MATCH("B"&amp;MID($A114,2,99),tblBatidas[Início vinculado],0))&lt;&gt;G114,INDEX(tblBatidas[Atividade],MATCH("B"&amp;MID($A114,2,99),tblBatidas[Início vinculado],0))&lt;&gt;H114),"REVISAR","CONCLUÍDO")))</f>
        <v/>
      </c>
      <c r="R114">
        <f>IF(Q114&lt;&gt;"CONCLUÍDO",0,IF(COUNTIFS($E$5:E114,E114,$B$5:B114,B114,$Q$5:Q114,"CONCLUÍDO")=1,1,0))</f>
        <v>0</v>
      </c>
      <c r="S114" t="str">
        <f t="shared" si="7"/>
        <v/>
      </c>
      <c r="T114" t="str">
        <f>IF(E114="","",E114*100000+COUNTIFS(tblRegistros[ID],E114,tblRegistros[Data],"&lt;"&amp;B114)+COUNTIFS(tblRegistros[ID],E114,tblRegistros[Data],B114,tblRegistros[Início],"&lt;"&amp;I114)+COUNTIFS($E$5:E114,E114,$B$5:B114,B114,$I$5:I114,I114))</f>
        <v/>
      </c>
    </row>
    <row r="115" spans="2:20">
      <c r="B115" s="2" t="str">
        <f>IFERROR(INT(INDEX(tblBatidas[Data e hora],MATCH("B"&amp;MID($A115,2,99),tblBatidas[Batida ID],0))),"")</f>
        <v/>
      </c>
      <c r="C115" t="str">
        <f t="shared" si="4"/>
        <v/>
      </c>
      <c r="D115" t="str">
        <f t="shared" si="5"/>
        <v/>
      </c>
      <c r="E115" t="str">
        <f>IFERROR(INDEX(tblBatidas[ID],MATCH("B"&amp;MID($A115,2,99),tblBatidas[Batida ID],0)),"")</f>
        <v/>
      </c>
      <c r="F115" t="str">
        <f>IFERROR(INDEX(tblPessoas[Pessoa],MATCH(E115,tblPessoas[ID],0)),"")</f>
        <v/>
      </c>
      <c r="G115" t="str">
        <f>IFERROR(INDEX(tblBatidas[Projeto],MATCH("B"&amp;MID($A115,2,99),tblBatidas[Batida ID],0)),"")</f>
        <v/>
      </c>
      <c r="H115" t="str">
        <f>IFERROR(INDEX(tblBatidas[Atividade],MATCH("B"&amp;MID($A115,2,99),tblBatidas[Batida ID],0)),"")</f>
        <v/>
      </c>
      <c r="I115" s="4" t="str">
        <f>IFERROR(MOD(INDEX(tblBatidas[Data e hora],MATCH("B"&amp;MID($A115,2,99),tblBatidas[Batida ID],0)),1),"")</f>
        <v/>
      </c>
      <c r="J115" s="4" t="str">
        <f>IFERROR(MOD(INDEX(tblBatidas[Data e hora],MATCH("B"&amp;MID($A115,2,99),tblBatidas[Início vinculado],0)),1),"")</f>
        <v/>
      </c>
      <c r="K115" s="14" t="str">
        <f>IFERROR((INDEX(tblBatidas[Data e hora],MATCH("B"&amp;MID($A115,2,99),tblBatidas[Início vinculado],0))-INDEX(tblBatidas[Data e hora],MATCH("B"&amp;MID($A115,2,99),tblBatidas[Batida ID],0)))*24,"")</f>
        <v/>
      </c>
      <c r="L115" t="str">
        <f>IFERROR(INDEX(tblBatidas[Observação],MATCH("B"&amp;MID($A115,2,99),tblBatidas[Início vinculado],0)),"")</f>
        <v/>
      </c>
      <c r="M115" t="str">
        <f>IFERROR(INDEX(tblPessoas[Base],MATCH(E115,tblPessoas[ID],0)),"")</f>
        <v/>
      </c>
      <c r="N115" s="3">
        <f>IFERROR(IF(D115="DIA ÚTIL",INDEX(tblPessoas[R$/h útil],MATCH(E115,tblPessoas[ID],0)),INDEX(tblPessoas[R$/h FDS],MATCH(E115,tblPessoas[ID],0))),0)</f>
        <v>0</v>
      </c>
      <c r="O115" s="3">
        <f>IFERROR(INDEX(tblPessoas[R$/diária],MATCH(E115,tblPessoas[ID],0)),0)</f>
        <v>0</v>
      </c>
      <c r="P115" s="3" t="str">
        <f t="shared" si="6"/>
        <v/>
      </c>
      <c r="Q115" t="str">
        <f>IF(A115="","",IF(COUNTIF(tblBatidas[Início vinculado],"B"&amp;MID($A115,2,99))=0,"EM ABERTO",IF(OR(COUNTIF(tblBatidas[Início vinculado],"B"&amp;MID($A115,2,99))&gt;1,K115&lt;0,K115&gt;16,INT(INDEX(tblBatidas[Data e hora],MATCH("B"&amp;MID($A115,2,99),tblBatidas[Início vinculado],0)))&lt;&gt;B115,INDEX(tblBatidas[ID],MATCH("B"&amp;MID($A115,2,99),tblBatidas[Início vinculado],0))&lt;&gt;E115,INDEX(tblBatidas[Projeto],MATCH("B"&amp;MID($A115,2,99),tblBatidas[Início vinculado],0))&lt;&gt;G115,INDEX(tblBatidas[Atividade],MATCH("B"&amp;MID($A115,2,99),tblBatidas[Início vinculado],0))&lt;&gt;H115),"REVISAR","CONCLUÍDO")))</f>
        <v/>
      </c>
      <c r="R115">
        <f>IF(Q115&lt;&gt;"CONCLUÍDO",0,IF(COUNTIFS($E$5:E115,E115,$B$5:B115,B115,$Q$5:Q115,"CONCLUÍDO")=1,1,0))</f>
        <v>0</v>
      </c>
      <c r="S115" t="str">
        <f t="shared" si="7"/>
        <v/>
      </c>
      <c r="T115" t="str">
        <f>IF(E115="","",E115*100000+COUNTIFS(tblRegistros[ID],E115,tblRegistros[Data],"&lt;"&amp;B115)+COUNTIFS(tblRegistros[ID],E115,tblRegistros[Data],B115,tblRegistros[Início],"&lt;"&amp;I115)+COUNTIFS($E$5:E115,E115,$B$5:B115,B115,$I$5:I115,I115))</f>
        <v/>
      </c>
    </row>
    <row r="116" spans="2:20">
      <c r="B116" s="2" t="str">
        <f>IFERROR(INT(INDEX(tblBatidas[Data e hora],MATCH("B"&amp;MID($A116,2,99),tblBatidas[Batida ID],0))),"")</f>
        <v/>
      </c>
      <c r="C116" t="str">
        <f t="shared" si="4"/>
        <v/>
      </c>
      <c r="D116" t="str">
        <f t="shared" si="5"/>
        <v/>
      </c>
      <c r="E116" t="str">
        <f>IFERROR(INDEX(tblBatidas[ID],MATCH("B"&amp;MID($A116,2,99),tblBatidas[Batida ID],0)),"")</f>
        <v/>
      </c>
      <c r="F116" t="str">
        <f>IFERROR(INDEX(tblPessoas[Pessoa],MATCH(E116,tblPessoas[ID],0)),"")</f>
        <v/>
      </c>
      <c r="G116" t="str">
        <f>IFERROR(INDEX(tblBatidas[Projeto],MATCH("B"&amp;MID($A116,2,99),tblBatidas[Batida ID],0)),"")</f>
        <v/>
      </c>
      <c r="H116" t="str">
        <f>IFERROR(INDEX(tblBatidas[Atividade],MATCH("B"&amp;MID($A116,2,99),tblBatidas[Batida ID],0)),"")</f>
        <v/>
      </c>
      <c r="I116" s="4" t="str">
        <f>IFERROR(MOD(INDEX(tblBatidas[Data e hora],MATCH("B"&amp;MID($A116,2,99),tblBatidas[Batida ID],0)),1),"")</f>
        <v/>
      </c>
      <c r="J116" s="4" t="str">
        <f>IFERROR(MOD(INDEX(tblBatidas[Data e hora],MATCH("B"&amp;MID($A116,2,99),tblBatidas[Início vinculado],0)),1),"")</f>
        <v/>
      </c>
      <c r="K116" s="14" t="str">
        <f>IFERROR((INDEX(tblBatidas[Data e hora],MATCH("B"&amp;MID($A116,2,99),tblBatidas[Início vinculado],0))-INDEX(tblBatidas[Data e hora],MATCH("B"&amp;MID($A116,2,99),tblBatidas[Batida ID],0)))*24,"")</f>
        <v/>
      </c>
      <c r="L116" t="str">
        <f>IFERROR(INDEX(tblBatidas[Observação],MATCH("B"&amp;MID($A116,2,99),tblBatidas[Início vinculado],0)),"")</f>
        <v/>
      </c>
      <c r="M116" t="str">
        <f>IFERROR(INDEX(tblPessoas[Base],MATCH(E116,tblPessoas[ID],0)),"")</f>
        <v/>
      </c>
      <c r="N116" s="3">
        <f>IFERROR(IF(D116="DIA ÚTIL",INDEX(tblPessoas[R$/h útil],MATCH(E116,tblPessoas[ID],0)),INDEX(tblPessoas[R$/h FDS],MATCH(E116,tblPessoas[ID],0))),0)</f>
        <v>0</v>
      </c>
      <c r="O116" s="3">
        <f>IFERROR(INDEX(tblPessoas[R$/diária],MATCH(E116,tblPessoas[ID],0)),0)</f>
        <v>0</v>
      </c>
      <c r="P116" s="3" t="str">
        <f t="shared" si="6"/>
        <v/>
      </c>
      <c r="Q116" t="str">
        <f>IF(A116="","",IF(COUNTIF(tblBatidas[Início vinculado],"B"&amp;MID($A116,2,99))=0,"EM ABERTO",IF(OR(COUNTIF(tblBatidas[Início vinculado],"B"&amp;MID($A116,2,99))&gt;1,K116&lt;0,K116&gt;16,INT(INDEX(tblBatidas[Data e hora],MATCH("B"&amp;MID($A116,2,99),tblBatidas[Início vinculado],0)))&lt;&gt;B116,INDEX(tblBatidas[ID],MATCH("B"&amp;MID($A116,2,99),tblBatidas[Início vinculado],0))&lt;&gt;E116,INDEX(tblBatidas[Projeto],MATCH("B"&amp;MID($A116,2,99),tblBatidas[Início vinculado],0))&lt;&gt;G116,INDEX(tblBatidas[Atividade],MATCH("B"&amp;MID($A116,2,99),tblBatidas[Início vinculado],0))&lt;&gt;H116),"REVISAR","CONCLUÍDO")))</f>
        <v/>
      </c>
      <c r="R116">
        <f>IF(Q116&lt;&gt;"CONCLUÍDO",0,IF(COUNTIFS($E$5:E116,E116,$B$5:B116,B116,$Q$5:Q116,"CONCLUÍDO")=1,1,0))</f>
        <v>0</v>
      </c>
      <c r="S116" t="str">
        <f t="shared" si="7"/>
        <v/>
      </c>
      <c r="T116" t="str">
        <f>IF(E116="","",E116*100000+COUNTIFS(tblRegistros[ID],E116,tblRegistros[Data],"&lt;"&amp;B116)+COUNTIFS(tblRegistros[ID],E116,tblRegistros[Data],B116,tblRegistros[Início],"&lt;"&amp;I116)+COUNTIFS($E$5:E116,E116,$B$5:B116,B116,$I$5:I116,I116))</f>
        <v/>
      </c>
    </row>
    <row r="117" spans="2:20">
      <c r="B117" s="2" t="str">
        <f>IFERROR(INT(INDEX(tblBatidas[Data e hora],MATCH("B"&amp;MID($A117,2,99),tblBatidas[Batida ID],0))),"")</f>
        <v/>
      </c>
      <c r="C117" t="str">
        <f t="shared" si="4"/>
        <v/>
      </c>
      <c r="D117" t="str">
        <f t="shared" si="5"/>
        <v/>
      </c>
      <c r="E117" t="str">
        <f>IFERROR(INDEX(tblBatidas[ID],MATCH("B"&amp;MID($A117,2,99),tblBatidas[Batida ID],0)),"")</f>
        <v/>
      </c>
      <c r="F117" t="str">
        <f>IFERROR(INDEX(tblPessoas[Pessoa],MATCH(E117,tblPessoas[ID],0)),"")</f>
        <v/>
      </c>
      <c r="G117" t="str">
        <f>IFERROR(INDEX(tblBatidas[Projeto],MATCH("B"&amp;MID($A117,2,99),tblBatidas[Batida ID],0)),"")</f>
        <v/>
      </c>
      <c r="H117" t="str">
        <f>IFERROR(INDEX(tblBatidas[Atividade],MATCH("B"&amp;MID($A117,2,99),tblBatidas[Batida ID],0)),"")</f>
        <v/>
      </c>
      <c r="I117" s="4" t="str">
        <f>IFERROR(MOD(INDEX(tblBatidas[Data e hora],MATCH("B"&amp;MID($A117,2,99),tblBatidas[Batida ID],0)),1),"")</f>
        <v/>
      </c>
      <c r="J117" s="4" t="str">
        <f>IFERROR(MOD(INDEX(tblBatidas[Data e hora],MATCH("B"&amp;MID($A117,2,99),tblBatidas[Início vinculado],0)),1),"")</f>
        <v/>
      </c>
      <c r="K117" s="14" t="str">
        <f>IFERROR((INDEX(tblBatidas[Data e hora],MATCH("B"&amp;MID($A117,2,99),tblBatidas[Início vinculado],0))-INDEX(tblBatidas[Data e hora],MATCH("B"&amp;MID($A117,2,99),tblBatidas[Batida ID],0)))*24,"")</f>
        <v/>
      </c>
      <c r="L117" t="str">
        <f>IFERROR(INDEX(tblBatidas[Observação],MATCH("B"&amp;MID($A117,2,99),tblBatidas[Início vinculado],0)),"")</f>
        <v/>
      </c>
      <c r="M117" t="str">
        <f>IFERROR(INDEX(tblPessoas[Base],MATCH(E117,tblPessoas[ID],0)),"")</f>
        <v/>
      </c>
      <c r="N117" s="3">
        <f>IFERROR(IF(D117="DIA ÚTIL",INDEX(tblPessoas[R$/h útil],MATCH(E117,tblPessoas[ID],0)),INDEX(tblPessoas[R$/h FDS],MATCH(E117,tblPessoas[ID],0))),0)</f>
        <v>0</v>
      </c>
      <c r="O117" s="3">
        <f>IFERROR(INDEX(tblPessoas[R$/diária],MATCH(E117,tblPessoas[ID],0)),0)</f>
        <v>0</v>
      </c>
      <c r="P117" s="3" t="str">
        <f t="shared" si="6"/>
        <v/>
      </c>
      <c r="Q117" t="str">
        <f>IF(A117="","",IF(COUNTIF(tblBatidas[Início vinculado],"B"&amp;MID($A117,2,99))=0,"EM ABERTO",IF(OR(COUNTIF(tblBatidas[Início vinculado],"B"&amp;MID($A117,2,99))&gt;1,K117&lt;0,K117&gt;16,INT(INDEX(tblBatidas[Data e hora],MATCH("B"&amp;MID($A117,2,99),tblBatidas[Início vinculado],0)))&lt;&gt;B117,INDEX(tblBatidas[ID],MATCH("B"&amp;MID($A117,2,99),tblBatidas[Início vinculado],0))&lt;&gt;E117,INDEX(tblBatidas[Projeto],MATCH("B"&amp;MID($A117,2,99),tblBatidas[Início vinculado],0))&lt;&gt;G117,INDEX(tblBatidas[Atividade],MATCH("B"&amp;MID($A117,2,99),tblBatidas[Início vinculado],0))&lt;&gt;H117),"REVISAR","CONCLUÍDO")))</f>
        <v/>
      </c>
      <c r="R117">
        <f>IF(Q117&lt;&gt;"CONCLUÍDO",0,IF(COUNTIFS($E$5:E117,E117,$B$5:B117,B117,$Q$5:Q117,"CONCLUÍDO")=1,1,0))</f>
        <v>0</v>
      </c>
      <c r="S117" t="str">
        <f t="shared" si="7"/>
        <v/>
      </c>
      <c r="T117" t="str">
        <f>IF(E117="","",E117*100000+COUNTIFS(tblRegistros[ID],E117,tblRegistros[Data],"&lt;"&amp;B117)+COUNTIFS(tblRegistros[ID],E117,tblRegistros[Data],B117,tblRegistros[Início],"&lt;"&amp;I117)+COUNTIFS($E$5:E117,E117,$B$5:B117,B117,$I$5:I117,I117))</f>
        <v/>
      </c>
    </row>
    <row r="118" spans="2:20">
      <c r="B118" s="2" t="str">
        <f>IFERROR(INT(INDEX(tblBatidas[Data e hora],MATCH("B"&amp;MID($A118,2,99),tblBatidas[Batida ID],0))),"")</f>
        <v/>
      </c>
      <c r="C118" t="str">
        <f t="shared" si="4"/>
        <v/>
      </c>
      <c r="D118" t="str">
        <f t="shared" si="5"/>
        <v/>
      </c>
      <c r="E118" t="str">
        <f>IFERROR(INDEX(tblBatidas[ID],MATCH("B"&amp;MID($A118,2,99),tblBatidas[Batida ID],0)),"")</f>
        <v/>
      </c>
      <c r="F118" t="str">
        <f>IFERROR(INDEX(tblPessoas[Pessoa],MATCH(E118,tblPessoas[ID],0)),"")</f>
        <v/>
      </c>
      <c r="G118" t="str">
        <f>IFERROR(INDEX(tblBatidas[Projeto],MATCH("B"&amp;MID($A118,2,99),tblBatidas[Batida ID],0)),"")</f>
        <v/>
      </c>
      <c r="H118" t="str">
        <f>IFERROR(INDEX(tblBatidas[Atividade],MATCH("B"&amp;MID($A118,2,99),tblBatidas[Batida ID],0)),"")</f>
        <v/>
      </c>
      <c r="I118" s="4" t="str">
        <f>IFERROR(MOD(INDEX(tblBatidas[Data e hora],MATCH("B"&amp;MID($A118,2,99),tblBatidas[Batida ID],0)),1),"")</f>
        <v/>
      </c>
      <c r="J118" s="4" t="str">
        <f>IFERROR(MOD(INDEX(tblBatidas[Data e hora],MATCH("B"&amp;MID($A118,2,99),tblBatidas[Início vinculado],0)),1),"")</f>
        <v/>
      </c>
      <c r="K118" s="14" t="str">
        <f>IFERROR((INDEX(tblBatidas[Data e hora],MATCH("B"&amp;MID($A118,2,99),tblBatidas[Início vinculado],0))-INDEX(tblBatidas[Data e hora],MATCH("B"&amp;MID($A118,2,99),tblBatidas[Batida ID],0)))*24,"")</f>
        <v/>
      </c>
      <c r="L118" t="str">
        <f>IFERROR(INDEX(tblBatidas[Observação],MATCH("B"&amp;MID($A118,2,99),tblBatidas[Início vinculado],0)),"")</f>
        <v/>
      </c>
      <c r="M118" t="str">
        <f>IFERROR(INDEX(tblPessoas[Base],MATCH(E118,tblPessoas[ID],0)),"")</f>
        <v/>
      </c>
      <c r="N118" s="3">
        <f>IFERROR(IF(D118="DIA ÚTIL",INDEX(tblPessoas[R$/h útil],MATCH(E118,tblPessoas[ID],0)),INDEX(tblPessoas[R$/h FDS],MATCH(E118,tblPessoas[ID],0))),0)</f>
        <v>0</v>
      </c>
      <c r="O118" s="3">
        <f>IFERROR(INDEX(tblPessoas[R$/diária],MATCH(E118,tblPessoas[ID],0)),0)</f>
        <v>0</v>
      </c>
      <c r="P118" s="3" t="str">
        <f t="shared" si="6"/>
        <v/>
      </c>
      <c r="Q118" t="str">
        <f>IF(A118="","",IF(COUNTIF(tblBatidas[Início vinculado],"B"&amp;MID($A118,2,99))=0,"EM ABERTO",IF(OR(COUNTIF(tblBatidas[Início vinculado],"B"&amp;MID($A118,2,99))&gt;1,K118&lt;0,K118&gt;16,INT(INDEX(tblBatidas[Data e hora],MATCH("B"&amp;MID($A118,2,99),tblBatidas[Início vinculado],0)))&lt;&gt;B118,INDEX(tblBatidas[ID],MATCH("B"&amp;MID($A118,2,99),tblBatidas[Início vinculado],0))&lt;&gt;E118,INDEX(tblBatidas[Projeto],MATCH("B"&amp;MID($A118,2,99),tblBatidas[Início vinculado],0))&lt;&gt;G118,INDEX(tblBatidas[Atividade],MATCH("B"&amp;MID($A118,2,99),tblBatidas[Início vinculado],0))&lt;&gt;H118),"REVISAR","CONCLUÍDO")))</f>
        <v/>
      </c>
      <c r="R118">
        <f>IF(Q118&lt;&gt;"CONCLUÍDO",0,IF(COUNTIFS($E$5:E118,E118,$B$5:B118,B118,$Q$5:Q118,"CONCLUÍDO")=1,1,0))</f>
        <v>0</v>
      </c>
      <c r="S118" t="str">
        <f t="shared" si="7"/>
        <v/>
      </c>
      <c r="T118" t="str">
        <f>IF(E118="","",E118*100000+COUNTIFS(tblRegistros[ID],E118,tblRegistros[Data],"&lt;"&amp;B118)+COUNTIFS(tblRegistros[ID],E118,tblRegistros[Data],B118,tblRegistros[Início],"&lt;"&amp;I118)+COUNTIFS($E$5:E118,E118,$B$5:B118,B118,$I$5:I118,I118))</f>
        <v/>
      </c>
    </row>
    <row r="119" spans="2:20">
      <c r="B119" s="2" t="str">
        <f>IFERROR(INT(INDEX(tblBatidas[Data e hora],MATCH("B"&amp;MID($A119,2,99),tblBatidas[Batida ID],0))),"")</f>
        <v/>
      </c>
      <c r="C119" t="str">
        <f t="shared" si="4"/>
        <v/>
      </c>
      <c r="D119" t="str">
        <f t="shared" si="5"/>
        <v/>
      </c>
      <c r="E119" t="str">
        <f>IFERROR(INDEX(tblBatidas[ID],MATCH("B"&amp;MID($A119,2,99),tblBatidas[Batida ID],0)),"")</f>
        <v/>
      </c>
      <c r="F119" t="str">
        <f>IFERROR(INDEX(tblPessoas[Pessoa],MATCH(E119,tblPessoas[ID],0)),"")</f>
        <v/>
      </c>
      <c r="G119" t="str">
        <f>IFERROR(INDEX(tblBatidas[Projeto],MATCH("B"&amp;MID($A119,2,99),tblBatidas[Batida ID],0)),"")</f>
        <v/>
      </c>
      <c r="H119" t="str">
        <f>IFERROR(INDEX(tblBatidas[Atividade],MATCH("B"&amp;MID($A119,2,99),tblBatidas[Batida ID],0)),"")</f>
        <v/>
      </c>
      <c r="I119" s="4" t="str">
        <f>IFERROR(MOD(INDEX(tblBatidas[Data e hora],MATCH("B"&amp;MID($A119,2,99),tblBatidas[Batida ID],0)),1),"")</f>
        <v/>
      </c>
      <c r="J119" s="4" t="str">
        <f>IFERROR(MOD(INDEX(tblBatidas[Data e hora],MATCH("B"&amp;MID($A119,2,99),tblBatidas[Início vinculado],0)),1),"")</f>
        <v/>
      </c>
      <c r="K119" s="14" t="str">
        <f>IFERROR((INDEX(tblBatidas[Data e hora],MATCH("B"&amp;MID($A119,2,99),tblBatidas[Início vinculado],0))-INDEX(tblBatidas[Data e hora],MATCH("B"&amp;MID($A119,2,99),tblBatidas[Batida ID],0)))*24,"")</f>
        <v/>
      </c>
      <c r="L119" t="str">
        <f>IFERROR(INDEX(tblBatidas[Observação],MATCH("B"&amp;MID($A119,2,99),tblBatidas[Início vinculado],0)),"")</f>
        <v/>
      </c>
      <c r="M119" t="str">
        <f>IFERROR(INDEX(tblPessoas[Base],MATCH(E119,tblPessoas[ID],0)),"")</f>
        <v/>
      </c>
      <c r="N119" s="3">
        <f>IFERROR(IF(D119="DIA ÚTIL",INDEX(tblPessoas[R$/h útil],MATCH(E119,tblPessoas[ID],0)),INDEX(tblPessoas[R$/h FDS],MATCH(E119,tblPessoas[ID],0))),0)</f>
        <v>0</v>
      </c>
      <c r="O119" s="3">
        <f>IFERROR(INDEX(tblPessoas[R$/diária],MATCH(E119,tblPessoas[ID],0)),0)</f>
        <v>0</v>
      </c>
      <c r="P119" s="3" t="str">
        <f t="shared" si="6"/>
        <v/>
      </c>
      <c r="Q119" t="str">
        <f>IF(A119="","",IF(COUNTIF(tblBatidas[Início vinculado],"B"&amp;MID($A119,2,99))=0,"EM ABERTO",IF(OR(COUNTIF(tblBatidas[Início vinculado],"B"&amp;MID($A119,2,99))&gt;1,K119&lt;0,K119&gt;16,INT(INDEX(tblBatidas[Data e hora],MATCH("B"&amp;MID($A119,2,99),tblBatidas[Início vinculado],0)))&lt;&gt;B119,INDEX(tblBatidas[ID],MATCH("B"&amp;MID($A119,2,99),tblBatidas[Início vinculado],0))&lt;&gt;E119,INDEX(tblBatidas[Projeto],MATCH("B"&amp;MID($A119,2,99),tblBatidas[Início vinculado],0))&lt;&gt;G119,INDEX(tblBatidas[Atividade],MATCH("B"&amp;MID($A119,2,99),tblBatidas[Início vinculado],0))&lt;&gt;H119),"REVISAR","CONCLUÍDO")))</f>
        <v/>
      </c>
      <c r="R119">
        <f>IF(Q119&lt;&gt;"CONCLUÍDO",0,IF(COUNTIFS($E$5:E119,E119,$B$5:B119,B119,$Q$5:Q119,"CONCLUÍDO")=1,1,0))</f>
        <v>0</v>
      </c>
      <c r="S119" t="str">
        <f t="shared" si="7"/>
        <v/>
      </c>
      <c r="T119" t="str">
        <f>IF(E119="","",E119*100000+COUNTIFS(tblRegistros[ID],E119,tblRegistros[Data],"&lt;"&amp;B119)+COUNTIFS(tblRegistros[ID],E119,tblRegistros[Data],B119,tblRegistros[Início],"&lt;"&amp;I119)+COUNTIFS($E$5:E119,E119,$B$5:B119,B119,$I$5:I119,I119))</f>
        <v/>
      </c>
    </row>
    <row r="120" spans="2:20">
      <c r="B120" s="2" t="str">
        <f>IFERROR(INT(INDEX(tblBatidas[Data e hora],MATCH("B"&amp;MID($A120,2,99),tblBatidas[Batida ID],0))),"")</f>
        <v/>
      </c>
      <c r="C120" t="str">
        <f t="shared" si="4"/>
        <v/>
      </c>
      <c r="D120" t="str">
        <f t="shared" si="5"/>
        <v/>
      </c>
      <c r="E120" t="str">
        <f>IFERROR(INDEX(tblBatidas[ID],MATCH("B"&amp;MID($A120,2,99),tblBatidas[Batida ID],0)),"")</f>
        <v/>
      </c>
      <c r="F120" t="str">
        <f>IFERROR(INDEX(tblPessoas[Pessoa],MATCH(E120,tblPessoas[ID],0)),"")</f>
        <v/>
      </c>
      <c r="G120" t="str">
        <f>IFERROR(INDEX(tblBatidas[Projeto],MATCH("B"&amp;MID($A120,2,99),tblBatidas[Batida ID],0)),"")</f>
        <v/>
      </c>
      <c r="H120" t="str">
        <f>IFERROR(INDEX(tblBatidas[Atividade],MATCH("B"&amp;MID($A120,2,99),tblBatidas[Batida ID],0)),"")</f>
        <v/>
      </c>
      <c r="I120" s="4" t="str">
        <f>IFERROR(MOD(INDEX(tblBatidas[Data e hora],MATCH("B"&amp;MID($A120,2,99),tblBatidas[Batida ID],0)),1),"")</f>
        <v/>
      </c>
      <c r="J120" s="4" t="str">
        <f>IFERROR(MOD(INDEX(tblBatidas[Data e hora],MATCH("B"&amp;MID($A120,2,99),tblBatidas[Início vinculado],0)),1),"")</f>
        <v/>
      </c>
      <c r="K120" s="14" t="str">
        <f>IFERROR((INDEX(tblBatidas[Data e hora],MATCH("B"&amp;MID($A120,2,99),tblBatidas[Início vinculado],0))-INDEX(tblBatidas[Data e hora],MATCH("B"&amp;MID($A120,2,99),tblBatidas[Batida ID],0)))*24,"")</f>
        <v/>
      </c>
      <c r="L120" t="str">
        <f>IFERROR(INDEX(tblBatidas[Observação],MATCH("B"&amp;MID($A120,2,99),tblBatidas[Início vinculado],0)),"")</f>
        <v/>
      </c>
      <c r="M120" t="str">
        <f>IFERROR(INDEX(tblPessoas[Base],MATCH(E120,tblPessoas[ID],0)),"")</f>
        <v/>
      </c>
      <c r="N120" s="3">
        <f>IFERROR(IF(D120="DIA ÚTIL",INDEX(tblPessoas[R$/h útil],MATCH(E120,tblPessoas[ID],0)),INDEX(tblPessoas[R$/h FDS],MATCH(E120,tblPessoas[ID],0))),0)</f>
        <v>0</v>
      </c>
      <c r="O120" s="3">
        <f>IFERROR(INDEX(tblPessoas[R$/diária],MATCH(E120,tblPessoas[ID],0)),0)</f>
        <v>0</v>
      </c>
      <c r="P120" s="3" t="str">
        <f t="shared" si="6"/>
        <v/>
      </c>
      <c r="Q120" t="str">
        <f>IF(A120="","",IF(COUNTIF(tblBatidas[Início vinculado],"B"&amp;MID($A120,2,99))=0,"EM ABERTO",IF(OR(COUNTIF(tblBatidas[Início vinculado],"B"&amp;MID($A120,2,99))&gt;1,K120&lt;0,K120&gt;16,INT(INDEX(tblBatidas[Data e hora],MATCH("B"&amp;MID($A120,2,99),tblBatidas[Início vinculado],0)))&lt;&gt;B120,INDEX(tblBatidas[ID],MATCH("B"&amp;MID($A120,2,99),tblBatidas[Início vinculado],0))&lt;&gt;E120,INDEX(tblBatidas[Projeto],MATCH("B"&amp;MID($A120,2,99),tblBatidas[Início vinculado],0))&lt;&gt;G120,INDEX(tblBatidas[Atividade],MATCH("B"&amp;MID($A120,2,99),tblBatidas[Início vinculado],0))&lt;&gt;H120),"REVISAR","CONCLUÍDO")))</f>
        <v/>
      </c>
      <c r="R120">
        <f>IF(Q120&lt;&gt;"CONCLUÍDO",0,IF(COUNTIFS($E$5:E120,E120,$B$5:B120,B120,$Q$5:Q120,"CONCLUÍDO")=1,1,0))</f>
        <v>0</v>
      </c>
      <c r="S120" t="str">
        <f t="shared" si="7"/>
        <v/>
      </c>
      <c r="T120" t="str">
        <f>IF(E120="","",E120*100000+COUNTIFS(tblRegistros[ID],E120,tblRegistros[Data],"&lt;"&amp;B120)+COUNTIFS(tblRegistros[ID],E120,tblRegistros[Data],B120,tblRegistros[Início],"&lt;"&amp;I120)+COUNTIFS($E$5:E120,E120,$B$5:B120,B120,$I$5:I120,I120))</f>
        <v/>
      </c>
    </row>
    <row r="121" spans="2:20">
      <c r="B121" s="2" t="str">
        <f>IFERROR(INT(INDEX(tblBatidas[Data e hora],MATCH("B"&amp;MID($A121,2,99),tblBatidas[Batida ID],0))),"")</f>
        <v/>
      </c>
      <c r="C121" t="str">
        <f t="shared" si="4"/>
        <v/>
      </c>
      <c r="D121" t="str">
        <f t="shared" si="5"/>
        <v/>
      </c>
      <c r="E121" t="str">
        <f>IFERROR(INDEX(tblBatidas[ID],MATCH("B"&amp;MID($A121,2,99),tblBatidas[Batida ID],0)),"")</f>
        <v/>
      </c>
      <c r="F121" t="str">
        <f>IFERROR(INDEX(tblPessoas[Pessoa],MATCH(E121,tblPessoas[ID],0)),"")</f>
        <v/>
      </c>
      <c r="G121" t="str">
        <f>IFERROR(INDEX(tblBatidas[Projeto],MATCH("B"&amp;MID($A121,2,99),tblBatidas[Batida ID],0)),"")</f>
        <v/>
      </c>
      <c r="H121" t="str">
        <f>IFERROR(INDEX(tblBatidas[Atividade],MATCH("B"&amp;MID($A121,2,99),tblBatidas[Batida ID],0)),"")</f>
        <v/>
      </c>
      <c r="I121" s="4" t="str">
        <f>IFERROR(MOD(INDEX(tblBatidas[Data e hora],MATCH("B"&amp;MID($A121,2,99),tblBatidas[Batida ID],0)),1),"")</f>
        <v/>
      </c>
      <c r="J121" s="4" t="str">
        <f>IFERROR(MOD(INDEX(tblBatidas[Data e hora],MATCH("B"&amp;MID($A121,2,99),tblBatidas[Início vinculado],0)),1),"")</f>
        <v/>
      </c>
      <c r="K121" s="14" t="str">
        <f>IFERROR((INDEX(tblBatidas[Data e hora],MATCH("B"&amp;MID($A121,2,99),tblBatidas[Início vinculado],0))-INDEX(tblBatidas[Data e hora],MATCH("B"&amp;MID($A121,2,99),tblBatidas[Batida ID],0)))*24,"")</f>
        <v/>
      </c>
      <c r="L121" t="str">
        <f>IFERROR(INDEX(tblBatidas[Observação],MATCH("B"&amp;MID($A121,2,99),tblBatidas[Início vinculado],0)),"")</f>
        <v/>
      </c>
      <c r="M121" t="str">
        <f>IFERROR(INDEX(tblPessoas[Base],MATCH(E121,tblPessoas[ID],0)),"")</f>
        <v/>
      </c>
      <c r="N121" s="3">
        <f>IFERROR(IF(D121="DIA ÚTIL",INDEX(tblPessoas[R$/h útil],MATCH(E121,tblPessoas[ID],0)),INDEX(tblPessoas[R$/h FDS],MATCH(E121,tblPessoas[ID],0))),0)</f>
        <v>0</v>
      </c>
      <c r="O121" s="3">
        <f>IFERROR(INDEX(tblPessoas[R$/diária],MATCH(E121,tblPessoas[ID],0)),0)</f>
        <v>0</v>
      </c>
      <c r="P121" s="3" t="str">
        <f t="shared" si="6"/>
        <v/>
      </c>
      <c r="Q121" t="str">
        <f>IF(A121="","",IF(COUNTIF(tblBatidas[Início vinculado],"B"&amp;MID($A121,2,99))=0,"EM ABERTO",IF(OR(COUNTIF(tblBatidas[Início vinculado],"B"&amp;MID($A121,2,99))&gt;1,K121&lt;0,K121&gt;16,INT(INDEX(tblBatidas[Data e hora],MATCH("B"&amp;MID($A121,2,99),tblBatidas[Início vinculado],0)))&lt;&gt;B121,INDEX(tblBatidas[ID],MATCH("B"&amp;MID($A121,2,99),tblBatidas[Início vinculado],0))&lt;&gt;E121,INDEX(tblBatidas[Projeto],MATCH("B"&amp;MID($A121,2,99),tblBatidas[Início vinculado],0))&lt;&gt;G121,INDEX(tblBatidas[Atividade],MATCH("B"&amp;MID($A121,2,99),tblBatidas[Início vinculado],0))&lt;&gt;H121),"REVISAR","CONCLUÍDO")))</f>
        <v/>
      </c>
      <c r="R121">
        <f>IF(Q121&lt;&gt;"CONCLUÍDO",0,IF(COUNTIFS($E$5:E121,E121,$B$5:B121,B121,$Q$5:Q121,"CONCLUÍDO")=1,1,0))</f>
        <v>0</v>
      </c>
      <c r="S121" t="str">
        <f t="shared" si="7"/>
        <v/>
      </c>
      <c r="T121" t="str">
        <f>IF(E121="","",E121*100000+COUNTIFS(tblRegistros[ID],E121,tblRegistros[Data],"&lt;"&amp;B121)+COUNTIFS(tblRegistros[ID],E121,tblRegistros[Data],B121,tblRegistros[Início],"&lt;"&amp;I121)+COUNTIFS($E$5:E121,E121,$B$5:B121,B121,$I$5:I121,I121))</f>
        <v/>
      </c>
    </row>
    <row r="122" spans="2:20">
      <c r="B122" s="2" t="str">
        <f>IFERROR(INT(INDEX(tblBatidas[Data e hora],MATCH("B"&amp;MID($A122,2,99),tblBatidas[Batida ID],0))),"")</f>
        <v/>
      </c>
      <c r="C122" t="str">
        <f t="shared" si="4"/>
        <v/>
      </c>
      <c r="D122" t="str">
        <f t="shared" si="5"/>
        <v/>
      </c>
      <c r="E122" t="str">
        <f>IFERROR(INDEX(tblBatidas[ID],MATCH("B"&amp;MID($A122,2,99),tblBatidas[Batida ID],0)),"")</f>
        <v/>
      </c>
      <c r="F122" t="str">
        <f>IFERROR(INDEX(tblPessoas[Pessoa],MATCH(E122,tblPessoas[ID],0)),"")</f>
        <v/>
      </c>
      <c r="G122" t="str">
        <f>IFERROR(INDEX(tblBatidas[Projeto],MATCH("B"&amp;MID($A122,2,99),tblBatidas[Batida ID],0)),"")</f>
        <v/>
      </c>
      <c r="H122" t="str">
        <f>IFERROR(INDEX(tblBatidas[Atividade],MATCH("B"&amp;MID($A122,2,99),tblBatidas[Batida ID],0)),"")</f>
        <v/>
      </c>
      <c r="I122" s="4" t="str">
        <f>IFERROR(MOD(INDEX(tblBatidas[Data e hora],MATCH("B"&amp;MID($A122,2,99),tblBatidas[Batida ID],0)),1),"")</f>
        <v/>
      </c>
      <c r="J122" s="4" t="str">
        <f>IFERROR(MOD(INDEX(tblBatidas[Data e hora],MATCH("B"&amp;MID($A122,2,99),tblBatidas[Início vinculado],0)),1),"")</f>
        <v/>
      </c>
      <c r="K122" s="14" t="str">
        <f>IFERROR((INDEX(tblBatidas[Data e hora],MATCH("B"&amp;MID($A122,2,99),tblBatidas[Início vinculado],0))-INDEX(tblBatidas[Data e hora],MATCH("B"&amp;MID($A122,2,99),tblBatidas[Batida ID],0)))*24,"")</f>
        <v/>
      </c>
      <c r="L122" t="str">
        <f>IFERROR(INDEX(tblBatidas[Observação],MATCH("B"&amp;MID($A122,2,99),tblBatidas[Início vinculado],0)),"")</f>
        <v/>
      </c>
      <c r="M122" t="str">
        <f>IFERROR(INDEX(tblPessoas[Base],MATCH(E122,tblPessoas[ID],0)),"")</f>
        <v/>
      </c>
      <c r="N122" s="3">
        <f>IFERROR(IF(D122="DIA ÚTIL",INDEX(tblPessoas[R$/h útil],MATCH(E122,tblPessoas[ID],0)),INDEX(tblPessoas[R$/h FDS],MATCH(E122,tblPessoas[ID],0))),0)</f>
        <v>0</v>
      </c>
      <c r="O122" s="3">
        <f>IFERROR(INDEX(tblPessoas[R$/diária],MATCH(E122,tblPessoas[ID],0)),0)</f>
        <v>0</v>
      </c>
      <c r="P122" s="3" t="str">
        <f t="shared" si="6"/>
        <v/>
      </c>
      <c r="Q122" t="str">
        <f>IF(A122="","",IF(COUNTIF(tblBatidas[Início vinculado],"B"&amp;MID($A122,2,99))=0,"EM ABERTO",IF(OR(COUNTIF(tblBatidas[Início vinculado],"B"&amp;MID($A122,2,99))&gt;1,K122&lt;0,K122&gt;16,INT(INDEX(tblBatidas[Data e hora],MATCH("B"&amp;MID($A122,2,99),tblBatidas[Início vinculado],0)))&lt;&gt;B122,INDEX(tblBatidas[ID],MATCH("B"&amp;MID($A122,2,99),tblBatidas[Início vinculado],0))&lt;&gt;E122,INDEX(tblBatidas[Projeto],MATCH("B"&amp;MID($A122,2,99),tblBatidas[Início vinculado],0))&lt;&gt;G122,INDEX(tblBatidas[Atividade],MATCH("B"&amp;MID($A122,2,99),tblBatidas[Início vinculado],0))&lt;&gt;H122),"REVISAR","CONCLUÍDO")))</f>
        <v/>
      </c>
      <c r="R122">
        <f>IF(Q122&lt;&gt;"CONCLUÍDO",0,IF(COUNTIFS($E$5:E122,E122,$B$5:B122,B122,$Q$5:Q122,"CONCLUÍDO")=1,1,0))</f>
        <v>0</v>
      </c>
      <c r="S122" t="str">
        <f t="shared" si="7"/>
        <v/>
      </c>
      <c r="T122" t="str">
        <f>IF(E122="","",E122*100000+COUNTIFS(tblRegistros[ID],E122,tblRegistros[Data],"&lt;"&amp;B122)+COUNTIFS(tblRegistros[ID],E122,tblRegistros[Data],B122,tblRegistros[Início],"&lt;"&amp;I122)+COUNTIFS($E$5:E122,E122,$B$5:B122,B122,$I$5:I122,I122))</f>
        <v/>
      </c>
    </row>
    <row r="123" spans="2:20">
      <c r="B123" s="2" t="str">
        <f>IFERROR(INT(INDEX(tblBatidas[Data e hora],MATCH("B"&amp;MID($A123,2,99),tblBatidas[Batida ID],0))),"")</f>
        <v/>
      </c>
      <c r="C123" t="str">
        <f t="shared" si="4"/>
        <v/>
      </c>
      <c r="D123" t="str">
        <f t="shared" si="5"/>
        <v/>
      </c>
      <c r="E123" t="str">
        <f>IFERROR(INDEX(tblBatidas[ID],MATCH("B"&amp;MID($A123,2,99),tblBatidas[Batida ID],0)),"")</f>
        <v/>
      </c>
      <c r="F123" t="str">
        <f>IFERROR(INDEX(tblPessoas[Pessoa],MATCH(E123,tblPessoas[ID],0)),"")</f>
        <v/>
      </c>
      <c r="G123" t="str">
        <f>IFERROR(INDEX(tblBatidas[Projeto],MATCH("B"&amp;MID($A123,2,99),tblBatidas[Batida ID],0)),"")</f>
        <v/>
      </c>
      <c r="H123" t="str">
        <f>IFERROR(INDEX(tblBatidas[Atividade],MATCH("B"&amp;MID($A123,2,99),tblBatidas[Batida ID],0)),"")</f>
        <v/>
      </c>
      <c r="I123" s="4" t="str">
        <f>IFERROR(MOD(INDEX(tblBatidas[Data e hora],MATCH("B"&amp;MID($A123,2,99),tblBatidas[Batida ID],0)),1),"")</f>
        <v/>
      </c>
      <c r="J123" s="4" t="str">
        <f>IFERROR(MOD(INDEX(tblBatidas[Data e hora],MATCH("B"&amp;MID($A123,2,99),tblBatidas[Início vinculado],0)),1),"")</f>
        <v/>
      </c>
      <c r="K123" s="14" t="str">
        <f>IFERROR((INDEX(tblBatidas[Data e hora],MATCH("B"&amp;MID($A123,2,99),tblBatidas[Início vinculado],0))-INDEX(tblBatidas[Data e hora],MATCH("B"&amp;MID($A123,2,99),tblBatidas[Batida ID],0)))*24,"")</f>
        <v/>
      </c>
      <c r="L123" t="str">
        <f>IFERROR(INDEX(tblBatidas[Observação],MATCH("B"&amp;MID($A123,2,99),tblBatidas[Início vinculado],0)),"")</f>
        <v/>
      </c>
      <c r="M123" t="str">
        <f>IFERROR(INDEX(tblPessoas[Base],MATCH(E123,tblPessoas[ID],0)),"")</f>
        <v/>
      </c>
      <c r="N123" s="3">
        <f>IFERROR(IF(D123="DIA ÚTIL",INDEX(tblPessoas[R$/h útil],MATCH(E123,tblPessoas[ID],0)),INDEX(tblPessoas[R$/h FDS],MATCH(E123,tblPessoas[ID],0))),0)</f>
        <v>0</v>
      </c>
      <c r="O123" s="3">
        <f>IFERROR(INDEX(tblPessoas[R$/diária],MATCH(E123,tblPessoas[ID],0)),0)</f>
        <v>0</v>
      </c>
      <c r="P123" s="3" t="str">
        <f t="shared" si="6"/>
        <v/>
      </c>
      <c r="Q123" t="str">
        <f>IF(A123="","",IF(COUNTIF(tblBatidas[Início vinculado],"B"&amp;MID($A123,2,99))=0,"EM ABERTO",IF(OR(COUNTIF(tblBatidas[Início vinculado],"B"&amp;MID($A123,2,99))&gt;1,K123&lt;0,K123&gt;16,INT(INDEX(tblBatidas[Data e hora],MATCH("B"&amp;MID($A123,2,99),tblBatidas[Início vinculado],0)))&lt;&gt;B123,INDEX(tblBatidas[ID],MATCH("B"&amp;MID($A123,2,99),tblBatidas[Início vinculado],0))&lt;&gt;E123,INDEX(tblBatidas[Projeto],MATCH("B"&amp;MID($A123,2,99),tblBatidas[Início vinculado],0))&lt;&gt;G123,INDEX(tblBatidas[Atividade],MATCH("B"&amp;MID($A123,2,99),tblBatidas[Início vinculado],0))&lt;&gt;H123),"REVISAR","CONCLUÍDO")))</f>
        <v/>
      </c>
      <c r="R123">
        <f>IF(Q123&lt;&gt;"CONCLUÍDO",0,IF(COUNTIFS($E$5:E123,E123,$B$5:B123,B123,$Q$5:Q123,"CONCLUÍDO")=1,1,0))</f>
        <v>0</v>
      </c>
      <c r="S123" t="str">
        <f t="shared" si="7"/>
        <v/>
      </c>
      <c r="T123" t="str">
        <f>IF(E123="","",E123*100000+COUNTIFS(tblRegistros[ID],E123,tblRegistros[Data],"&lt;"&amp;B123)+COUNTIFS(tblRegistros[ID],E123,tblRegistros[Data],B123,tblRegistros[Início],"&lt;"&amp;I123)+COUNTIFS($E$5:E123,E123,$B$5:B123,B123,$I$5:I123,I123))</f>
        <v/>
      </c>
    </row>
    <row r="124" spans="2:20">
      <c r="B124" s="2" t="str">
        <f>IFERROR(INT(INDEX(tblBatidas[Data e hora],MATCH("B"&amp;MID($A124,2,99),tblBatidas[Batida ID],0))),"")</f>
        <v/>
      </c>
      <c r="C124" t="str">
        <f t="shared" si="4"/>
        <v/>
      </c>
      <c r="D124" t="str">
        <f t="shared" si="5"/>
        <v/>
      </c>
      <c r="E124" t="str">
        <f>IFERROR(INDEX(tblBatidas[ID],MATCH("B"&amp;MID($A124,2,99),tblBatidas[Batida ID],0)),"")</f>
        <v/>
      </c>
      <c r="F124" t="str">
        <f>IFERROR(INDEX(tblPessoas[Pessoa],MATCH(E124,tblPessoas[ID],0)),"")</f>
        <v/>
      </c>
      <c r="G124" t="str">
        <f>IFERROR(INDEX(tblBatidas[Projeto],MATCH("B"&amp;MID($A124,2,99),tblBatidas[Batida ID],0)),"")</f>
        <v/>
      </c>
      <c r="H124" t="str">
        <f>IFERROR(INDEX(tblBatidas[Atividade],MATCH("B"&amp;MID($A124,2,99),tblBatidas[Batida ID],0)),"")</f>
        <v/>
      </c>
      <c r="I124" s="4" t="str">
        <f>IFERROR(MOD(INDEX(tblBatidas[Data e hora],MATCH("B"&amp;MID($A124,2,99),tblBatidas[Batida ID],0)),1),"")</f>
        <v/>
      </c>
      <c r="J124" s="4" t="str">
        <f>IFERROR(MOD(INDEX(tblBatidas[Data e hora],MATCH("B"&amp;MID($A124,2,99),tblBatidas[Início vinculado],0)),1),"")</f>
        <v/>
      </c>
      <c r="K124" s="14" t="str">
        <f>IFERROR((INDEX(tblBatidas[Data e hora],MATCH("B"&amp;MID($A124,2,99),tblBatidas[Início vinculado],0))-INDEX(tblBatidas[Data e hora],MATCH("B"&amp;MID($A124,2,99),tblBatidas[Batida ID],0)))*24,"")</f>
        <v/>
      </c>
      <c r="L124" t="str">
        <f>IFERROR(INDEX(tblBatidas[Observação],MATCH("B"&amp;MID($A124,2,99),tblBatidas[Início vinculado],0)),"")</f>
        <v/>
      </c>
      <c r="M124" t="str">
        <f>IFERROR(INDEX(tblPessoas[Base],MATCH(E124,tblPessoas[ID],0)),"")</f>
        <v/>
      </c>
      <c r="N124" s="3">
        <f>IFERROR(IF(D124="DIA ÚTIL",INDEX(tblPessoas[R$/h útil],MATCH(E124,tblPessoas[ID],0)),INDEX(tblPessoas[R$/h FDS],MATCH(E124,tblPessoas[ID],0))),0)</f>
        <v>0</v>
      </c>
      <c r="O124" s="3">
        <f>IFERROR(INDEX(tblPessoas[R$/diária],MATCH(E124,tblPessoas[ID],0)),0)</f>
        <v>0</v>
      </c>
      <c r="P124" s="3" t="str">
        <f t="shared" si="6"/>
        <v/>
      </c>
      <c r="Q124" t="str">
        <f>IF(A124="","",IF(COUNTIF(tblBatidas[Início vinculado],"B"&amp;MID($A124,2,99))=0,"EM ABERTO",IF(OR(COUNTIF(tblBatidas[Início vinculado],"B"&amp;MID($A124,2,99))&gt;1,K124&lt;0,K124&gt;16,INT(INDEX(tblBatidas[Data e hora],MATCH("B"&amp;MID($A124,2,99),tblBatidas[Início vinculado],0)))&lt;&gt;B124,INDEX(tblBatidas[ID],MATCH("B"&amp;MID($A124,2,99),tblBatidas[Início vinculado],0))&lt;&gt;E124,INDEX(tblBatidas[Projeto],MATCH("B"&amp;MID($A124,2,99),tblBatidas[Início vinculado],0))&lt;&gt;G124,INDEX(tblBatidas[Atividade],MATCH("B"&amp;MID($A124,2,99),tblBatidas[Início vinculado],0))&lt;&gt;H124),"REVISAR","CONCLUÍDO")))</f>
        <v/>
      </c>
      <c r="R124">
        <f>IF(Q124&lt;&gt;"CONCLUÍDO",0,IF(COUNTIFS($E$5:E124,E124,$B$5:B124,B124,$Q$5:Q124,"CONCLUÍDO")=1,1,0))</f>
        <v>0</v>
      </c>
      <c r="S124" t="str">
        <f t="shared" si="7"/>
        <v/>
      </c>
      <c r="T124" t="str">
        <f>IF(E124="","",E124*100000+COUNTIFS(tblRegistros[ID],E124,tblRegistros[Data],"&lt;"&amp;B124)+COUNTIFS(tblRegistros[ID],E124,tblRegistros[Data],B124,tblRegistros[Início],"&lt;"&amp;I124)+COUNTIFS($E$5:E124,E124,$B$5:B124,B124,$I$5:I124,I124))</f>
        <v/>
      </c>
    </row>
    <row r="125" spans="2:20">
      <c r="B125" s="2" t="str">
        <f>IFERROR(INT(INDEX(tblBatidas[Data e hora],MATCH("B"&amp;MID($A125,2,99),tblBatidas[Batida ID],0))),"")</f>
        <v/>
      </c>
      <c r="C125" t="str">
        <f t="shared" si="4"/>
        <v/>
      </c>
      <c r="D125" t="str">
        <f t="shared" si="5"/>
        <v/>
      </c>
      <c r="E125" t="str">
        <f>IFERROR(INDEX(tblBatidas[ID],MATCH("B"&amp;MID($A125,2,99),tblBatidas[Batida ID],0)),"")</f>
        <v/>
      </c>
      <c r="F125" t="str">
        <f>IFERROR(INDEX(tblPessoas[Pessoa],MATCH(E125,tblPessoas[ID],0)),"")</f>
        <v/>
      </c>
      <c r="G125" t="str">
        <f>IFERROR(INDEX(tblBatidas[Projeto],MATCH("B"&amp;MID($A125,2,99),tblBatidas[Batida ID],0)),"")</f>
        <v/>
      </c>
      <c r="H125" t="str">
        <f>IFERROR(INDEX(tblBatidas[Atividade],MATCH("B"&amp;MID($A125,2,99),tblBatidas[Batida ID],0)),"")</f>
        <v/>
      </c>
      <c r="I125" s="4" t="str">
        <f>IFERROR(MOD(INDEX(tblBatidas[Data e hora],MATCH("B"&amp;MID($A125,2,99),tblBatidas[Batida ID],0)),1),"")</f>
        <v/>
      </c>
      <c r="J125" s="4" t="str">
        <f>IFERROR(MOD(INDEX(tblBatidas[Data e hora],MATCH("B"&amp;MID($A125,2,99),tblBatidas[Início vinculado],0)),1),"")</f>
        <v/>
      </c>
      <c r="K125" s="14" t="str">
        <f>IFERROR((INDEX(tblBatidas[Data e hora],MATCH("B"&amp;MID($A125,2,99),tblBatidas[Início vinculado],0))-INDEX(tblBatidas[Data e hora],MATCH("B"&amp;MID($A125,2,99),tblBatidas[Batida ID],0)))*24,"")</f>
        <v/>
      </c>
      <c r="L125" t="str">
        <f>IFERROR(INDEX(tblBatidas[Observação],MATCH("B"&amp;MID($A125,2,99),tblBatidas[Início vinculado],0)),"")</f>
        <v/>
      </c>
      <c r="M125" t="str">
        <f>IFERROR(INDEX(tblPessoas[Base],MATCH(E125,tblPessoas[ID],0)),"")</f>
        <v/>
      </c>
      <c r="N125" s="3">
        <f>IFERROR(IF(D125="DIA ÚTIL",INDEX(tblPessoas[R$/h útil],MATCH(E125,tblPessoas[ID],0)),INDEX(tblPessoas[R$/h FDS],MATCH(E125,tblPessoas[ID],0))),0)</f>
        <v>0</v>
      </c>
      <c r="O125" s="3">
        <f>IFERROR(INDEX(tblPessoas[R$/diária],MATCH(E125,tblPessoas[ID],0)),0)</f>
        <v>0</v>
      </c>
      <c r="P125" s="3" t="str">
        <f t="shared" si="6"/>
        <v/>
      </c>
      <c r="Q125" t="str">
        <f>IF(A125="","",IF(COUNTIF(tblBatidas[Início vinculado],"B"&amp;MID($A125,2,99))=0,"EM ABERTO",IF(OR(COUNTIF(tblBatidas[Início vinculado],"B"&amp;MID($A125,2,99))&gt;1,K125&lt;0,K125&gt;16,INT(INDEX(tblBatidas[Data e hora],MATCH("B"&amp;MID($A125,2,99),tblBatidas[Início vinculado],0)))&lt;&gt;B125,INDEX(tblBatidas[ID],MATCH("B"&amp;MID($A125,2,99),tblBatidas[Início vinculado],0))&lt;&gt;E125,INDEX(tblBatidas[Projeto],MATCH("B"&amp;MID($A125,2,99),tblBatidas[Início vinculado],0))&lt;&gt;G125,INDEX(tblBatidas[Atividade],MATCH("B"&amp;MID($A125,2,99),tblBatidas[Início vinculado],0))&lt;&gt;H125),"REVISAR","CONCLUÍDO")))</f>
        <v/>
      </c>
      <c r="R125">
        <f>IF(Q125&lt;&gt;"CONCLUÍDO",0,IF(COUNTIFS($E$5:E125,E125,$B$5:B125,B125,$Q$5:Q125,"CONCLUÍDO")=1,1,0))</f>
        <v>0</v>
      </c>
      <c r="S125" t="str">
        <f t="shared" si="7"/>
        <v/>
      </c>
      <c r="T125" t="str">
        <f>IF(E125="","",E125*100000+COUNTIFS(tblRegistros[ID],E125,tblRegistros[Data],"&lt;"&amp;B125)+COUNTIFS(tblRegistros[ID],E125,tblRegistros[Data],B125,tblRegistros[Início],"&lt;"&amp;I125)+COUNTIFS($E$5:E125,E125,$B$5:B125,B125,$I$5:I125,I125))</f>
        <v/>
      </c>
    </row>
    <row r="126" spans="2:20">
      <c r="B126" s="2" t="str">
        <f>IFERROR(INT(INDEX(tblBatidas[Data e hora],MATCH("B"&amp;MID($A126,2,99),tblBatidas[Batida ID],0))),"")</f>
        <v/>
      </c>
      <c r="C126" t="str">
        <f t="shared" si="4"/>
        <v/>
      </c>
      <c r="D126" t="str">
        <f t="shared" si="5"/>
        <v/>
      </c>
      <c r="E126" t="str">
        <f>IFERROR(INDEX(tblBatidas[ID],MATCH("B"&amp;MID($A126,2,99),tblBatidas[Batida ID],0)),"")</f>
        <v/>
      </c>
      <c r="F126" t="str">
        <f>IFERROR(INDEX(tblPessoas[Pessoa],MATCH(E126,tblPessoas[ID],0)),"")</f>
        <v/>
      </c>
      <c r="G126" t="str">
        <f>IFERROR(INDEX(tblBatidas[Projeto],MATCH("B"&amp;MID($A126,2,99),tblBatidas[Batida ID],0)),"")</f>
        <v/>
      </c>
      <c r="H126" t="str">
        <f>IFERROR(INDEX(tblBatidas[Atividade],MATCH("B"&amp;MID($A126,2,99),tblBatidas[Batida ID],0)),"")</f>
        <v/>
      </c>
      <c r="I126" s="4" t="str">
        <f>IFERROR(MOD(INDEX(tblBatidas[Data e hora],MATCH("B"&amp;MID($A126,2,99),tblBatidas[Batida ID],0)),1),"")</f>
        <v/>
      </c>
      <c r="J126" s="4" t="str">
        <f>IFERROR(MOD(INDEX(tblBatidas[Data e hora],MATCH("B"&amp;MID($A126,2,99),tblBatidas[Início vinculado],0)),1),"")</f>
        <v/>
      </c>
      <c r="K126" s="14" t="str">
        <f>IFERROR((INDEX(tblBatidas[Data e hora],MATCH("B"&amp;MID($A126,2,99),tblBatidas[Início vinculado],0))-INDEX(tblBatidas[Data e hora],MATCH("B"&amp;MID($A126,2,99),tblBatidas[Batida ID],0)))*24,"")</f>
        <v/>
      </c>
      <c r="L126" t="str">
        <f>IFERROR(INDEX(tblBatidas[Observação],MATCH("B"&amp;MID($A126,2,99),tblBatidas[Início vinculado],0)),"")</f>
        <v/>
      </c>
      <c r="M126" t="str">
        <f>IFERROR(INDEX(tblPessoas[Base],MATCH(E126,tblPessoas[ID],0)),"")</f>
        <v/>
      </c>
      <c r="N126" s="3">
        <f>IFERROR(IF(D126="DIA ÚTIL",INDEX(tblPessoas[R$/h útil],MATCH(E126,tblPessoas[ID],0)),INDEX(tblPessoas[R$/h FDS],MATCH(E126,tblPessoas[ID],0))),0)</f>
        <v>0</v>
      </c>
      <c r="O126" s="3">
        <f>IFERROR(INDEX(tblPessoas[R$/diária],MATCH(E126,tblPessoas[ID],0)),0)</f>
        <v>0</v>
      </c>
      <c r="P126" s="3" t="str">
        <f t="shared" si="6"/>
        <v/>
      </c>
      <c r="Q126" t="str">
        <f>IF(A126="","",IF(COUNTIF(tblBatidas[Início vinculado],"B"&amp;MID($A126,2,99))=0,"EM ABERTO",IF(OR(COUNTIF(tblBatidas[Início vinculado],"B"&amp;MID($A126,2,99))&gt;1,K126&lt;0,K126&gt;16,INT(INDEX(tblBatidas[Data e hora],MATCH("B"&amp;MID($A126,2,99),tblBatidas[Início vinculado],0)))&lt;&gt;B126,INDEX(tblBatidas[ID],MATCH("B"&amp;MID($A126,2,99),tblBatidas[Início vinculado],0))&lt;&gt;E126,INDEX(tblBatidas[Projeto],MATCH("B"&amp;MID($A126,2,99),tblBatidas[Início vinculado],0))&lt;&gt;G126,INDEX(tblBatidas[Atividade],MATCH("B"&amp;MID($A126,2,99),tblBatidas[Início vinculado],0))&lt;&gt;H126),"REVISAR","CONCLUÍDO")))</f>
        <v/>
      </c>
      <c r="R126">
        <f>IF(Q126&lt;&gt;"CONCLUÍDO",0,IF(COUNTIFS($E$5:E126,E126,$B$5:B126,B126,$Q$5:Q126,"CONCLUÍDO")=1,1,0))</f>
        <v>0</v>
      </c>
      <c r="S126" t="str">
        <f t="shared" si="7"/>
        <v/>
      </c>
      <c r="T126" t="str">
        <f>IF(E126="","",E126*100000+COUNTIFS(tblRegistros[ID],E126,tblRegistros[Data],"&lt;"&amp;B126)+COUNTIFS(tblRegistros[ID],E126,tblRegistros[Data],B126,tblRegistros[Início],"&lt;"&amp;I126)+COUNTIFS($E$5:E126,E126,$B$5:B126,B126,$I$5:I126,I126))</f>
        <v/>
      </c>
    </row>
    <row r="127" spans="2:20">
      <c r="B127" s="2" t="str">
        <f>IFERROR(INT(INDEX(tblBatidas[Data e hora],MATCH("B"&amp;MID($A127,2,99),tblBatidas[Batida ID],0))),"")</f>
        <v/>
      </c>
      <c r="C127" t="str">
        <f t="shared" si="4"/>
        <v/>
      </c>
      <c r="D127" t="str">
        <f t="shared" si="5"/>
        <v/>
      </c>
      <c r="E127" t="str">
        <f>IFERROR(INDEX(tblBatidas[ID],MATCH("B"&amp;MID($A127,2,99),tblBatidas[Batida ID],0)),"")</f>
        <v/>
      </c>
      <c r="F127" t="str">
        <f>IFERROR(INDEX(tblPessoas[Pessoa],MATCH(E127,tblPessoas[ID],0)),"")</f>
        <v/>
      </c>
      <c r="G127" t="str">
        <f>IFERROR(INDEX(tblBatidas[Projeto],MATCH("B"&amp;MID($A127,2,99),tblBatidas[Batida ID],0)),"")</f>
        <v/>
      </c>
      <c r="H127" t="str">
        <f>IFERROR(INDEX(tblBatidas[Atividade],MATCH("B"&amp;MID($A127,2,99),tblBatidas[Batida ID],0)),"")</f>
        <v/>
      </c>
      <c r="I127" s="4" t="str">
        <f>IFERROR(MOD(INDEX(tblBatidas[Data e hora],MATCH("B"&amp;MID($A127,2,99),tblBatidas[Batida ID],0)),1),"")</f>
        <v/>
      </c>
      <c r="J127" s="4" t="str">
        <f>IFERROR(MOD(INDEX(tblBatidas[Data e hora],MATCH("B"&amp;MID($A127,2,99),tblBatidas[Início vinculado],0)),1),"")</f>
        <v/>
      </c>
      <c r="K127" s="14" t="str">
        <f>IFERROR((INDEX(tblBatidas[Data e hora],MATCH("B"&amp;MID($A127,2,99),tblBatidas[Início vinculado],0))-INDEX(tblBatidas[Data e hora],MATCH("B"&amp;MID($A127,2,99),tblBatidas[Batida ID],0)))*24,"")</f>
        <v/>
      </c>
      <c r="L127" t="str">
        <f>IFERROR(INDEX(tblBatidas[Observação],MATCH("B"&amp;MID($A127,2,99),tblBatidas[Início vinculado],0)),"")</f>
        <v/>
      </c>
      <c r="M127" t="str">
        <f>IFERROR(INDEX(tblPessoas[Base],MATCH(E127,tblPessoas[ID],0)),"")</f>
        <v/>
      </c>
      <c r="N127" s="3">
        <f>IFERROR(IF(D127="DIA ÚTIL",INDEX(tblPessoas[R$/h útil],MATCH(E127,tblPessoas[ID],0)),INDEX(tblPessoas[R$/h FDS],MATCH(E127,tblPessoas[ID],0))),0)</f>
        <v>0</v>
      </c>
      <c r="O127" s="3">
        <f>IFERROR(INDEX(tblPessoas[R$/diária],MATCH(E127,tblPessoas[ID],0)),0)</f>
        <v>0</v>
      </c>
      <c r="P127" s="3" t="str">
        <f t="shared" si="6"/>
        <v/>
      </c>
      <c r="Q127" t="str">
        <f>IF(A127="","",IF(COUNTIF(tblBatidas[Início vinculado],"B"&amp;MID($A127,2,99))=0,"EM ABERTO",IF(OR(COUNTIF(tblBatidas[Início vinculado],"B"&amp;MID($A127,2,99))&gt;1,K127&lt;0,K127&gt;16,INT(INDEX(tblBatidas[Data e hora],MATCH("B"&amp;MID($A127,2,99),tblBatidas[Início vinculado],0)))&lt;&gt;B127,INDEX(tblBatidas[ID],MATCH("B"&amp;MID($A127,2,99),tblBatidas[Início vinculado],0))&lt;&gt;E127,INDEX(tblBatidas[Projeto],MATCH("B"&amp;MID($A127,2,99),tblBatidas[Início vinculado],0))&lt;&gt;G127,INDEX(tblBatidas[Atividade],MATCH("B"&amp;MID($A127,2,99),tblBatidas[Início vinculado],0))&lt;&gt;H127),"REVISAR","CONCLUÍDO")))</f>
        <v/>
      </c>
      <c r="R127">
        <f>IF(Q127&lt;&gt;"CONCLUÍDO",0,IF(COUNTIFS($E$5:E127,E127,$B$5:B127,B127,$Q$5:Q127,"CONCLUÍDO")=1,1,0))</f>
        <v>0</v>
      </c>
      <c r="S127" t="str">
        <f t="shared" si="7"/>
        <v/>
      </c>
      <c r="T127" t="str">
        <f>IF(E127="","",E127*100000+COUNTIFS(tblRegistros[ID],E127,tblRegistros[Data],"&lt;"&amp;B127)+COUNTIFS(tblRegistros[ID],E127,tblRegistros[Data],B127,tblRegistros[Início],"&lt;"&amp;I127)+COUNTIFS($E$5:E127,E127,$B$5:B127,B127,$I$5:I127,I127))</f>
        <v/>
      </c>
    </row>
    <row r="128" spans="2:20">
      <c r="B128" s="2" t="str">
        <f>IFERROR(INT(INDEX(tblBatidas[Data e hora],MATCH("B"&amp;MID($A128,2,99),tblBatidas[Batida ID],0))),"")</f>
        <v/>
      </c>
      <c r="C128" t="str">
        <f t="shared" si="4"/>
        <v/>
      </c>
      <c r="D128" t="str">
        <f t="shared" si="5"/>
        <v/>
      </c>
      <c r="E128" t="str">
        <f>IFERROR(INDEX(tblBatidas[ID],MATCH("B"&amp;MID($A128,2,99),tblBatidas[Batida ID],0)),"")</f>
        <v/>
      </c>
      <c r="F128" t="str">
        <f>IFERROR(INDEX(tblPessoas[Pessoa],MATCH(E128,tblPessoas[ID],0)),"")</f>
        <v/>
      </c>
      <c r="G128" t="str">
        <f>IFERROR(INDEX(tblBatidas[Projeto],MATCH("B"&amp;MID($A128,2,99),tblBatidas[Batida ID],0)),"")</f>
        <v/>
      </c>
      <c r="H128" t="str">
        <f>IFERROR(INDEX(tblBatidas[Atividade],MATCH("B"&amp;MID($A128,2,99),tblBatidas[Batida ID],0)),"")</f>
        <v/>
      </c>
      <c r="I128" s="4" t="str">
        <f>IFERROR(MOD(INDEX(tblBatidas[Data e hora],MATCH("B"&amp;MID($A128,2,99),tblBatidas[Batida ID],0)),1),"")</f>
        <v/>
      </c>
      <c r="J128" s="4" t="str">
        <f>IFERROR(MOD(INDEX(tblBatidas[Data e hora],MATCH("B"&amp;MID($A128,2,99),tblBatidas[Início vinculado],0)),1),"")</f>
        <v/>
      </c>
      <c r="K128" s="14" t="str">
        <f>IFERROR((INDEX(tblBatidas[Data e hora],MATCH("B"&amp;MID($A128,2,99),tblBatidas[Início vinculado],0))-INDEX(tblBatidas[Data e hora],MATCH("B"&amp;MID($A128,2,99),tblBatidas[Batida ID],0)))*24,"")</f>
        <v/>
      </c>
      <c r="L128" t="str">
        <f>IFERROR(INDEX(tblBatidas[Observação],MATCH("B"&amp;MID($A128,2,99),tblBatidas[Início vinculado],0)),"")</f>
        <v/>
      </c>
      <c r="M128" t="str">
        <f>IFERROR(INDEX(tblPessoas[Base],MATCH(E128,tblPessoas[ID],0)),"")</f>
        <v/>
      </c>
      <c r="N128" s="3">
        <f>IFERROR(IF(D128="DIA ÚTIL",INDEX(tblPessoas[R$/h útil],MATCH(E128,tblPessoas[ID],0)),INDEX(tblPessoas[R$/h FDS],MATCH(E128,tblPessoas[ID],0))),0)</f>
        <v>0</v>
      </c>
      <c r="O128" s="3">
        <f>IFERROR(INDEX(tblPessoas[R$/diária],MATCH(E128,tblPessoas[ID],0)),0)</f>
        <v>0</v>
      </c>
      <c r="P128" s="3" t="str">
        <f t="shared" si="6"/>
        <v/>
      </c>
      <c r="Q128" t="str">
        <f>IF(A128="","",IF(COUNTIF(tblBatidas[Início vinculado],"B"&amp;MID($A128,2,99))=0,"EM ABERTO",IF(OR(COUNTIF(tblBatidas[Início vinculado],"B"&amp;MID($A128,2,99))&gt;1,K128&lt;0,K128&gt;16,INT(INDEX(tblBatidas[Data e hora],MATCH("B"&amp;MID($A128,2,99),tblBatidas[Início vinculado],0)))&lt;&gt;B128,INDEX(tblBatidas[ID],MATCH("B"&amp;MID($A128,2,99),tblBatidas[Início vinculado],0))&lt;&gt;E128,INDEX(tblBatidas[Projeto],MATCH("B"&amp;MID($A128,2,99),tblBatidas[Início vinculado],0))&lt;&gt;G128,INDEX(tblBatidas[Atividade],MATCH("B"&amp;MID($A128,2,99),tblBatidas[Início vinculado],0))&lt;&gt;H128),"REVISAR","CONCLUÍDO")))</f>
        <v/>
      </c>
      <c r="R128">
        <f>IF(Q128&lt;&gt;"CONCLUÍDO",0,IF(COUNTIFS($E$5:E128,E128,$B$5:B128,B128,$Q$5:Q128,"CONCLUÍDO")=1,1,0))</f>
        <v>0</v>
      </c>
      <c r="S128" t="str">
        <f t="shared" si="7"/>
        <v/>
      </c>
      <c r="T128" t="str">
        <f>IF(E128="","",E128*100000+COUNTIFS(tblRegistros[ID],E128,tblRegistros[Data],"&lt;"&amp;B128)+COUNTIFS(tblRegistros[ID],E128,tblRegistros[Data],B128,tblRegistros[Início],"&lt;"&amp;I128)+COUNTIFS($E$5:E128,E128,$B$5:B128,B128,$I$5:I128,I128))</f>
        <v/>
      </c>
    </row>
    <row r="129" spans="2:20">
      <c r="B129" s="2" t="str">
        <f>IFERROR(INT(INDEX(tblBatidas[Data e hora],MATCH("B"&amp;MID($A129,2,99),tblBatidas[Batida ID],0))),"")</f>
        <v/>
      </c>
      <c r="C129" t="str">
        <f t="shared" si="4"/>
        <v/>
      </c>
      <c r="D129" t="str">
        <f t="shared" si="5"/>
        <v/>
      </c>
      <c r="E129" t="str">
        <f>IFERROR(INDEX(tblBatidas[ID],MATCH("B"&amp;MID($A129,2,99),tblBatidas[Batida ID],0)),"")</f>
        <v/>
      </c>
      <c r="F129" t="str">
        <f>IFERROR(INDEX(tblPessoas[Pessoa],MATCH(E129,tblPessoas[ID],0)),"")</f>
        <v/>
      </c>
      <c r="G129" t="str">
        <f>IFERROR(INDEX(tblBatidas[Projeto],MATCH("B"&amp;MID($A129,2,99),tblBatidas[Batida ID],0)),"")</f>
        <v/>
      </c>
      <c r="H129" t="str">
        <f>IFERROR(INDEX(tblBatidas[Atividade],MATCH("B"&amp;MID($A129,2,99),tblBatidas[Batida ID],0)),"")</f>
        <v/>
      </c>
      <c r="I129" s="4" t="str">
        <f>IFERROR(MOD(INDEX(tblBatidas[Data e hora],MATCH("B"&amp;MID($A129,2,99),tblBatidas[Batida ID],0)),1),"")</f>
        <v/>
      </c>
      <c r="J129" s="4" t="str">
        <f>IFERROR(MOD(INDEX(tblBatidas[Data e hora],MATCH("B"&amp;MID($A129,2,99),tblBatidas[Início vinculado],0)),1),"")</f>
        <v/>
      </c>
      <c r="K129" s="14" t="str">
        <f>IFERROR((INDEX(tblBatidas[Data e hora],MATCH("B"&amp;MID($A129,2,99),tblBatidas[Início vinculado],0))-INDEX(tblBatidas[Data e hora],MATCH("B"&amp;MID($A129,2,99),tblBatidas[Batida ID],0)))*24,"")</f>
        <v/>
      </c>
      <c r="L129" t="str">
        <f>IFERROR(INDEX(tblBatidas[Observação],MATCH("B"&amp;MID($A129,2,99),tblBatidas[Início vinculado],0)),"")</f>
        <v/>
      </c>
      <c r="M129" t="str">
        <f>IFERROR(INDEX(tblPessoas[Base],MATCH(E129,tblPessoas[ID],0)),"")</f>
        <v/>
      </c>
      <c r="N129" s="3">
        <f>IFERROR(IF(D129="DIA ÚTIL",INDEX(tblPessoas[R$/h útil],MATCH(E129,tblPessoas[ID],0)),INDEX(tblPessoas[R$/h FDS],MATCH(E129,tblPessoas[ID],0))),0)</f>
        <v>0</v>
      </c>
      <c r="O129" s="3">
        <f>IFERROR(INDEX(tblPessoas[R$/diária],MATCH(E129,tblPessoas[ID],0)),0)</f>
        <v>0</v>
      </c>
      <c r="P129" s="3" t="str">
        <f t="shared" si="6"/>
        <v/>
      </c>
      <c r="Q129" t="str">
        <f>IF(A129="","",IF(COUNTIF(tblBatidas[Início vinculado],"B"&amp;MID($A129,2,99))=0,"EM ABERTO",IF(OR(COUNTIF(tblBatidas[Início vinculado],"B"&amp;MID($A129,2,99))&gt;1,K129&lt;0,K129&gt;16,INT(INDEX(tblBatidas[Data e hora],MATCH("B"&amp;MID($A129,2,99),tblBatidas[Início vinculado],0)))&lt;&gt;B129,INDEX(tblBatidas[ID],MATCH("B"&amp;MID($A129,2,99),tblBatidas[Início vinculado],0))&lt;&gt;E129,INDEX(tblBatidas[Projeto],MATCH("B"&amp;MID($A129,2,99),tblBatidas[Início vinculado],0))&lt;&gt;G129,INDEX(tblBatidas[Atividade],MATCH("B"&amp;MID($A129,2,99),tblBatidas[Início vinculado],0))&lt;&gt;H129),"REVISAR","CONCLUÍDO")))</f>
        <v/>
      </c>
      <c r="R129">
        <f>IF(Q129&lt;&gt;"CONCLUÍDO",0,IF(COUNTIFS($E$5:E129,E129,$B$5:B129,B129,$Q$5:Q129,"CONCLUÍDO")=1,1,0))</f>
        <v>0</v>
      </c>
      <c r="S129" t="str">
        <f t="shared" si="7"/>
        <v/>
      </c>
      <c r="T129" t="str">
        <f>IF(E129="","",E129*100000+COUNTIFS(tblRegistros[ID],E129,tblRegistros[Data],"&lt;"&amp;B129)+COUNTIFS(tblRegistros[ID],E129,tblRegistros[Data],B129,tblRegistros[Início],"&lt;"&amp;I129)+COUNTIFS($E$5:E129,E129,$B$5:B129,B129,$I$5:I129,I129))</f>
        <v/>
      </c>
    </row>
    <row r="130" spans="2:20">
      <c r="B130" s="2" t="str">
        <f>IFERROR(INT(INDEX(tblBatidas[Data e hora],MATCH("B"&amp;MID($A130,2,99),tblBatidas[Batida ID],0))),"")</f>
        <v/>
      </c>
      <c r="C130" t="str">
        <f t="shared" si="4"/>
        <v/>
      </c>
      <c r="D130" t="str">
        <f t="shared" si="5"/>
        <v/>
      </c>
      <c r="E130" t="str">
        <f>IFERROR(INDEX(tblBatidas[ID],MATCH("B"&amp;MID($A130,2,99),tblBatidas[Batida ID],0)),"")</f>
        <v/>
      </c>
      <c r="F130" t="str">
        <f>IFERROR(INDEX(tblPessoas[Pessoa],MATCH(E130,tblPessoas[ID],0)),"")</f>
        <v/>
      </c>
      <c r="G130" t="str">
        <f>IFERROR(INDEX(tblBatidas[Projeto],MATCH("B"&amp;MID($A130,2,99),tblBatidas[Batida ID],0)),"")</f>
        <v/>
      </c>
      <c r="H130" t="str">
        <f>IFERROR(INDEX(tblBatidas[Atividade],MATCH("B"&amp;MID($A130,2,99),tblBatidas[Batida ID],0)),"")</f>
        <v/>
      </c>
      <c r="I130" s="4" t="str">
        <f>IFERROR(MOD(INDEX(tblBatidas[Data e hora],MATCH("B"&amp;MID($A130,2,99),tblBatidas[Batida ID],0)),1),"")</f>
        <v/>
      </c>
      <c r="J130" s="4" t="str">
        <f>IFERROR(MOD(INDEX(tblBatidas[Data e hora],MATCH("B"&amp;MID($A130,2,99),tblBatidas[Início vinculado],0)),1),"")</f>
        <v/>
      </c>
      <c r="K130" s="14" t="str">
        <f>IFERROR((INDEX(tblBatidas[Data e hora],MATCH("B"&amp;MID($A130,2,99),tblBatidas[Início vinculado],0))-INDEX(tblBatidas[Data e hora],MATCH("B"&amp;MID($A130,2,99),tblBatidas[Batida ID],0)))*24,"")</f>
        <v/>
      </c>
      <c r="L130" t="str">
        <f>IFERROR(INDEX(tblBatidas[Observação],MATCH("B"&amp;MID($A130,2,99),tblBatidas[Início vinculado],0)),"")</f>
        <v/>
      </c>
      <c r="M130" t="str">
        <f>IFERROR(INDEX(tblPessoas[Base],MATCH(E130,tblPessoas[ID],0)),"")</f>
        <v/>
      </c>
      <c r="N130" s="3">
        <f>IFERROR(IF(D130="DIA ÚTIL",INDEX(tblPessoas[R$/h útil],MATCH(E130,tblPessoas[ID],0)),INDEX(tblPessoas[R$/h FDS],MATCH(E130,tblPessoas[ID],0))),0)</f>
        <v>0</v>
      </c>
      <c r="O130" s="3">
        <f>IFERROR(INDEX(tblPessoas[R$/diária],MATCH(E130,tblPessoas[ID],0)),0)</f>
        <v>0</v>
      </c>
      <c r="P130" s="3" t="str">
        <f t="shared" si="6"/>
        <v/>
      </c>
      <c r="Q130" t="str">
        <f>IF(A130="","",IF(COUNTIF(tblBatidas[Início vinculado],"B"&amp;MID($A130,2,99))=0,"EM ABERTO",IF(OR(COUNTIF(tblBatidas[Início vinculado],"B"&amp;MID($A130,2,99))&gt;1,K130&lt;0,K130&gt;16,INT(INDEX(tblBatidas[Data e hora],MATCH("B"&amp;MID($A130,2,99),tblBatidas[Início vinculado],0)))&lt;&gt;B130,INDEX(tblBatidas[ID],MATCH("B"&amp;MID($A130,2,99),tblBatidas[Início vinculado],0))&lt;&gt;E130,INDEX(tblBatidas[Projeto],MATCH("B"&amp;MID($A130,2,99),tblBatidas[Início vinculado],0))&lt;&gt;G130,INDEX(tblBatidas[Atividade],MATCH("B"&amp;MID($A130,2,99),tblBatidas[Início vinculado],0))&lt;&gt;H130),"REVISAR","CONCLUÍDO")))</f>
        <v/>
      </c>
      <c r="R130">
        <f>IF(Q130&lt;&gt;"CONCLUÍDO",0,IF(COUNTIFS($E$5:E130,E130,$B$5:B130,B130,$Q$5:Q130,"CONCLUÍDO")=1,1,0))</f>
        <v>0</v>
      </c>
      <c r="S130" t="str">
        <f t="shared" si="7"/>
        <v/>
      </c>
      <c r="T130" t="str">
        <f>IF(E130="","",E130*100000+COUNTIFS(tblRegistros[ID],E130,tblRegistros[Data],"&lt;"&amp;B130)+COUNTIFS(tblRegistros[ID],E130,tblRegistros[Data],B130,tblRegistros[Início],"&lt;"&amp;I130)+COUNTIFS($E$5:E130,E130,$B$5:B130,B130,$I$5:I130,I130))</f>
        <v/>
      </c>
    </row>
    <row r="131" spans="2:20">
      <c r="B131" s="2" t="str">
        <f>IFERROR(INT(INDEX(tblBatidas[Data e hora],MATCH("B"&amp;MID($A131,2,99),tblBatidas[Batida ID],0))),"")</f>
        <v/>
      </c>
      <c r="C131" t="str">
        <f t="shared" si="4"/>
        <v/>
      </c>
      <c r="D131" t="str">
        <f t="shared" si="5"/>
        <v/>
      </c>
      <c r="E131" t="str">
        <f>IFERROR(INDEX(tblBatidas[ID],MATCH("B"&amp;MID($A131,2,99),tblBatidas[Batida ID],0)),"")</f>
        <v/>
      </c>
      <c r="F131" t="str">
        <f>IFERROR(INDEX(tblPessoas[Pessoa],MATCH(E131,tblPessoas[ID],0)),"")</f>
        <v/>
      </c>
      <c r="G131" t="str">
        <f>IFERROR(INDEX(tblBatidas[Projeto],MATCH("B"&amp;MID($A131,2,99),tblBatidas[Batida ID],0)),"")</f>
        <v/>
      </c>
      <c r="H131" t="str">
        <f>IFERROR(INDEX(tblBatidas[Atividade],MATCH("B"&amp;MID($A131,2,99),tblBatidas[Batida ID],0)),"")</f>
        <v/>
      </c>
      <c r="I131" s="4" t="str">
        <f>IFERROR(MOD(INDEX(tblBatidas[Data e hora],MATCH("B"&amp;MID($A131,2,99),tblBatidas[Batida ID],0)),1),"")</f>
        <v/>
      </c>
      <c r="J131" s="4" t="str">
        <f>IFERROR(MOD(INDEX(tblBatidas[Data e hora],MATCH("B"&amp;MID($A131,2,99),tblBatidas[Início vinculado],0)),1),"")</f>
        <v/>
      </c>
      <c r="K131" s="14" t="str">
        <f>IFERROR((INDEX(tblBatidas[Data e hora],MATCH("B"&amp;MID($A131,2,99),tblBatidas[Início vinculado],0))-INDEX(tblBatidas[Data e hora],MATCH("B"&amp;MID($A131,2,99),tblBatidas[Batida ID],0)))*24,"")</f>
        <v/>
      </c>
      <c r="L131" t="str">
        <f>IFERROR(INDEX(tblBatidas[Observação],MATCH("B"&amp;MID($A131,2,99),tblBatidas[Início vinculado],0)),"")</f>
        <v/>
      </c>
      <c r="M131" t="str">
        <f>IFERROR(INDEX(tblPessoas[Base],MATCH(E131,tblPessoas[ID],0)),"")</f>
        <v/>
      </c>
      <c r="N131" s="3">
        <f>IFERROR(IF(D131="DIA ÚTIL",INDEX(tblPessoas[R$/h útil],MATCH(E131,tblPessoas[ID],0)),INDEX(tblPessoas[R$/h FDS],MATCH(E131,tblPessoas[ID],0))),0)</f>
        <v>0</v>
      </c>
      <c r="O131" s="3">
        <f>IFERROR(INDEX(tblPessoas[R$/diária],MATCH(E131,tblPessoas[ID],0)),0)</f>
        <v>0</v>
      </c>
      <c r="P131" s="3" t="str">
        <f t="shared" si="6"/>
        <v/>
      </c>
      <c r="Q131" t="str">
        <f>IF(A131="","",IF(COUNTIF(tblBatidas[Início vinculado],"B"&amp;MID($A131,2,99))=0,"EM ABERTO",IF(OR(COUNTIF(tblBatidas[Início vinculado],"B"&amp;MID($A131,2,99))&gt;1,K131&lt;0,K131&gt;16,INT(INDEX(tblBatidas[Data e hora],MATCH("B"&amp;MID($A131,2,99),tblBatidas[Início vinculado],0)))&lt;&gt;B131,INDEX(tblBatidas[ID],MATCH("B"&amp;MID($A131,2,99),tblBatidas[Início vinculado],0))&lt;&gt;E131,INDEX(tblBatidas[Projeto],MATCH("B"&amp;MID($A131,2,99),tblBatidas[Início vinculado],0))&lt;&gt;G131,INDEX(tblBatidas[Atividade],MATCH("B"&amp;MID($A131,2,99),tblBatidas[Início vinculado],0))&lt;&gt;H131),"REVISAR","CONCLUÍDO")))</f>
        <v/>
      </c>
      <c r="R131">
        <f>IF(Q131&lt;&gt;"CONCLUÍDO",0,IF(COUNTIFS($E$5:E131,E131,$B$5:B131,B131,$Q$5:Q131,"CONCLUÍDO")=1,1,0))</f>
        <v>0</v>
      </c>
      <c r="S131" t="str">
        <f t="shared" si="7"/>
        <v/>
      </c>
      <c r="T131" t="str">
        <f>IF(E131="","",E131*100000+COUNTIFS(tblRegistros[ID],E131,tblRegistros[Data],"&lt;"&amp;B131)+COUNTIFS(tblRegistros[ID],E131,tblRegistros[Data],B131,tblRegistros[Início],"&lt;"&amp;I131)+COUNTIFS($E$5:E131,E131,$B$5:B131,B131,$I$5:I131,I131))</f>
        <v/>
      </c>
    </row>
    <row r="132" spans="2:20">
      <c r="B132" s="2" t="str">
        <f>IFERROR(INT(INDEX(tblBatidas[Data e hora],MATCH("B"&amp;MID($A132,2,99),tblBatidas[Batida ID],0))),"")</f>
        <v/>
      </c>
      <c r="C132" t="str">
        <f t="shared" si="4"/>
        <v/>
      </c>
      <c r="D132" t="str">
        <f t="shared" si="5"/>
        <v/>
      </c>
      <c r="E132" t="str">
        <f>IFERROR(INDEX(tblBatidas[ID],MATCH("B"&amp;MID($A132,2,99),tblBatidas[Batida ID],0)),"")</f>
        <v/>
      </c>
      <c r="F132" t="str">
        <f>IFERROR(INDEX(tblPessoas[Pessoa],MATCH(E132,tblPessoas[ID],0)),"")</f>
        <v/>
      </c>
      <c r="G132" t="str">
        <f>IFERROR(INDEX(tblBatidas[Projeto],MATCH("B"&amp;MID($A132,2,99),tblBatidas[Batida ID],0)),"")</f>
        <v/>
      </c>
      <c r="H132" t="str">
        <f>IFERROR(INDEX(tblBatidas[Atividade],MATCH("B"&amp;MID($A132,2,99),tblBatidas[Batida ID],0)),"")</f>
        <v/>
      </c>
      <c r="I132" s="4" t="str">
        <f>IFERROR(MOD(INDEX(tblBatidas[Data e hora],MATCH("B"&amp;MID($A132,2,99),tblBatidas[Batida ID],0)),1),"")</f>
        <v/>
      </c>
      <c r="J132" s="4" t="str">
        <f>IFERROR(MOD(INDEX(tblBatidas[Data e hora],MATCH("B"&amp;MID($A132,2,99),tblBatidas[Início vinculado],0)),1),"")</f>
        <v/>
      </c>
      <c r="K132" s="14" t="str">
        <f>IFERROR((INDEX(tblBatidas[Data e hora],MATCH("B"&amp;MID($A132,2,99),tblBatidas[Início vinculado],0))-INDEX(tblBatidas[Data e hora],MATCH("B"&amp;MID($A132,2,99),tblBatidas[Batida ID],0)))*24,"")</f>
        <v/>
      </c>
      <c r="L132" t="str">
        <f>IFERROR(INDEX(tblBatidas[Observação],MATCH("B"&amp;MID($A132,2,99),tblBatidas[Início vinculado],0)),"")</f>
        <v/>
      </c>
      <c r="M132" t="str">
        <f>IFERROR(INDEX(tblPessoas[Base],MATCH(E132,tblPessoas[ID],0)),"")</f>
        <v/>
      </c>
      <c r="N132" s="3">
        <f>IFERROR(IF(D132="DIA ÚTIL",INDEX(tblPessoas[R$/h útil],MATCH(E132,tblPessoas[ID],0)),INDEX(tblPessoas[R$/h FDS],MATCH(E132,tblPessoas[ID],0))),0)</f>
        <v>0</v>
      </c>
      <c r="O132" s="3">
        <f>IFERROR(INDEX(tblPessoas[R$/diária],MATCH(E132,tblPessoas[ID],0)),0)</f>
        <v>0</v>
      </c>
      <c r="P132" s="3" t="str">
        <f t="shared" si="6"/>
        <v/>
      </c>
      <c r="Q132" t="str">
        <f>IF(A132="","",IF(COUNTIF(tblBatidas[Início vinculado],"B"&amp;MID($A132,2,99))=0,"EM ABERTO",IF(OR(COUNTIF(tblBatidas[Início vinculado],"B"&amp;MID($A132,2,99))&gt;1,K132&lt;0,K132&gt;16,INT(INDEX(tblBatidas[Data e hora],MATCH("B"&amp;MID($A132,2,99),tblBatidas[Início vinculado],0)))&lt;&gt;B132,INDEX(tblBatidas[ID],MATCH("B"&amp;MID($A132,2,99),tblBatidas[Início vinculado],0))&lt;&gt;E132,INDEX(tblBatidas[Projeto],MATCH("B"&amp;MID($A132,2,99),tblBatidas[Início vinculado],0))&lt;&gt;G132,INDEX(tblBatidas[Atividade],MATCH("B"&amp;MID($A132,2,99),tblBatidas[Início vinculado],0))&lt;&gt;H132),"REVISAR","CONCLUÍDO")))</f>
        <v/>
      </c>
      <c r="R132">
        <f>IF(Q132&lt;&gt;"CONCLUÍDO",0,IF(COUNTIFS($E$5:E132,E132,$B$5:B132,B132,$Q$5:Q132,"CONCLUÍDO")=1,1,0))</f>
        <v>0</v>
      </c>
      <c r="S132" t="str">
        <f t="shared" si="7"/>
        <v/>
      </c>
      <c r="T132" t="str">
        <f>IF(E132="","",E132*100000+COUNTIFS(tblRegistros[ID],E132,tblRegistros[Data],"&lt;"&amp;B132)+COUNTIFS(tblRegistros[ID],E132,tblRegistros[Data],B132,tblRegistros[Início],"&lt;"&amp;I132)+COUNTIFS($E$5:E132,E132,$B$5:B132,B132,$I$5:I132,I132))</f>
        <v/>
      </c>
    </row>
    <row r="133" spans="2:20">
      <c r="B133" s="2" t="str">
        <f>IFERROR(INT(INDEX(tblBatidas[Data e hora],MATCH("B"&amp;MID($A133,2,99),tblBatidas[Batida ID],0))),"")</f>
        <v/>
      </c>
      <c r="C133" t="str">
        <f t="shared" ref="C133:C196" si="8">IF(B133="","",CHOOSE(WEEKDAY(B133,2),"SEGUNDA-FEIRA","TERÇA-FEIRA","QUARTA-FEIRA","QUINTA-FEIRA","SEXTA-FEIRA","SÁBADO","DOMINGO"))</f>
        <v/>
      </c>
      <c r="D133" t="str">
        <f t="shared" ref="D133:D196" si="9">IF(B133="","",IF(WEEKDAY(B133,2)&gt;5,"FDS/FERIADO","DIA ÚTIL"))</f>
        <v/>
      </c>
      <c r="E133" t="str">
        <f>IFERROR(INDEX(tblBatidas[ID],MATCH("B"&amp;MID($A133,2,99),tblBatidas[Batida ID],0)),"")</f>
        <v/>
      </c>
      <c r="F133" t="str">
        <f>IFERROR(INDEX(tblPessoas[Pessoa],MATCH(E133,tblPessoas[ID],0)),"")</f>
        <v/>
      </c>
      <c r="G133" t="str">
        <f>IFERROR(INDEX(tblBatidas[Projeto],MATCH("B"&amp;MID($A133,2,99),tblBatidas[Batida ID],0)),"")</f>
        <v/>
      </c>
      <c r="H133" t="str">
        <f>IFERROR(INDEX(tblBatidas[Atividade],MATCH("B"&amp;MID($A133,2,99),tblBatidas[Batida ID],0)),"")</f>
        <v/>
      </c>
      <c r="I133" s="4" t="str">
        <f>IFERROR(MOD(INDEX(tblBatidas[Data e hora],MATCH("B"&amp;MID($A133,2,99),tblBatidas[Batida ID],0)),1),"")</f>
        <v/>
      </c>
      <c r="J133" s="4" t="str">
        <f>IFERROR(MOD(INDEX(tblBatidas[Data e hora],MATCH("B"&amp;MID($A133,2,99),tblBatidas[Início vinculado],0)),1),"")</f>
        <v/>
      </c>
      <c r="K133" s="14" t="str">
        <f>IFERROR((INDEX(tblBatidas[Data e hora],MATCH("B"&amp;MID($A133,2,99),tblBatidas[Início vinculado],0))-INDEX(tblBatidas[Data e hora],MATCH("B"&amp;MID($A133,2,99),tblBatidas[Batida ID],0)))*24,"")</f>
        <v/>
      </c>
      <c r="L133" t="str">
        <f>IFERROR(INDEX(tblBatidas[Observação],MATCH("B"&amp;MID($A133,2,99),tblBatidas[Início vinculado],0)),"")</f>
        <v/>
      </c>
      <c r="M133" t="str">
        <f>IFERROR(INDEX(tblPessoas[Base],MATCH(E133,tblPessoas[ID],0)),"")</f>
        <v/>
      </c>
      <c r="N133" s="3">
        <f>IFERROR(IF(D133="DIA ÚTIL",INDEX(tblPessoas[R$/h útil],MATCH(E133,tblPessoas[ID],0)),INDEX(tblPessoas[R$/h FDS],MATCH(E133,tblPessoas[ID],0))),0)</f>
        <v>0</v>
      </c>
      <c r="O133" s="3">
        <f>IFERROR(INDEX(tblPessoas[R$/diária],MATCH(E133,tblPessoas[ID],0)),0)</f>
        <v>0</v>
      </c>
      <c r="P133" s="3" t="str">
        <f t="shared" ref="P133:P196" si="10">IF(Q133&lt;&gt;"CONCLUÍDO","",IF(M133="Diária",O133*R133,K133*N133))</f>
        <v/>
      </c>
      <c r="Q133" t="str">
        <f>IF(A133="","",IF(COUNTIF(tblBatidas[Início vinculado],"B"&amp;MID($A133,2,99))=0,"EM ABERTO",IF(OR(COUNTIF(tblBatidas[Início vinculado],"B"&amp;MID($A133,2,99))&gt;1,K133&lt;0,K133&gt;16,INT(INDEX(tblBatidas[Data e hora],MATCH("B"&amp;MID($A133,2,99),tblBatidas[Início vinculado],0)))&lt;&gt;B133,INDEX(tblBatidas[ID],MATCH("B"&amp;MID($A133,2,99),tblBatidas[Início vinculado],0))&lt;&gt;E133,INDEX(tblBatidas[Projeto],MATCH("B"&amp;MID($A133,2,99),tblBatidas[Início vinculado],0))&lt;&gt;G133,INDEX(tblBatidas[Atividade],MATCH("B"&amp;MID($A133,2,99),tblBatidas[Início vinculado],0))&lt;&gt;H133),"REVISAR","CONCLUÍDO")))</f>
        <v/>
      </c>
      <c r="R133">
        <f>IF(Q133&lt;&gt;"CONCLUÍDO",0,IF(COUNTIFS($E$5:E133,E133,$B$5:B133,B133,$Q$5:Q133,"CONCLUÍDO")=1,1,0))</f>
        <v>0</v>
      </c>
      <c r="S133" t="str">
        <f t="shared" ref="S133:S196" si="11">IF(B133="","",TEXT(B133,"yyyy-mm"))</f>
        <v/>
      </c>
      <c r="T133" t="str">
        <f>IF(E133="","",E133*100000+COUNTIFS(tblRegistros[ID],E133,tblRegistros[Data],"&lt;"&amp;B133)+COUNTIFS(tblRegistros[ID],E133,tblRegistros[Data],B133,tblRegistros[Início],"&lt;"&amp;I133)+COUNTIFS($E$5:E133,E133,$B$5:B133,B133,$I$5:I133,I133))</f>
        <v/>
      </c>
    </row>
    <row r="134" spans="2:20">
      <c r="B134" s="2" t="str">
        <f>IFERROR(INT(INDEX(tblBatidas[Data e hora],MATCH("B"&amp;MID($A134,2,99),tblBatidas[Batida ID],0))),"")</f>
        <v/>
      </c>
      <c r="C134" t="str">
        <f t="shared" si="8"/>
        <v/>
      </c>
      <c r="D134" t="str">
        <f t="shared" si="9"/>
        <v/>
      </c>
      <c r="E134" t="str">
        <f>IFERROR(INDEX(tblBatidas[ID],MATCH("B"&amp;MID($A134,2,99),tblBatidas[Batida ID],0)),"")</f>
        <v/>
      </c>
      <c r="F134" t="str">
        <f>IFERROR(INDEX(tblPessoas[Pessoa],MATCH(E134,tblPessoas[ID],0)),"")</f>
        <v/>
      </c>
      <c r="G134" t="str">
        <f>IFERROR(INDEX(tblBatidas[Projeto],MATCH("B"&amp;MID($A134,2,99),tblBatidas[Batida ID],0)),"")</f>
        <v/>
      </c>
      <c r="H134" t="str">
        <f>IFERROR(INDEX(tblBatidas[Atividade],MATCH("B"&amp;MID($A134,2,99),tblBatidas[Batida ID],0)),"")</f>
        <v/>
      </c>
      <c r="I134" s="4" t="str">
        <f>IFERROR(MOD(INDEX(tblBatidas[Data e hora],MATCH("B"&amp;MID($A134,2,99),tblBatidas[Batida ID],0)),1),"")</f>
        <v/>
      </c>
      <c r="J134" s="4" t="str">
        <f>IFERROR(MOD(INDEX(tblBatidas[Data e hora],MATCH("B"&amp;MID($A134,2,99),tblBatidas[Início vinculado],0)),1),"")</f>
        <v/>
      </c>
      <c r="K134" s="14" t="str">
        <f>IFERROR((INDEX(tblBatidas[Data e hora],MATCH("B"&amp;MID($A134,2,99),tblBatidas[Início vinculado],0))-INDEX(tblBatidas[Data e hora],MATCH("B"&amp;MID($A134,2,99),tblBatidas[Batida ID],0)))*24,"")</f>
        <v/>
      </c>
      <c r="L134" t="str">
        <f>IFERROR(INDEX(tblBatidas[Observação],MATCH("B"&amp;MID($A134,2,99),tblBatidas[Início vinculado],0)),"")</f>
        <v/>
      </c>
      <c r="M134" t="str">
        <f>IFERROR(INDEX(tblPessoas[Base],MATCH(E134,tblPessoas[ID],0)),"")</f>
        <v/>
      </c>
      <c r="N134" s="3">
        <f>IFERROR(IF(D134="DIA ÚTIL",INDEX(tblPessoas[R$/h útil],MATCH(E134,tblPessoas[ID],0)),INDEX(tblPessoas[R$/h FDS],MATCH(E134,tblPessoas[ID],0))),0)</f>
        <v>0</v>
      </c>
      <c r="O134" s="3">
        <f>IFERROR(INDEX(tblPessoas[R$/diária],MATCH(E134,tblPessoas[ID],0)),0)</f>
        <v>0</v>
      </c>
      <c r="P134" s="3" t="str">
        <f t="shared" si="10"/>
        <v/>
      </c>
      <c r="Q134" t="str">
        <f>IF(A134="","",IF(COUNTIF(tblBatidas[Início vinculado],"B"&amp;MID($A134,2,99))=0,"EM ABERTO",IF(OR(COUNTIF(tblBatidas[Início vinculado],"B"&amp;MID($A134,2,99))&gt;1,K134&lt;0,K134&gt;16,INT(INDEX(tblBatidas[Data e hora],MATCH("B"&amp;MID($A134,2,99),tblBatidas[Início vinculado],0)))&lt;&gt;B134,INDEX(tblBatidas[ID],MATCH("B"&amp;MID($A134,2,99),tblBatidas[Início vinculado],0))&lt;&gt;E134,INDEX(tblBatidas[Projeto],MATCH("B"&amp;MID($A134,2,99),tblBatidas[Início vinculado],0))&lt;&gt;G134,INDEX(tblBatidas[Atividade],MATCH("B"&amp;MID($A134,2,99),tblBatidas[Início vinculado],0))&lt;&gt;H134),"REVISAR","CONCLUÍDO")))</f>
        <v/>
      </c>
      <c r="R134">
        <f>IF(Q134&lt;&gt;"CONCLUÍDO",0,IF(COUNTIFS($E$5:E134,E134,$B$5:B134,B134,$Q$5:Q134,"CONCLUÍDO")=1,1,0))</f>
        <v>0</v>
      </c>
      <c r="S134" t="str">
        <f t="shared" si="11"/>
        <v/>
      </c>
      <c r="T134" t="str">
        <f>IF(E134="","",E134*100000+COUNTIFS(tblRegistros[ID],E134,tblRegistros[Data],"&lt;"&amp;B134)+COUNTIFS(tblRegistros[ID],E134,tblRegistros[Data],B134,tblRegistros[Início],"&lt;"&amp;I134)+COUNTIFS($E$5:E134,E134,$B$5:B134,B134,$I$5:I134,I134))</f>
        <v/>
      </c>
    </row>
    <row r="135" spans="2:20">
      <c r="B135" s="2" t="str">
        <f>IFERROR(INT(INDEX(tblBatidas[Data e hora],MATCH("B"&amp;MID($A135,2,99),tblBatidas[Batida ID],0))),"")</f>
        <v/>
      </c>
      <c r="C135" t="str">
        <f t="shared" si="8"/>
        <v/>
      </c>
      <c r="D135" t="str">
        <f t="shared" si="9"/>
        <v/>
      </c>
      <c r="E135" t="str">
        <f>IFERROR(INDEX(tblBatidas[ID],MATCH("B"&amp;MID($A135,2,99),tblBatidas[Batida ID],0)),"")</f>
        <v/>
      </c>
      <c r="F135" t="str">
        <f>IFERROR(INDEX(tblPessoas[Pessoa],MATCH(E135,tblPessoas[ID],0)),"")</f>
        <v/>
      </c>
      <c r="G135" t="str">
        <f>IFERROR(INDEX(tblBatidas[Projeto],MATCH("B"&amp;MID($A135,2,99),tblBatidas[Batida ID],0)),"")</f>
        <v/>
      </c>
      <c r="H135" t="str">
        <f>IFERROR(INDEX(tblBatidas[Atividade],MATCH("B"&amp;MID($A135,2,99),tblBatidas[Batida ID],0)),"")</f>
        <v/>
      </c>
      <c r="I135" s="4" t="str">
        <f>IFERROR(MOD(INDEX(tblBatidas[Data e hora],MATCH("B"&amp;MID($A135,2,99),tblBatidas[Batida ID],0)),1),"")</f>
        <v/>
      </c>
      <c r="J135" s="4" t="str">
        <f>IFERROR(MOD(INDEX(tblBatidas[Data e hora],MATCH("B"&amp;MID($A135,2,99),tblBatidas[Início vinculado],0)),1),"")</f>
        <v/>
      </c>
      <c r="K135" s="14" t="str">
        <f>IFERROR((INDEX(tblBatidas[Data e hora],MATCH("B"&amp;MID($A135,2,99),tblBatidas[Início vinculado],0))-INDEX(tblBatidas[Data e hora],MATCH("B"&amp;MID($A135,2,99),tblBatidas[Batida ID],0)))*24,"")</f>
        <v/>
      </c>
      <c r="L135" t="str">
        <f>IFERROR(INDEX(tblBatidas[Observação],MATCH("B"&amp;MID($A135,2,99),tblBatidas[Início vinculado],0)),"")</f>
        <v/>
      </c>
      <c r="M135" t="str">
        <f>IFERROR(INDEX(tblPessoas[Base],MATCH(E135,tblPessoas[ID],0)),"")</f>
        <v/>
      </c>
      <c r="N135" s="3">
        <f>IFERROR(IF(D135="DIA ÚTIL",INDEX(tblPessoas[R$/h útil],MATCH(E135,tblPessoas[ID],0)),INDEX(tblPessoas[R$/h FDS],MATCH(E135,tblPessoas[ID],0))),0)</f>
        <v>0</v>
      </c>
      <c r="O135" s="3">
        <f>IFERROR(INDEX(tblPessoas[R$/diária],MATCH(E135,tblPessoas[ID],0)),0)</f>
        <v>0</v>
      </c>
      <c r="P135" s="3" t="str">
        <f t="shared" si="10"/>
        <v/>
      </c>
      <c r="Q135" t="str">
        <f>IF(A135="","",IF(COUNTIF(tblBatidas[Início vinculado],"B"&amp;MID($A135,2,99))=0,"EM ABERTO",IF(OR(COUNTIF(tblBatidas[Início vinculado],"B"&amp;MID($A135,2,99))&gt;1,K135&lt;0,K135&gt;16,INT(INDEX(tblBatidas[Data e hora],MATCH("B"&amp;MID($A135,2,99),tblBatidas[Início vinculado],0)))&lt;&gt;B135,INDEX(tblBatidas[ID],MATCH("B"&amp;MID($A135,2,99),tblBatidas[Início vinculado],0))&lt;&gt;E135,INDEX(tblBatidas[Projeto],MATCH("B"&amp;MID($A135,2,99),tblBatidas[Início vinculado],0))&lt;&gt;G135,INDEX(tblBatidas[Atividade],MATCH("B"&amp;MID($A135,2,99),tblBatidas[Início vinculado],0))&lt;&gt;H135),"REVISAR","CONCLUÍDO")))</f>
        <v/>
      </c>
      <c r="R135">
        <f>IF(Q135&lt;&gt;"CONCLUÍDO",0,IF(COUNTIFS($E$5:E135,E135,$B$5:B135,B135,$Q$5:Q135,"CONCLUÍDO")=1,1,0))</f>
        <v>0</v>
      </c>
      <c r="S135" t="str">
        <f t="shared" si="11"/>
        <v/>
      </c>
      <c r="T135" t="str">
        <f>IF(E135="","",E135*100000+COUNTIFS(tblRegistros[ID],E135,tblRegistros[Data],"&lt;"&amp;B135)+COUNTIFS(tblRegistros[ID],E135,tblRegistros[Data],B135,tblRegistros[Início],"&lt;"&amp;I135)+COUNTIFS($E$5:E135,E135,$B$5:B135,B135,$I$5:I135,I135))</f>
        <v/>
      </c>
    </row>
    <row r="136" spans="2:20">
      <c r="B136" s="2" t="str">
        <f>IFERROR(INT(INDEX(tblBatidas[Data e hora],MATCH("B"&amp;MID($A136,2,99),tblBatidas[Batida ID],0))),"")</f>
        <v/>
      </c>
      <c r="C136" t="str">
        <f t="shared" si="8"/>
        <v/>
      </c>
      <c r="D136" t="str">
        <f t="shared" si="9"/>
        <v/>
      </c>
      <c r="E136" t="str">
        <f>IFERROR(INDEX(tblBatidas[ID],MATCH("B"&amp;MID($A136,2,99),tblBatidas[Batida ID],0)),"")</f>
        <v/>
      </c>
      <c r="F136" t="str">
        <f>IFERROR(INDEX(tblPessoas[Pessoa],MATCH(E136,tblPessoas[ID],0)),"")</f>
        <v/>
      </c>
      <c r="G136" t="str">
        <f>IFERROR(INDEX(tblBatidas[Projeto],MATCH("B"&amp;MID($A136,2,99),tblBatidas[Batida ID],0)),"")</f>
        <v/>
      </c>
      <c r="H136" t="str">
        <f>IFERROR(INDEX(tblBatidas[Atividade],MATCH("B"&amp;MID($A136,2,99),tblBatidas[Batida ID],0)),"")</f>
        <v/>
      </c>
      <c r="I136" s="4" t="str">
        <f>IFERROR(MOD(INDEX(tblBatidas[Data e hora],MATCH("B"&amp;MID($A136,2,99),tblBatidas[Batida ID],0)),1),"")</f>
        <v/>
      </c>
      <c r="J136" s="4" t="str">
        <f>IFERROR(MOD(INDEX(tblBatidas[Data e hora],MATCH("B"&amp;MID($A136,2,99),tblBatidas[Início vinculado],0)),1),"")</f>
        <v/>
      </c>
      <c r="K136" s="14" t="str">
        <f>IFERROR((INDEX(tblBatidas[Data e hora],MATCH("B"&amp;MID($A136,2,99),tblBatidas[Início vinculado],0))-INDEX(tblBatidas[Data e hora],MATCH("B"&amp;MID($A136,2,99),tblBatidas[Batida ID],0)))*24,"")</f>
        <v/>
      </c>
      <c r="L136" t="str">
        <f>IFERROR(INDEX(tblBatidas[Observação],MATCH("B"&amp;MID($A136,2,99),tblBatidas[Início vinculado],0)),"")</f>
        <v/>
      </c>
      <c r="M136" t="str">
        <f>IFERROR(INDEX(tblPessoas[Base],MATCH(E136,tblPessoas[ID],0)),"")</f>
        <v/>
      </c>
      <c r="N136" s="3">
        <f>IFERROR(IF(D136="DIA ÚTIL",INDEX(tblPessoas[R$/h útil],MATCH(E136,tblPessoas[ID],0)),INDEX(tblPessoas[R$/h FDS],MATCH(E136,tblPessoas[ID],0))),0)</f>
        <v>0</v>
      </c>
      <c r="O136" s="3">
        <f>IFERROR(INDEX(tblPessoas[R$/diária],MATCH(E136,tblPessoas[ID],0)),0)</f>
        <v>0</v>
      </c>
      <c r="P136" s="3" t="str">
        <f t="shared" si="10"/>
        <v/>
      </c>
      <c r="Q136" t="str">
        <f>IF(A136="","",IF(COUNTIF(tblBatidas[Início vinculado],"B"&amp;MID($A136,2,99))=0,"EM ABERTO",IF(OR(COUNTIF(tblBatidas[Início vinculado],"B"&amp;MID($A136,2,99))&gt;1,K136&lt;0,K136&gt;16,INT(INDEX(tblBatidas[Data e hora],MATCH("B"&amp;MID($A136,2,99),tblBatidas[Início vinculado],0)))&lt;&gt;B136,INDEX(tblBatidas[ID],MATCH("B"&amp;MID($A136,2,99),tblBatidas[Início vinculado],0))&lt;&gt;E136,INDEX(tblBatidas[Projeto],MATCH("B"&amp;MID($A136,2,99),tblBatidas[Início vinculado],0))&lt;&gt;G136,INDEX(tblBatidas[Atividade],MATCH("B"&amp;MID($A136,2,99),tblBatidas[Início vinculado],0))&lt;&gt;H136),"REVISAR","CONCLUÍDO")))</f>
        <v/>
      </c>
      <c r="R136">
        <f>IF(Q136&lt;&gt;"CONCLUÍDO",0,IF(COUNTIFS($E$5:E136,E136,$B$5:B136,B136,$Q$5:Q136,"CONCLUÍDO")=1,1,0))</f>
        <v>0</v>
      </c>
      <c r="S136" t="str">
        <f t="shared" si="11"/>
        <v/>
      </c>
      <c r="T136" t="str">
        <f>IF(E136="","",E136*100000+COUNTIFS(tblRegistros[ID],E136,tblRegistros[Data],"&lt;"&amp;B136)+COUNTIFS(tblRegistros[ID],E136,tblRegistros[Data],B136,tblRegistros[Início],"&lt;"&amp;I136)+COUNTIFS($E$5:E136,E136,$B$5:B136,B136,$I$5:I136,I136))</f>
        <v/>
      </c>
    </row>
    <row r="137" spans="2:20">
      <c r="B137" s="2" t="str">
        <f>IFERROR(INT(INDEX(tblBatidas[Data e hora],MATCH("B"&amp;MID($A137,2,99),tblBatidas[Batida ID],0))),"")</f>
        <v/>
      </c>
      <c r="C137" t="str">
        <f t="shared" si="8"/>
        <v/>
      </c>
      <c r="D137" t="str">
        <f t="shared" si="9"/>
        <v/>
      </c>
      <c r="E137" t="str">
        <f>IFERROR(INDEX(tblBatidas[ID],MATCH("B"&amp;MID($A137,2,99),tblBatidas[Batida ID],0)),"")</f>
        <v/>
      </c>
      <c r="F137" t="str">
        <f>IFERROR(INDEX(tblPessoas[Pessoa],MATCH(E137,tblPessoas[ID],0)),"")</f>
        <v/>
      </c>
      <c r="G137" t="str">
        <f>IFERROR(INDEX(tblBatidas[Projeto],MATCH("B"&amp;MID($A137,2,99),tblBatidas[Batida ID],0)),"")</f>
        <v/>
      </c>
      <c r="H137" t="str">
        <f>IFERROR(INDEX(tblBatidas[Atividade],MATCH("B"&amp;MID($A137,2,99),tblBatidas[Batida ID],0)),"")</f>
        <v/>
      </c>
      <c r="I137" s="4" t="str">
        <f>IFERROR(MOD(INDEX(tblBatidas[Data e hora],MATCH("B"&amp;MID($A137,2,99),tblBatidas[Batida ID],0)),1),"")</f>
        <v/>
      </c>
      <c r="J137" s="4" t="str">
        <f>IFERROR(MOD(INDEX(tblBatidas[Data e hora],MATCH("B"&amp;MID($A137,2,99),tblBatidas[Início vinculado],0)),1),"")</f>
        <v/>
      </c>
      <c r="K137" s="14" t="str">
        <f>IFERROR((INDEX(tblBatidas[Data e hora],MATCH("B"&amp;MID($A137,2,99),tblBatidas[Início vinculado],0))-INDEX(tblBatidas[Data e hora],MATCH("B"&amp;MID($A137,2,99),tblBatidas[Batida ID],0)))*24,"")</f>
        <v/>
      </c>
      <c r="L137" t="str">
        <f>IFERROR(INDEX(tblBatidas[Observação],MATCH("B"&amp;MID($A137,2,99),tblBatidas[Início vinculado],0)),"")</f>
        <v/>
      </c>
      <c r="M137" t="str">
        <f>IFERROR(INDEX(tblPessoas[Base],MATCH(E137,tblPessoas[ID],0)),"")</f>
        <v/>
      </c>
      <c r="N137" s="3">
        <f>IFERROR(IF(D137="DIA ÚTIL",INDEX(tblPessoas[R$/h útil],MATCH(E137,tblPessoas[ID],0)),INDEX(tblPessoas[R$/h FDS],MATCH(E137,tblPessoas[ID],0))),0)</f>
        <v>0</v>
      </c>
      <c r="O137" s="3">
        <f>IFERROR(INDEX(tblPessoas[R$/diária],MATCH(E137,tblPessoas[ID],0)),0)</f>
        <v>0</v>
      </c>
      <c r="P137" s="3" t="str">
        <f t="shared" si="10"/>
        <v/>
      </c>
      <c r="Q137" t="str">
        <f>IF(A137="","",IF(COUNTIF(tblBatidas[Início vinculado],"B"&amp;MID($A137,2,99))=0,"EM ABERTO",IF(OR(COUNTIF(tblBatidas[Início vinculado],"B"&amp;MID($A137,2,99))&gt;1,K137&lt;0,K137&gt;16,INT(INDEX(tblBatidas[Data e hora],MATCH("B"&amp;MID($A137,2,99),tblBatidas[Início vinculado],0)))&lt;&gt;B137,INDEX(tblBatidas[ID],MATCH("B"&amp;MID($A137,2,99),tblBatidas[Início vinculado],0))&lt;&gt;E137,INDEX(tblBatidas[Projeto],MATCH("B"&amp;MID($A137,2,99),tblBatidas[Início vinculado],0))&lt;&gt;G137,INDEX(tblBatidas[Atividade],MATCH("B"&amp;MID($A137,2,99),tblBatidas[Início vinculado],0))&lt;&gt;H137),"REVISAR","CONCLUÍDO")))</f>
        <v/>
      </c>
      <c r="R137">
        <f>IF(Q137&lt;&gt;"CONCLUÍDO",0,IF(COUNTIFS($E$5:E137,E137,$B$5:B137,B137,$Q$5:Q137,"CONCLUÍDO")=1,1,0))</f>
        <v>0</v>
      </c>
      <c r="S137" t="str">
        <f t="shared" si="11"/>
        <v/>
      </c>
      <c r="T137" t="str">
        <f>IF(E137="","",E137*100000+COUNTIFS(tblRegistros[ID],E137,tblRegistros[Data],"&lt;"&amp;B137)+COUNTIFS(tblRegistros[ID],E137,tblRegistros[Data],B137,tblRegistros[Início],"&lt;"&amp;I137)+COUNTIFS($E$5:E137,E137,$B$5:B137,B137,$I$5:I137,I137))</f>
        <v/>
      </c>
    </row>
    <row r="138" spans="2:20">
      <c r="B138" s="2" t="str">
        <f>IFERROR(INT(INDEX(tblBatidas[Data e hora],MATCH("B"&amp;MID($A138,2,99),tblBatidas[Batida ID],0))),"")</f>
        <v/>
      </c>
      <c r="C138" t="str">
        <f t="shared" si="8"/>
        <v/>
      </c>
      <c r="D138" t="str">
        <f t="shared" si="9"/>
        <v/>
      </c>
      <c r="E138" t="str">
        <f>IFERROR(INDEX(tblBatidas[ID],MATCH("B"&amp;MID($A138,2,99),tblBatidas[Batida ID],0)),"")</f>
        <v/>
      </c>
      <c r="F138" t="str">
        <f>IFERROR(INDEX(tblPessoas[Pessoa],MATCH(E138,tblPessoas[ID],0)),"")</f>
        <v/>
      </c>
      <c r="G138" t="str">
        <f>IFERROR(INDEX(tblBatidas[Projeto],MATCH("B"&amp;MID($A138,2,99),tblBatidas[Batida ID],0)),"")</f>
        <v/>
      </c>
      <c r="H138" t="str">
        <f>IFERROR(INDEX(tblBatidas[Atividade],MATCH("B"&amp;MID($A138,2,99),tblBatidas[Batida ID],0)),"")</f>
        <v/>
      </c>
      <c r="I138" s="4" t="str">
        <f>IFERROR(MOD(INDEX(tblBatidas[Data e hora],MATCH("B"&amp;MID($A138,2,99),tblBatidas[Batida ID],0)),1),"")</f>
        <v/>
      </c>
      <c r="J138" s="4" t="str">
        <f>IFERROR(MOD(INDEX(tblBatidas[Data e hora],MATCH("B"&amp;MID($A138,2,99),tblBatidas[Início vinculado],0)),1),"")</f>
        <v/>
      </c>
      <c r="K138" s="14" t="str">
        <f>IFERROR((INDEX(tblBatidas[Data e hora],MATCH("B"&amp;MID($A138,2,99),tblBatidas[Início vinculado],0))-INDEX(tblBatidas[Data e hora],MATCH("B"&amp;MID($A138,2,99),tblBatidas[Batida ID],0)))*24,"")</f>
        <v/>
      </c>
      <c r="L138" t="str">
        <f>IFERROR(INDEX(tblBatidas[Observação],MATCH("B"&amp;MID($A138,2,99),tblBatidas[Início vinculado],0)),"")</f>
        <v/>
      </c>
      <c r="M138" t="str">
        <f>IFERROR(INDEX(tblPessoas[Base],MATCH(E138,tblPessoas[ID],0)),"")</f>
        <v/>
      </c>
      <c r="N138" s="3">
        <f>IFERROR(IF(D138="DIA ÚTIL",INDEX(tblPessoas[R$/h útil],MATCH(E138,tblPessoas[ID],0)),INDEX(tblPessoas[R$/h FDS],MATCH(E138,tblPessoas[ID],0))),0)</f>
        <v>0</v>
      </c>
      <c r="O138" s="3">
        <f>IFERROR(INDEX(tblPessoas[R$/diária],MATCH(E138,tblPessoas[ID],0)),0)</f>
        <v>0</v>
      </c>
      <c r="P138" s="3" t="str">
        <f t="shared" si="10"/>
        <v/>
      </c>
      <c r="Q138" t="str">
        <f>IF(A138="","",IF(COUNTIF(tblBatidas[Início vinculado],"B"&amp;MID($A138,2,99))=0,"EM ABERTO",IF(OR(COUNTIF(tblBatidas[Início vinculado],"B"&amp;MID($A138,2,99))&gt;1,K138&lt;0,K138&gt;16,INT(INDEX(tblBatidas[Data e hora],MATCH("B"&amp;MID($A138,2,99),tblBatidas[Início vinculado],0)))&lt;&gt;B138,INDEX(tblBatidas[ID],MATCH("B"&amp;MID($A138,2,99),tblBatidas[Início vinculado],0))&lt;&gt;E138,INDEX(tblBatidas[Projeto],MATCH("B"&amp;MID($A138,2,99),tblBatidas[Início vinculado],0))&lt;&gt;G138,INDEX(tblBatidas[Atividade],MATCH("B"&amp;MID($A138,2,99),tblBatidas[Início vinculado],0))&lt;&gt;H138),"REVISAR","CONCLUÍDO")))</f>
        <v/>
      </c>
      <c r="R138">
        <f>IF(Q138&lt;&gt;"CONCLUÍDO",0,IF(COUNTIFS($E$5:E138,E138,$B$5:B138,B138,$Q$5:Q138,"CONCLUÍDO")=1,1,0))</f>
        <v>0</v>
      </c>
      <c r="S138" t="str">
        <f t="shared" si="11"/>
        <v/>
      </c>
      <c r="T138" t="str">
        <f>IF(E138="","",E138*100000+COUNTIFS(tblRegistros[ID],E138,tblRegistros[Data],"&lt;"&amp;B138)+COUNTIFS(tblRegistros[ID],E138,tblRegistros[Data],B138,tblRegistros[Início],"&lt;"&amp;I138)+COUNTIFS($E$5:E138,E138,$B$5:B138,B138,$I$5:I138,I138))</f>
        <v/>
      </c>
    </row>
    <row r="139" spans="2:20">
      <c r="B139" s="2" t="str">
        <f>IFERROR(INT(INDEX(tblBatidas[Data e hora],MATCH("B"&amp;MID($A139,2,99),tblBatidas[Batida ID],0))),"")</f>
        <v/>
      </c>
      <c r="C139" t="str">
        <f t="shared" si="8"/>
        <v/>
      </c>
      <c r="D139" t="str">
        <f t="shared" si="9"/>
        <v/>
      </c>
      <c r="E139" t="str">
        <f>IFERROR(INDEX(tblBatidas[ID],MATCH("B"&amp;MID($A139,2,99),tblBatidas[Batida ID],0)),"")</f>
        <v/>
      </c>
      <c r="F139" t="str">
        <f>IFERROR(INDEX(tblPessoas[Pessoa],MATCH(E139,tblPessoas[ID],0)),"")</f>
        <v/>
      </c>
      <c r="G139" t="str">
        <f>IFERROR(INDEX(tblBatidas[Projeto],MATCH("B"&amp;MID($A139,2,99),tblBatidas[Batida ID],0)),"")</f>
        <v/>
      </c>
      <c r="H139" t="str">
        <f>IFERROR(INDEX(tblBatidas[Atividade],MATCH("B"&amp;MID($A139,2,99),tblBatidas[Batida ID],0)),"")</f>
        <v/>
      </c>
      <c r="I139" s="4" t="str">
        <f>IFERROR(MOD(INDEX(tblBatidas[Data e hora],MATCH("B"&amp;MID($A139,2,99),tblBatidas[Batida ID],0)),1),"")</f>
        <v/>
      </c>
      <c r="J139" s="4" t="str">
        <f>IFERROR(MOD(INDEX(tblBatidas[Data e hora],MATCH("B"&amp;MID($A139,2,99),tblBatidas[Início vinculado],0)),1),"")</f>
        <v/>
      </c>
      <c r="K139" s="14" t="str">
        <f>IFERROR((INDEX(tblBatidas[Data e hora],MATCH("B"&amp;MID($A139,2,99),tblBatidas[Início vinculado],0))-INDEX(tblBatidas[Data e hora],MATCH("B"&amp;MID($A139,2,99),tblBatidas[Batida ID],0)))*24,"")</f>
        <v/>
      </c>
      <c r="L139" t="str">
        <f>IFERROR(INDEX(tblBatidas[Observação],MATCH("B"&amp;MID($A139,2,99),tblBatidas[Início vinculado],0)),"")</f>
        <v/>
      </c>
      <c r="M139" t="str">
        <f>IFERROR(INDEX(tblPessoas[Base],MATCH(E139,tblPessoas[ID],0)),"")</f>
        <v/>
      </c>
      <c r="N139" s="3">
        <f>IFERROR(IF(D139="DIA ÚTIL",INDEX(tblPessoas[R$/h útil],MATCH(E139,tblPessoas[ID],0)),INDEX(tblPessoas[R$/h FDS],MATCH(E139,tblPessoas[ID],0))),0)</f>
        <v>0</v>
      </c>
      <c r="O139" s="3">
        <f>IFERROR(INDEX(tblPessoas[R$/diária],MATCH(E139,tblPessoas[ID],0)),0)</f>
        <v>0</v>
      </c>
      <c r="P139" s="3" t="str">
        <f t="shared" si="10"/>
        <v/>
      </c>
      <c r="Q139" t="str">
        <f>IF(A139="","",IF(COUNTIF(tblBatidas[Início vinculado],"B"&amp;MID($A139,2,99))=0,"EM ABERTO",IF(OR(COUNTIF(tblBatidas[Início vinculado],"B"&amp;MID($A139,2,99))&gt;1,K139&lt;0,K139&gt;16,INT(INDEX(tblBatidas[Data e hora],MATCH("B"&amp;MID($A139,2,99),tblBatidas[Início vinculado],0)))&lt;&gt;B139,INDEX(tblBatidas[ID],MATCH("B"&amp;MID($A139,2,99),tblBatidas[Início vinculado],0))&lt;&gt;E139,INDEX(tblBatidas[Projeto],MATCH("B"&amp;MID($A139,2,99),tblBatidas[Início vinculado],0))&lt;&gt;G139,INDEX(tblBatidas[Atividade],MATCH("B"&amp;MID($A139,2,99),tblBatidas[Início vinculado],0))&lt;&gt;H139),"REVISAR","CONCLUÍDO")))</f>
        <v/>
      </c>
      <c r="R139">
        <f>IF(Q139&lt;&gt;"CONCLUÍDO",0,IF(COUNTIFS($E$5:E139,E139,$B$5:B139,B139,$Q$5:Q139,"CONCLUÍDO")=1,1,0))</f>
        <v>0</v>
      </c>
      <c r="S139" t="str">
        <f t="shared" si="11"/>
        <v/>
      </c>
      <c r="T139" t="str">
        <f>IF(E139="","",E139*100000+COUNTIFS(tblRegistros[ID],E139,tblRegistros[Data],"&lt;"&amp;B139)+COUNTIFS(tblRegistros[ID],E139,tblRegistros[Data],B139,tblRegistros[Início],"&lt;"&amp;I139)+COUNTIFS($E$5:E139,E139,$B$5:B139,B139,$I$5:I139,I139))</f>
        <v/>
      </c>
    </row>
    <row r="140" spans="2:20">
      <c r="B140" s="2" t="str">
        <f>IFERROR(INT(INDEX(tblBatidas[Data e hora],MATCH("B"&amp;MID($A140,2,99),tblBatidas[Batida ID],0))),"")</f>
        <v/>
      </c>
      <c r="C140" t="str">
        <f t="shared" si="8"/>
        <v/>
      </c>
      <c r="D140" t="str">
        <f t="shared" si="9"/>
        <v/>
      </c>
      <c r="E140" t="str">
        <f>IFERROR(INDEX(tblBatidas[ID],MATCH("B"&amp;MID($A140,2,99),tblBatidas[Batida ID],0)),"")</f>
        <v/>
      </c>
      <c r="F140" t="str">
        <f>IFERROR(INDEX(tblPessoas[Pessoa],MATCH(E140,tblPessoas[ID],0)),"")</f>
        <v/>
      </c>
      <c r="G140" t="str">
        <f>IFERROR(INDEX(tblBatidas[Projeto],MATCH("B"&amp;MID($A140,2,99),tblBatidas[Batida ID],0)),"")</f>
        <v/>
      </c>
      <c r="H140" t="str">
        <f>IFERROR(INDEX(tblBatidas[Atividade],MATCH("B"&amp;MID($A140,2,99),tblBatidas[Batida ID],0)),"")</f>
        <v/>
      </c>
      <c r="I140" s="4" t="str">
        <f>IFERROR(MOD(INDEX(tblBatidas[Data e hora],MATCH("B"&amp;MID($A140,2,99),tblBatidas[Batida ID],0)),1),"")</f>
        <v/>
      </c>
      <c r="J140" s="4" t="str">
        <f>IFERROR(MOD(INDEX(tblBatidas[Data e hora],MATCH("B"&amp;MID($A140,2,99),tblBatidas[Início vinculado],0)),1),"")</f>
        <v/>
      </c>
      <c r="K140" s="14" t="str">
        <f>IFERROR((INDEX(tblBatidas[Data e hora],MATCH("B"&amp;MID($A140,2,99),tblBatidas[Início vinculado],0))-INDEX(tblBatidas[Data e hora],MATCH("B"&amp;MID($A140,2,99),tblBatidas[Batida ID],0)))*24,"")</f>
        <v/>
      </c>
      <c r="L140" t="str">
        <f>IFERROR(INDEX(tblBatidas[Observação],MATCH("B"&amp;MID($A140,2,99),tblBatidas[Início vinculado],0)),"")</f>
        <v/>
      </c>
      <c r="M140" t="str">
        <f>IFERROR(INDEX(tblPessoas[Base],MATCH(E140,tblPessoas[ID],0)),"")</f>
        <v/>
      </c>
      <c r="N140" s="3">
        <f>IFERROR(IF(D140="DIA ÚTIL",INDEX(tblPessoas[R$/h útil],MATCH(E140,tblPessoas[ID],0)),INDEX(tblPessoas[R$/h FDS],MATCH(E140,tblPessoas[ID],0))),0)</f>
        <v>0</v>
      </c>
      <c r="O140" s="3">
        <f>IFERROR(INDEX(tblPessoas[R$/diária],MATCH(E140,tblPessoas[ID],0)),0)</f>
        <v>0</v>
      </c>
      <c r="P140" s="3" t="str">
        <f t="shared" si="10"/>
        <v/>
      </c>
      <c r="Q140" t="str">
        <f>IF(A140="","",IF(COUNTIF(tblBatidas[Início vinculado],"B"&amp;MID($A140,2,99))=0,"EM ABERTO",IF(OR(COUNTIF(tblBatidas[Início vinculado],"B"&amp;MID($A140,2,99))&gt;1,K140&lt;0,K140&gt;16,INT(INDEX(tblBatidas[Data e hora],MATCH("B"&amp;MID($A140,2,99),tblBatidas[Início vinculado],0)))&lt;&gt;B140,INDEX(tblBatidas[ID],MATCH("B"&amp;MID($A140,2,99),tblBatidas[Início vinculado],0))&lt;&gt;E140,INDEX(tblBatidas[Projeto],MATCH("B"&amp;MID($A140,2,99),tblBatidas[Início vinculado],0))&lt;&gt;G140,INDEX(tblBatidas[Atividade],MATCH("B"&amp;MID($A140,2,99),tblBatidas[Início vinculado],0))&lt;&gt;H140),"REVISAR","CONCLUÍDO")))</f>
        <v/>
      </c>
      <c r="R140">
        <f>IF(Q140&lt;&gt;"CONCLUÍDO",0,IF(COUNTIFS($E$5:E140,E140,$B$5:B140,B140,$Q$5:Q140,"CONCLUÍDO")=1,1,0))</f>
        <v>0</v>
      </c>
      <c r="S140" t="str">
        <f t="shared" si="11"/>
        <v/>
      </c>
      <c r="T140" t="str">
        <f>IF(E140="","",E140*100000+COUNTIFS(tblRegistros[ID],E140,tblRegistros[Data],"&lt;"&amp;B140)+COUNTIFS(tblRegistros[ID],E140,tblRegistros[Data],B140,tblRegistros[Início],"&lt;"&amp;I140)+COUNTIFS($E$5:E140,E140,$B$5:B140,B140,$I$5:I140,I140))</f>
        <v/>
      </c>
    </row>
    <row r="141" spans="2:20">
      <c r="B141" s="2" t="str">
        <f>IFERROR(INT(INDEX(tblBatidas[Data e hora],MATCH("B"&amp;MID($A141,2,99),tblBatidas[Batida ID],0))),"")</f>
        <v/>
      </c>
      <c r="C141" t="str">
        <f t="shared" si="8"/>
        <v/>
      </c>
      <c r="D141" t="str">
        <f t="shared" si="9"/>
        <v/>
      </c>
      <c r="E141" t="str">
        <f>IFERROR(INDEX(tblBatidas[ID],MATCH("B"&amp;MID($A141,2,99),tblBatidas[Batida ID],0)),"")</f>
        <v/>
      </c>
      <c r="F141" t="str">
        <f>IFERROR(INDEX(tblPessoas[Pessoa],MATCH(E141,tblPessoas[ID],0)),"")</f>
        <v/>
      </c>
      <c r="G141" t="str">
        <f>IFERROR(INDEX(tblBatidas[Projeto],MATCH("B"&amp;MID($A141,2,99),tblBatidas[Batida ID],0)),"")</f>
        <v/>
      </c>
      <c r="H141" t="str">
        <f>IFERROR(INDEX(tblBatidas[Atividade],MATCH("B"&amp;MID($A141,2,99),tblBatidas[Batida ID],0)),"")</f>
        <v/>
      </c>
      <c r="I141" s="4" t="str">
        <f>IFERROR(MOD(INDEX(tblBatidas[Data e hora],MATCH("B"&amp;MID($A141,2,99),tblBatidas[Batida ID],0)),1),"")</f>
        <v/>
      </c>
      <c r="J141" s="4" t="str">
        <f>IFERROR(MOD(INDEX(tblBatidas[Data e hora],MATCH("B"&amp;MID($A141,2,99),tblBatidas[Início vinculado],0)),1),"")</f>
        <v/>
      </c>
      <c r="K141" s="14" t="str">
        <f>IFERROR((INDEX(tblBatidas[Data e hora],MATCH("B"&amp;MID($A141,2,99),tblBatidas[Início vinculado],0))-INDEX(tblBatidas[Data e hora],MATCH("B"&amp;MID($A141,2,99),tblBatidas[Batida ID],0)))*24,"")</f>
        <v/>
      </c>
      <c r="L141" t="str">
        <f>IFERROR(INDEX(tblBatidas[Observação],MATCH("B"&amp;MID($A141,2,99),tblBatidas[Início vinculado],0)),"")</f>
        <v/>
      </c>
      <c r="M141" t="str">
        <f>IFERROR(INDEX(tblPessoas[Base],MATCH(E141,tblPessoas[ID],0)),"")</f>
        <v/>
      </c>
      <c r="N141" s="3">
        <f>IFERROR(IF(D141="DIA ÚTIL",INDEX(tblPessoas[R$/h útil],MATCH(E141,tblPessoas[ID],0)),INDEX(tblPessoas[R$/h FDS],MATCH(E141,tblPessoas[ID],0))),0)</f>
        <v>0</v>
      </c>
      <c r="O141" s="3">
        <f>IFERROR(INDEX(tblPessoas[R$/diária],MATCH(E141,tblPessoas[ID],0)),0)</f>
        <v>0</v>
      </c>
      <c r="P141" s="3" t="str">
        <f t="shared" si="10"/>
        <v/>
      </c>
      <c r="Q141" t="str">
        <f>IF(A141="","",IF(COUNTIF(tblBatidas[Início vinculado],"B"&amp;MID($A141,2,99))=0,"EM ABERTO",IF(OR(COUNTIF(tblBatidas[Início vinculado],"B"&amp;MID($A141,2,99))&gt;1,K141&lt;0,K141&gt;16,INT(INDEX(tblBatidas[Data e hora],MATCH("B"&amp;MID($A141,2,99),tblBatidas[Início vinculado],0)))&lt;&gt;B141,INDEX(tblBatidas[ID],MATCH("B"&amp;MID($A141,2,99),tblBatidas[Início vinculado],0))&lt;&gt;E141,INDEX(tblBatidas[Projeto],MATCH("B"&amp;MID($A141,2,99),tblBatidas[Início vinculado],0))&lt;&gt;G141,INDEX(tblBatidas[Atividade],MATCH("B"&amp;MID($A141,2,99),tblBatidas[Início vinculado],0))&lt;&gt;H141),"REVISAR","CONCLUÍDO")))</f>
        <v/>
      </c>
      <c r="R141">
        <f>IF(Q141&lt;&gt;"CONCLUÍDO",0,IF(COUNTIFS($E$5:E141,E141,$B$5:B141,B141,$Q$5:Q141,"CONCLUÍDO")=1,1,0))</f>
        <v>0</v>
      </c>
      <c r="S141" t="str">
        <f t="shared" si="11"/>
        <v/>
      </c>
      <c r="T141" t="str">
        <f>IF(E141="","",E141*100000+COUNTIFS(tblRegistros[ID],E141,tblRegistros[Data],"&lt;"&amp;B141)+COUNTIFS(tblRegistros[ID],E141,tblRegistros[Data],B141,tblRegistros[Início],"&lt;"&amp;I141)+COUNTIFS($E$5:E141,E141,$B$5:B141,B141,$I$5:I141,I141))</f>
        <v/>
      </c>
    </row>
    <row r="142" spans="2:20">
      <c r="B142" s="2" t="str">
        <f>IFERROR(INT(INDEX(tblBatidas[Data e hora],MATCH("B"&amp;MID($A142,2,99),tblBatidas[Batida ID],0))),"")</f>
        <v/>
      </c>
      <c r="C142" t="str">
        <f t="shared" si="8"/>
        <v/>
      </c>
      <c r="D142" t="str">
        <f t="shared" si="9"/>
        <v/>
      </c>
      <c r="E142" t="str">
        <f>IFERROR(INDEX(tblBatidas[ID],MATCH("B"&amp;MID($A142,2,99),tblBatidas[Batida ID],0)),"")</f>
        <v/>
      </c>
      <c r="F142" t="str">
        <f>IFERROR(INDEX(tblPessoas[Pessoa],MATCH(E142,tblPessoas[ID],0)),"")</f>
        <v/>
      </c>
      <c r="G142" t="str">
        <f>IFERROR(INDEX(tblBatidas[Projeto],MATCH("B"&amp;MID($A142,2,99),tblBatidas[Batida ID],0)),"")</f>
        <v/>
      </c>
      <c r="H142" t="str">
        <f>IFERROR(INDEX(tblBatidas[Atividade],MATCH("B"&amp;MID($A142,2,99),tblBatidas[Batida ID],0)),"")</f>
        <v/>
      </c>
      <c r="I142" s="4" t="str">
        <f>IFERROR(MOD(INDEX(tblBatidas[Data e hora],MATCH("B"&amp;MID($A142,2,99),tblBatidas[Batida ID],0)),1),"")</f>
        <v/>
      </c>
      <c r="J142" s="4" t="str">
        <f>IFERROR(MOD(INDEX(tblBatidas[Data e hora],MATCH("B"&amp;MID($A142,2,99),tblBatidas[Início vinculado],0)),1),"")</f>
        <v/>
      </c>
      <c r="K142" s="14" t="str">
        <f>IFERROR((INDEX(tblBatidas[Data e hora],MATCH("B"&amp;MID($A142,2,99),tblBatidas[Início vinculado],0))-INDEX(tblBatidas[Data e hora],MATCH("B"&amp;MID($A142,2,99),tblBatidas[Batida ID],0)))*24,"")</f>
        <v/>
      </c>
      <c r="L142" t="str">
        <f>IFERROR(INDEX(tblBatidas[Observação],MATCH("B"&amp;MID($A142,2,99),tblBatidas[Início vinculado],0)),"")</f>
        <v/>
      </c>
      <c r="M142" t="str">
        <f>IFERROR(INDEX(tblPessoas[Base],MATCH(E142,tblPessoas[ID],0)),"")</f>
        <v/>
      </c>
      <c r="N142" s="3">
        <f>IFERROR(IF(D142="DIA ÚTIL",INDEX(tblPessoas[R$/h útil],MATCH(E142,tblPessoas[ID],0)),INDEX(tblPessoas[R$/h FDS],MATCH(E142,tblPessoas[ID],0))),0)</f>
        <v>0</v>
      </c>
      <c r="O142" s="3">
        <f>IFERROR(INDEX(tblPessoas[R$/diária],MATCH(E142,tblPessoas[ID],0)),0)</f>
        <v>0</v>
      </c>
      <c r="P142" s="3" t="str">
        <f t="shared" si="10"/>
        <v/>
      </c>
      <c r="Q142" t="str">
        <f>IF(A142="","",IF(COUNTIF(tblBatidas[Início vinculado],"B"&amp;MID($A142,2,99))=0,"EM ABERTO",IF(OR(COUNTIF(tblBatidas[Início vinculado],"B"&amp;MID($A142,2,99))&gt;1,K142&lt;0,K142&gt;16,INT(INDEX(tblBatidas[Data e hora],MATCH("B"&amp;MID($A142,2,99),tblBatidas[Início vinculado],0)))&lt;&gt;B142,INDEX(tblBatidas[ID],MATCH("B"&amp;MID($A142,2,99),tblBatidas[Início vinculado],0))&lt;&gt;E142,INDEX(tblBatidas[Projeto],MATCH("B"&amp;MID($A142,2,99),tblBatidas[Início vinculado],0))&lt;&gt;G142,INDEX(tblBatidas[Atividade],MATCH("B"&amp;MID($A142,2,99),tblBatidas[Início vinculado],0))&lt;&gt;H142),"REVISAR","CONCLUÍDO")))</f>
        <v/>
      </c>
      <c r="R142">
        <f>IF(Q142&lt;&gt;"CONCLUÍDO",0,IF(COUNTIFS($E$5:E142,E142,$B$5:B142,B142,$Q$5:Q142,"CONCLUÍDO")=1,1,0))</f>
        <v>0</v>
      </c>
      <c r="S142" t="str">
        <f t="shared" si="11"/>
        <v/>
      </c>
      <c r="T142" t="str">
        <f>IF(E142="","",E142*100000+COUNTIFS(tblRegistros[ID],E142,tblRegistros[Data],"&lt;"&amp;B142)+COUNTIFS(tblRegistros[ID],E142,tblRegistros[Data],B142,tblRegistros[Início],"&lt;"&amp;I142)+COUNTIFS($E$5:E142,E142,$B$5:B142,B142,$I$5:I142,I142))</f>
        <v/>
      </c>
    </row>
    <row r="143" spans="2:20">
      <c r="B143" s="2" t="str">
        <f>IFERROR(INT(INDEX(tblBatidas[Data e hora],MATCH("B"&amp;MID($A143,2,99),tblBatidas[Batida ID],0))),"")</f>
        <v/>
      </c>
      <c r="C143" t="str">
        <f t="shared" si="8"/>
        <v/>
      </c>
      <c r="D143" t="str">
        <f t="shared" si="9"/>
        <v/>
      </c>
      <c r="E143" t="str">
        <f>IFERROR(INDEX(tblBatidas[ID],MATCH("B"&amp;MID($A143,2,99),tblBatidas[Batida ID],0)),"")</f>
        <v/>
      </c>
      <c r="F143" t="str">
        <f>IFERROR(INDEX(tblPessoas[Pessoa],MATCH(E143,tblPessoas[ID],0)),"")</f>
        <v/>
      </c>
      <c r="G143" t="str">
        <f>IFERROR(INDEX(tblBatidas[Projeto],MATCH("B"&amp;MID($A143,2,99),tblBatidas[Batida ID],0)),"")</f>
        <v/>
      </c>
      <c r="H143" t="str">
        <f>IFERROR(INDEX(tblBatidas[Atividade],MATCH("B"&amp;MID($A143,2,99),tblBatidas[Batida ID],0)),"")</f>
        <v/>
      </c>
      <c r="I143" s="4" t="str">
        <f>IFERROR(MOD(INDEX(tblBatidas[Data e hora],MATCH("B"&amp;MID($A143,2,99),tblBatidas[Batida ID],0)),1),"")</f>
        <v/>
      </c>
      <c r="J143" s="4" t="str">
        <f>IFERROR(MOD(INDEX(tblBatidas[Data e hora],MATCH("B"&amp;MID($A143,2,99),tblBatidas[Início vinculado],0)),1),"")</f>
        <v/>
      </c>
      <c r="K143" s="14" t="str">
        <f>IFERROR((INDEX(tblBatidas[Data e hora],MATCH("B"&amp;MID($A143,2,99),tblBatidas[Início vinculado],0))-INDEX(tblBatidas[Data e hora],MATCH("B"&amp;MID($A143,2,99),tblBatidas[Batida ID],0)))*24,"")</f>
        <v/>
      </c>
      <c r="L143" t="str">
        <f>IFERROR(INDEX(tblBatidas[Observação],MATCH("B"&amp;MID($A143,2,99),tblBatidas[Início vinculado],0)),"")</f>
        <v/>
      </c>
      <c r="M143" t="str">
        <f>IFERROR(INDEX(tblPessoas[Base],MATCH(E143,tblPessoas[ID],0)),"")</f>
        <v/>
      </c>
      <c r="N143" s="3">
        <f>IFERROR(IF(D143="DIA ÚTIL",INDEX(tblPessoas[R$/h útil],MATCH(E143,tblPessoas[ID],0)),INDEX(tblPessoas[R$/h FDS],MATCH(E143,tblPessoas[ID],0))),0)</f>
        <v>0</v>
      </c>
      <c r="O143" s="3">
        <f>IFERROR(INDEX(tblPessoas[R$/diária],MATCH(E143,tblPessoas[ID],0)),0)</f>
        <v>0</v>
      </c>
      <c r="P143" s="3" t="str">
        <f t="shared" si="10"/>
        <v/>
      </c>
      <c r="Q143" t="str">
        <f>IF(A143="","",IF(COUNTIF(tblBatidas[Início vinculado],"B"&amp;MID($A143,2,99))=0,"EM ABERTO",IF(OR(COUNTIF(tblBatidas[Início vinculado],"B"&amp;MID($A143,2,99))&gt;1,K143&lt;0,K143&gt;16,INT(INDEX(tblBatidas[Data e hora],MATCH("B"&amp;MID($A143,2,99),tblBatidas[Início vinculado],0)))&lt;&gt;B143,INDEX(tblBatidas[ID],MATCH("B"&amp;MID($A143,2,99),tblBatidas[Início vinculado],0))&lt;&gt;E143,INDEX(tblBatidas[Projeto],MATCH("B"&amp;MID($A143,2,99),tblBatidas[Início vinculado],0))&lt;&gt;G143,INDEX(tblBatidas[Atividade],MATCH("B"&amp;MID($A143,2,99),tblBatidas[Início vinculado],0))&lt;&gt;H143),"REVISAR","CONCLUÍDO")))</f>
        <v/>
      </c>
      <c r="R143">
        <f>IF(Q143&lt;&gt;"CONCLUÍDO",0,IF(COUNTIFS($E$5:E143,E143,$B$5:B143,B143,$Q$5:Q143,"CONCLUÍDO")=1,1,0))</f>
        <v>0</v>
      </c>
      <c r="S143" t="str">
        <f t="shared" si="11"/>
        <v/>
      </c>
      <c r="T143" t="str">
        <f>IF(E143="","",E143*100000+COUNTIFS(tblRegistros[ID],E143,tblRegistros[Data],"&lt;"&amp;B143)+COUNTIFS(tblRegistros[ID],E143,tblRegistros[Data],B143,tblRegistros[Início],"&lt;"&amp;I143)+COUNTIFS($E$5:E143,E143,$B$5:B143,B143,$I$5:I143,I143))</f>
        <v/>
      </c>
    </row>
    <row r="144" spans="2:20">
      <c r="B144" s="2" t="str">
        <f>IFERROR(INT(INDEX(tblBatidas[Data e hora],MATCH("B"&amp;MID($A144,2,99),tblBatidas[Batida ID],0))),"")</f>
        <v/>
      </c>
      <c r="C144" t="str">
        <f t="shared" si="8"/>
        <v/>
      </c>
      <c r="D144" t="str">
        <f t="shared" si="9"/>
        <v/>
      </c>
      <c r="E144" t="str">
        <f>IFERROR(INDEX(tblBatidas[ID],MATCH("B"&amp;MID($A144,2,99),tblBatidas[Batida ID],0)),"")</f>
        <v/>
      </c>
      <c r="F144" t="str">
        <f>IFERROR(INDEX(tblPessoas[Pessoa],MATCH(E144,tblPessoas[ID],0)),"")</f>
        <v/>
      </c>
      <c r="G144" t="str">
        <f>IFERROR(INDEX(tblBatidas[Projeto],MATCH("B"&amp;MID($A144,2,99),tblBatidas[Batida ID],0)),"")</f>
        <v/>
      </c>
      <c r="H144" t="str">
        <f>IFERROR(INDEX(tblBatidas[Atividade],MATCH("B"&amp;MID($A144,2,99),tblBatidas[Batida ID],0)),"")</f>
        <v/>
      </c>
      <c r="I144" s="4" t="str">
        <f>IFERROR(MOD(INDEX(tblBatidas[Data e hora],MATCH("B"&amp;MID($A144,2,99),tblBatidas[Batida ID],0)),1),"")</f>
        <v/>
      </c>
      <c r="J144" s="4" t="str">
        <f>IFERROR(MOD(INDEX(tblBatidas[Data e hora],MATCH("B"&amp;MID($A144,2,99),tblBatidas[Início vinculado],0)),1),"")</f>
        <v/>
      </c>
      <c r="K144" s="14" t="str">
        <f>IFERROR((INDEX(tblBatidas[Data e hora],MATCH("B"&amp;MID($A144,2,99),tblBatidas[Início vinculado],0))-INDEX(tblBatidas[Data e hora],MATCH("B"&amp;MID($A144,2,99),tblBatidas[Batida ID],0)))*24,"")</f>
        <v/>
      </c>
      <c r="L144" t="str">
        <f>IFERROR(INDEX(tblBatidas[Observação],MATCH("B"&amp;MID($A144,2,99),tblBatidas[Início vinculado],0)),"")</f>
        <v/>
      </c>
      <c r="M144" t="str">
        <f>IFERROR(INDEX(tblPessoas[Base],MATCH(E144,tblPessoas[ID],0)),"")</f>
        <v/>
      </c>
      <c r="N144" s="3">
        <f>IFERROR(IF(D144="DIA ÚTIL",INDEX(tblPessoas[R$/h útil],MATCH(E144,tblPessoas[ID],0)),INDEX(tblPessoas[R$/h FDS],MATCH(E144,tblPessoas[ID],0))),0)</f>
        <v>0</v>
      </c>
      <c r="O144" s="3">
        <f>IFERROR(INDEX(tblPessoas[R$/diária],MATCH(E144,tblPessoas[ID],0)),0)</f>
        <v>0</v>
      </c>
      <c r="P144" s="3" t="str">
        <f t="shared" si="10"/>
        <v/>
      </c>
      <c r="Q144" t="str">
        <f>IF(A144="","",IF(COUNTIF(tblBatidas[Início vinculado],"B"&amp;MID($A144,2,99))=0,"EM ABERTO",IF(OR(COUNTIF(tblBatidas[Início vinculado],"B"&amp;MID($A144,2,99))&gt;1,K144&lt;0,K144&gt;16,INT(INDEX(tblBatidas[Data e hora],MATCH("B"&amp;MID($A144,2,99),tblBatidas[Início vinculado],0)))&lt;&gt;B144,INDEX(tblBatidas[ID],MATCH("B"&amp;MID($A144,2,99),tblBatidas[Início vinculado],0))&lt;&gt;E144,INDEX(tblBatidas[Projeto],MATCH("B"&amp;MID($A144,2,99),tblBatidas[Início vinculado],0))&lt;&gt;G144,INDEX(tblBatidas[Atividade],MATCH("B"&amp;MID($A144,2,99),tblBatidas[Início vinculado],0))&lt;&gt;H144),"REVISAR","CONCLUÍDO")))</f>
        <v/>
      </c>
      <c r="R144">
        <f>IF(Q144&lt;&gt;"CONCLUÍDO",0,IF(COUNTIFS($E$5:E144,E144,$B$5:B144,B144,$Q$5:Q144,"CONCLUÍDO")=1,1,0))</f>
        <v>0</v>
      </c>
      <c r="S144" t="str">
        <f t="shared" si="11"/>
        <v/>
      </c>
      <c r="T144" t="str">
        <f>IF(E144="","",E144*100000+COUNTIFS(tblRegistros[ID],E144,tblRegistros[Data],"&lt;"&amp;B144)+COUNTIFS(tblRegistros[ID],E144,tblRegistros[Data],B144,tblRegistros[Início],"&lt;"&amp;I144)+COUNTIFS($E$5:E144,E144,$B$5:B144,B144,$I$5:I144,I144))</f>
        <v/>
      </c>
    </row>
    <row r="145" spans="2:20">
      <c r="B145" s="2" t="str">
        <f>IFERROR(INT(INDEX(tblBatidas[Data e hora],MATCH("B"&amp;MID($A145,2,99),tblBatidas[Batida ID],0))),"")</f>
        <v/>
      </c>
      <c r="C145" t="str">
        <f t="shared" si="8"/>
        <v/>
      </c>
      <c r="D145" t="str">
        <f t="shared" si="9"/>
        <v/>
      </c>
      <c r="E145" t="str">
        <f>IFERROR(INDEX(tblBatidas[ID],MATCH("B"&amp;MID($A145,2,99),tblBatidas[Batida ID],0)),"")</f>
        <v/>
      </c>
      <c r="F145" t="str">
        <f>IFERROR(INDEX(tblPessoas[Pessoa],MATCH(E145,tblPessoas[ID],0)),"")</f>
        <v/>
      </c>
      <c r="G145" t="str">
        <f>IFERROR(INDEX(tblBatidas[Projeto],MATCH("B"&amp;MID($A145,2,99),tblBatidas[Batida ID],0)),"")</f>
        <v/>
      </c>
      <c r="H145" t="str">
        <f>IFERROR(INDEX(tblBatidas[Atividade],MATCH("B"&amp;MID($A145,2,99),tblBatidas[Batida ID],0)),"")</f>
        <v/>
      </c>
      <c r="I145" s="4" t="str">
        <f>IFERROR(MOD(INDEX(tblBatidas[Data e hora],MATCH("B"&amp;MID($A145,2,99),tblBatidas[Batida ID],0)),1),"")</f>
        <v/>
      </c>
      <c r="J145" s="4" t="str">
        <f>IFERROR(MOD(INDEX(tblBatidas[Data e hora],MATCH("B"&amp;MID($A145,2,99),tblBatidas[Início vinculado],0)),1),"")</f>
        <v/>
      </c>
      <c r="K145" s="14" t="str">
        <f>IFERROR((INDEX(tblBatidas[Data e hora],MATCH("B"&amp;MID($A145,2,99),tblBatidas[Início vinculado],0))-INDEX(tblBatidas[Data e hora],MATCH("B"&amp;MID($A145,2,99),tblBatidas[Batida ID],0)))*24,"")</f>
        <v/>
      </c>
      <c r="L145" t="str">
        <f>IFERROR(INDEX(tblBatidas[Observação],MATCH("B"&amp;MID($A145,2,99),tblBatidas[Início vinculado],0)),"")</f>
        <v/>
      </c>
      <c r="M145" t="str">
        <f>IFERROR(INDEX(tblPessoas[Base],MATCH(E145,tblPessoas[ID],0)),"")</f>
        <v/>
      </c>
      <c r="N145" s="3">
        <f>IFERROR(IF(D145="DIA ÚTIL",INDEX(tblPessoas[R$/h útil],MATCH(E145,tblPessoas[ID],0)),INDEX(tblPessoas[R$/h FDS],MATCH(E145,tblPessoas[ID],0))),0)</f>
        <v>0</v>
      </c>
      <c r="O145" s="3">
        <f>IFERROR(INDEX(tblPessoas[R$/diária],MATCH(E145,tblPessoas[ID],0)),0)</f>
        <v>0</v>
      </c>
      <c r="P145" s="3" t="str">
        <f t="shared" si="10"/>
        <v/>
      </c>
      <c r="Q145" t="str">
        <f>IF(A145="","",IF(COUNTIF(tblBatidas[Início vinculado],"B"&amp;MID($A145,2,99))=0,"EM ABERTO",IF(OR(COUNTIF(tblBatidas[Início vinculado],"B"&amp;MID($A145,2,99))&gt;1,K145&lt;0,K145&gt;16,INT(INDEX(tblBatidas[Data e hora],MATCH("B"&amp;MID($A145,2,99),tblBatidas[Início vinculado],0)))&lt;&gt;B145,INDEX(tblBatidas[ID],MATCH("B"&amp;MID($A145,2,99),tblBatidas[Início vinculado],0))&lt;&gt;E145,INDEX(tblBatidas[Projeto],MATCH("B"&amp;MID($A145,2,99),tblBatidas[Início vinculado],0))&lt;&gt;G145,INDEX(tblBatidas[Atividade],MATCH("B"&amp;MID($A145,2,99),tblBatidas[Início vinculado],0))&lt;&gt;H145),"REVISAR","CONCLUÍDO")))</f>
        <v/>
      </c>
      <c r="R145">
        <f>IF(Q145&lt;&gt;"CONCLUÍDO",0,IF(COUNTIFS($E$5:E145,E145,$B$5:B145,B145,$Q$5:Q145,"CONCLUÍDO")=1,1,0))</f>
        <v>0</v>
      </c>
      <c r="S145" t="str">
        <f t="shared" si="11"/>
        <v/>
      </c>
      <c r="T145" t="str">
        <f>IF(E145="","",E145*100000+COUNTIFS(tblRegistros[ID],E145,tblRegistros[Data],"&lt;"&amp;B145)+COUNTIFS(tblRegistros[ID],E145,tblRegistros[Data],B145,tblRegistros[Início],"&lt;"&amp;I145)+COUNTIFS($E$5:E145,E145,$B$5:B145,B145,$I$5:I145,I145))</f>
        <v/>
      </c>
    </row>
    <row r="146" spans="2:20">
      <c r="B146" s="2" t="str">
        <f>IFERROR(INT(INDEX(tblBatidas[Data e hora],MATCH("B"&amp;MID($A146,2,99),tblBatidas[Batida ID],0))),"")</f>
        <v/>
      </c>
      <c r="C146" t="str">
        <f t="shared" si="8"/>
        <v/>
      </c>
      <c r="D146" t="str">
        <f t="shared" si="9"/>
        <v/>
      </c>
      <c r="E146" t="str">
        <f>IFERROR(INDEX(tblBatidas[ID],MATCH("B"&amp;MID($A146,2,99),tblBatidas[Batida ID],0)),"")</f>
        <v/>
      </c>
      <c r="F146" t="str">
        <f>IFERROR(INDEX(tblPessoas[Pessoa],MATCH(E146,tblPessoas[ID],0)),"")</f>
        <v/>
      </c>
      <c r="G146" t="str">
        <f>IFERROR(INDEX(tblBatidas[Projeto],MATCH("B"&amp;MID($A146,2,99),tblBatidas[Batida ID],0)),"")</f>
        <v/>
      </c>
      <c r="H146" t="str">
        <f>IFERROR(INDEX(tblBatidas[Atividade],MATCH("B"&amp;MID($A146,2,99),tblBatidas[Batida ID],0)),"")</f>
        <v/>
      </c>
      <c r="I146" s="4" t="str">
        <f>IFERROR(MOD(INDEX(tblBatidas[Data e hora],MATCH("B"&amp;MID($A146,2,99),tblBatidas[Batida ID],0)),1),"")</f>
        <v/>
      </c>
      <c r="J146" s="4" t="str">
        <f>IFERROR(MOD(INDEX(tblBatidas[Data e hora],MATCH("B"&amp;MID($A146,2,99),tblBatidas[Início vinculado],0)),1),"")</f>
        <v/>
      </c>
      <c r="K146" s="14" t="str">
        <f>IFERROR((INDEX(tblBatidas[Data e hora],MATCH("B"&amp;MID($A146,2,99),tblBatidas[Início vinculado],0))-INDEX(tblBatidas[Data e hora],MATCH("B"&amp;MID($A146,2,99),tblBatidas[Batida ID],0)))*24,"")</f>
        <v/>
      </c>
      <c r="L146" t="str">
        <f>IFERROR(INDEX(tblBatidas[Observação],MATCH("B"&amp;MID($A146,2,99),tblBatidas[Início vinculado],0)),"")</f>
        <v/>
      </c>
      <c r="M146" t="str">
        <f>IFERROR(INDEX(tblPessoas[Base],MATCH(E146,tblPessoas[ID],0)),"")</f>
        <v/>
      </c>
      <c r="N146" s="3">
        <f>IFERROR(IF(D146="DIA ÚTIL",INDEX(tblPessoas[R$/h útil],MATCH(E146,tblPessoas[ID],0)),INDEX(tblPessoas[R$/h FDS],MATCH(E146,tblPessoas[ID],0))),0)</f>
        <v>0</v>
      </c>
      <c r="O146" s="3">
        <f>IFERROR(INDEX(tblPessoas[R$/diária],MATCH(E146,tblPessoas[ID],0)),0)</f>
        <v>0</v>
      </c>
      <c r="P146" s="3" t="str">
        <f t="shared" si="10"/>
        <v/>
      </c>
      <c r="Q146" t="str">
        <f>IF(A146="","",IF(COUNTIF(tblBatidas[Início vinculado],"B"&amp;MID($A146,2,99))=0,"EM ABERTO",IF(OR(COUNTIF(tblBatidas[Início vinculado],"B"&amp;MID($A146,2,99))&gt;1,K146&lt;0,K146&gt;16,INT(INDEX(tblBatidas[Data e hora],MATCH("B"&amp;MID($A146,2,99),tblBatidas[Início vinculado],0)))&lt;&gt;B146,INDEX(tblBatidas[ID],MATCH("B"&amp;MID($A146,2,99),tblBatidas[Início vinculado],0))&lt;&gt;E146,INDEX(tblBatidas[Projeto],MATCH("B"&amp;MID($A146,2,99),tblBatidas[Início vinculado],0))&lt;&gt;G146,INDEX(tblBatidas[Atividade],MATCH("B"&amp;MID($A146,2,99),tblBatidas[Início vinculado],0))&lt;&gt;H146),"REVISAR","CONCLUÍDO")))</f>
        <v/>
      </c>
      <c r="R146">
        <f>IF(Q146&lt;&gt;"CONCLUÍDO",0,IF(COUNTIFS($E$5:E146,E146,$B$5:B146,B146,$Q$5:Q146,"CONCLUÍDO")=1,1,0))</f>
        <v>0</v>
      </c>
      <c r="S146" t="str">
        <f t="shared" si="11"/>
        <v/>
      </c>
      <c r="T146" t="str">
        <f>IF(E146="","",E146*100000+COUNTIFS(tblRegistros[ID],E146,tblRegistros[Data],"&lt;"&amp;B146)+COUNTIFS(tblRegistros[ID],E146,tblRegistros[Data],B146,tblRegistros[Início],"&lt;"&amp;I146)+COUNTIFS($E$5:E146,E146,$B$5:B146,B146,$I$5:I146,I146))</f>
        <v/>
      </c>
    </row>
    <row r="147" spans="2:20">
      <c r="B147" s="2" t="str">
        <f>IFERROR(INT(INDEX(tblBatidas[Data e hora],MATCH("B"&amp;MID($A147,2,99),tblBatidas[Batida ID],0))),"")</f>
        <v/>
      </c>
      <c r="C147" t="str">
        <f t="shared" si="8"/>
        <v/>
      </c>
      <c r="D147" t="str">
        <f t="shared" si="9"/>
        <v/>
      </c>
      <c r="E147" t="str">
        <f>IFERROR(INDEX(tblBatidas[ID],MATCH("B"&amp;MID($A147,2,99),tblBatidas[Batida ID],0)),"")</f>
        <v/>
      </c>
      <c r="F147" t="str">
        <f>IFERROR(INDEX(tblPessoas[Pessoa],MATCH(E147,tblPessoas[ID],0)),"")</f>
        <v/>
      </c>
      <c r="G147" t="str">
        <f>IFERROR(INDEX(tblBatidas[Projeto],MATCH("B"&amp;MID($A147,2,99),tblBatidas[Batida ID],0)),"")</f>
        <v/>
      </c>
      <c r="H147" t="str">
        <f>IFERROR(INDEX(tblBatidas[Atividade],MATCH("B"&amp;MID($A147,2,99),tblBatidas[Batida ID],0)),"")</f>
        <v/>
      </c>
      <c r="I147" s="4" t="str">
        <f>IFERROR(MOD(INDEX(tblBatidas[Data e hora],MATCH("B"&amp;MID($A147,2,99),tblBatidas[Batida ID],0)),1),"")</f>
        <v/>
      </c>
      <c r="J147" s="4" t="str">
        <f>IFERROR(MOD(INDEX(tblBatidas[Data e hora],MATCH("B"&amp;MID($A147,2,99),tblBatidas[Início vinculado],0)),1),"")</f>
        <v/>
      </c>
      <c r="K147" s="14" t="str">
        <f>IFERROR((INDEX(tblBatidas[Data e hora],MATCH("B"&amp;MID($A147,2,99),tblBatidas[Início vinculado],0))-INDEX(tblBatidas[Data e hora],MATCH("B"&amp;MID($A147,2,99),tblBatidas[Batida ID],0)))*24,"")</f>
        <v/>
      </c>
      <c r="L147" t="str">
        <f>IFERROR(INDEX(tblBatidas[Observação],MATCH("B"&amp;MID($A147,2,99),tblBatidas[Início vinculado],0)),"")</f>
        <v/>
      </c>
      <c r="M147" t="str">
        <f>IFERROR(INDEX(tblPessoas[Base],MATCH(E147,tblPessoas[ID],0)),"")</f>
        <v/>
      </c>
      <c r="N147" s="3">
        <f>IFERROR(IF(D147="DIA ÚTIL",INDEX(tblPessoas[R$/h útil],MATCH(E147,tblPessoas[ID],0)),INDEX(tblPessoas[R$/h FDS],MATCH(E147,tblPessoas[ID],0))),0)</f>
        <v>0</v>
      </c>
      <c r="O147" s="3">
        <f>IFERROR(INDEX(tblPessoas[R$/diária],MATCH(E147,tblPessoas[ID],0)),0)</f>
        <v>0</v>
      </c>
      <c r="P147" s="3" t="str">
        <f t="shared" si="10"/>
        <v/>
      </c>
      <c r="Q147" t="str">
        <f>IF(A147="","",IF(COUNTIF(tblBatidas[Início vinculado],"B"&amp;MID($A147,2,99))=0,"EM ABERTO",IF(OR(COUNTIF(tblBatidas[Início vinculado],"B"&amp;MID($A147,2,99))&gt;1,K147&lt;0,K147&gt;16,INT(INDEX(tblBatidas[Data e hora],MATCH("B"&amp;MID($A147,2,99),tblBatidas[Início vinculado],0)))&lt;&gt;B147,INDEX(tblBatidas[ID],MATCH("B"&amp;MID($A147,2,99),tblBatidas[Início vinculado],0))&lt;&gt;E147,INDEX(tblBatidas[Projeto],MATCH("B"&amp;MID($A147,2,99),tblBatidas[Início vinculado],0))&lt;&gt;G147,INDEX(tblBatidas[Atividade],MATCH("B"&amp;MID($A147,2,99),tblBatidas[Início vinculado],0))&lt;&gt;H147),"REVISAR","CONCLUÍDO")))</f>
        <v/>
      </c>
      <c r="R147">
        <f>IF(Q147&lt;&gt;"CONCLUÍDO",0,IF(COUNTIFS($E$5:E147,E147,$B$5:B147,B147,$Q$5:Q147,"CONCLUÍDO")=1,1,0))</f>
        <v>0</v>
      </c>
      <c r="S147" t="str">
        <f t="shared" si="11"/>
        <v/>
      </c>
      <c r="T147" t="str">
        <f>IF(E147="","",E147*100000+COUNTIFS(tblRegistros[ID],E147,tblRegistros[Data],"&lt;"&amp;B147)+COUNTIFS(tblRegistros[ID],E147,tblRegistros[Data],B147,tblRegistros[Início],"&lt;"&amp;I147)+COUNTIFS($E$5:E147,E147,$B$5:B147,B147,$I$5:I147,I147))</f>
        <v/>
      </c>
    </row>
    <row r="148" spans="2:20">
      <c r="B148" s="2" t="str">
        <f>IFERROR(INT(INDEX(tblBatidas[Data e hora],MATCH("B"&amp;MID($A148,2,99),tblBatidas[Batida ID],0))),"")</f>
        <v/>
      </c>
      <c r="C148" t="str">
        <f t="shared" si="8"/>
        <v/>
      </c>
      <c r="D148" t="str">
        <f t="shared" si="9"/>
        <v/>
      </c>
      <c r="E148" t="str">
        <f>IFERROR(INDEX(tblBatidas[ID],MATCH("B"&amp;MID($A148,2,99),tblBatidas[Batida ID],0)),"")</f>
        <v/>
      </c>
      <c r="F148" t="str">
        <f>IFERROR(INDEX(tblPessoas[Pessoa],MATCH(E148,tblPessoas[ID],0)),"")</f>
        <v/>
      </c>
      <c r="G148" t="str">
        <f>IFERROR(INDEX(tblBatidas[Projeto],MATCH("B"&amp;MID($A148,2,99),tblBatidas[Batida ID],0)),"")</f>
        <v/>
      </c>
      <c r="H148" t="str">
        <f>IFERROR(INDEX(tblBatidas[Atividade],MATCH("B"&amp;MID($A148,2,99),tblBatidas[Batida ID],0)),"")</f>
        <v/>
      </c>
      <c r="I148" s="4" t="str">
        <f>IFERROR(MOD(INDEX(tblBatidas[Data e hora],MATCH("B"&amp;MID($A148,2,99),tblBatidas[Batida ID],0)),1),"")</f>
        <v/>
      </c>
      <c r="J148" s="4" t="str">
        <f>IFERROR(MOD(INDEX(tblBatidas[Data e hora],MATCH("B"&amp;MID($A148,2,99),tblBatidas[Início vinculado],0)),1),"")</f>
        <v/>
      </c>
      <c r="K148" s="14" t="str">
        <f>IFERROR((INDEX(tblBatidas[Data e hora],MATCH("B"&amp;MID($A148,2,99),tblBatidas[Início vinculado],0))-INDEX(tblBatidas[Data e hora],MATCH("B"&amp;MID($A148,2,99),tblBatidas[Batida ID],0)))*24,"")</f>
        <v/>
      </c>
      <c r="L148" t="str">
        <f>IFERROR(INDEX(tblBatidas[Observação],MATCH("B"&amp;MID($A148,2,99),tblBatidas[Início vinculado],0)),"")</f>
        <v/>
      </c>
      <c r="M148" t="str">
        <f>IFERROR(INDEX(tblPessoas[Base],MATCH(E148,tblPessoas[ID],0)),"")</f>
        <v/>
      </c>
      <c r="N148" s="3">
        <f>IFERROR(IF(D148="DIA ÚTIL",INDEX(tblPessoas[R$/h útil],MATCH(E148,tblPessoas[ID],0)),INDEX(tblPessoas[R$/h FDS],MATCH(E148,tblPessoas[ID],0))),0)</f>
        <v>0</v>
      </c>
      <c r="O148" s="3">
        <f>IFERROR(INDEX(tblPessoas[R$/diária],MATCH(E148,tblPessoas[ID],0)),0)</f>
        <v>0</v>
      </c>
      <c r="P148" s="3" t="str">
        <f t="shared" si="10"/>
        <v/>
      </c>
      <c r="Q148" t="str">
        <f>IF(A148="","",IF(COUNTIF(tblBatidas[Início vinculado],"B"&amp;MID($A148,2,99))=0,"EM ABERTO",IF(OR(COUNTIF(tblBatidas[Início vinculado],"B"&amp;MID($A148,2,99))&gt;1,K148&lt;0,K148&gt;16,INT(INDEX(tblBatidas[Data e hora],MATCH("B"&amp;MID($A148,2,99),tblBatidas[Início vinculado],0)))&lt;&gt;B148,INDEX(tblBatidas[ID],MATCH("B"&amp;MID($A148,2,99),tblBatidas[Início vinculado],0))&lt;&gt;E148,INDEX(tblBatidas[Projeto],MATCH("B"&amp;MID($A148,2,99),tblBatidas[Início vinculado],0))&lt;&gt;G148,INDEX(tblBatidas[Atividade],MATCH("B"&amp;MID($A148,2,99),tblBatidas[Início vinculado],0))&lt;&gt;H148),"REVISAR","CONCLUÍDO")))</f>
        <v/>
      </c>
      <c r="R148">
        <f>IF(Q148&lt;&gt;"CONCLUÍDO",0,IF(COUNTIFS($E$5:E148,E148,$B$5:B148,B148,$Q$5:Q148,"CONCLUÍDO")=1,1,0))</f>
        <v>0</v>
      </c>
      <c r="S148" t="str">
        <f t="shared" si="11"/>
        <v/>
      </c>
      <c r="T148" t="str">
        <f>IF(E148="","",E148*100000+COUNTIFS(tblRegistros[ID],E148,tblRegistros[Data],"&lt;"&amp;B148)+COUNTIFS(tblRegistros[ID],E148,tblRegistros[Data],B148,tblRegistros[Início],"&lt;"&amp;I148)+COUNTIFS($E$5:E148,E148,$B$5:B148,B148,$I$5:I148,I148))</f>
        <v/>
      </c>
    </row>
    <row r="149" spans="2:20">
      <c r="B149" s="2" t="str">
        <f>IFERROR(INT(INDEX(tblBatidas[Data e hora],MATCH("B"&amp;MID($A149,2,99),tblBatidas[Batida ID],0))),"")</f>
        <v/>
      </c>
      <c r="C149" t="str">
        <f t="shared" si="8"/>
        <v/>
      </c>
      <c r="D149" t="str">
        <f t="shared" si="9"/>
        <v/>
      </c>
      <c r="E149" t="str">
        <f>IFERROR(INDEX(tblBatidas[ID],MATCH("B"&amp;MID($A149,2,99),tblBatidas[Batida ID],0)),"")</f>
        <v/>
      </c>
      <c r="F149" t="str">
        <f>IFERROR(INDEX(tblPessoas[Pessoa],MATCH(E149,tblPessoas[ID],0)),"")</f>
        <v/>
      </c>
      <c r="G149" t="str">
        <f>IFERROR(INDEX(tblBatidas[Projeto],MATCH("B"&amp;MID($A149,2,99),tblBatidas[Batida ID],0)),"")</f>
        <v/>
      </c>
      <c r="H149" t="str">
        <f>IFERROR(INDEX(tblBatidas[Atividade],MATCH("B"&amp;MID($A149,2,99),tblBatidas[Batida ID],0)),"")</f>
        <v/>
      </c>
      <c r="I149" s="4" t="str">
        <f>IFERROR(MOD(INDEX(tblBatidas[Data e hora],MATCH("B"&amp;MID($A149,2,99),tblBatidas[Batida ID],0)),1),"")</f>
        <v/>
      </c>
      <c r="J149" s="4" t="str">
        <f>IFERROR(MOD(INDEX(tblBatidas[Data e hora],MATCH("B"&amp;MID($A149,2,99),tblBatidas[Início vinculado],0)),1),"")</f>
        <v/>
      </c>
      <c r="K149" s="14" t="str">
        <f>IFERROR((INDEX(tblBatidas[Data e hora],MATCH("B"&amp;MID($A149,2,99),tblBatidas[Início vinculado],0))-INDEX(tblBatidas[Data e hora],MATCH("B"&amp;MID($A149,2,99),tblBatidas[Batida ID],0)))*24,"")</f>
        <v/>
      </c>
      <c r="L149" t="str">
        <f>IFERROR(INDEX(tblBatidas[Observação],MATCH("B"&amp;MID($A149,2,99),tblBatidas[Início vinculado],0)),"")</f>
        <v/>
      </c>
      <c r="M149" t="str">
        <f>IFERROR(INDEX(tblPessoas[Base],MATCH(E149,tblPessoas[ID],0)),"")</f>
        <v/>
      </c>
      <c r="N149" s="3">
        <f>IFERROR(IF(D149="DIA ÚTIL",INDEX(tblPessoas[R$/h útil],MATCH(E149,tblPessoas[ID],0)),INDEX(tblPessoas[R$/h FDS],MATCH(E149,tblPessoas[ID],0))),0)</f>
        <v>0</v>
      </c>
      <c r="O149" s="3">
        <f>IFERROR(INDEX(tblPessoas[R$/diária],MATCH(E149,tblPessoas[ID],0)),0)</f>
        <v>0</v>
      </c>
      <c r="P149" s="3" t="str">
        <f t="shared" si="10"/>
        <v/>
      </c>
      <c r="Q149" t="str">
        <f>IF(A149="","",IF(COUNTIF(tblBatidas[Início vinculado],"B"&amp;MID($A149,2,99))=0,"EM ABERTO",IF(OR(COUNTIF(tblBatidas[Início vinculado],"B"&amp;MID($A149,2,99))&gt;1,K149&lt;0,K149&gt;16,INT(INDEX(tblBatidas[Data e hora],MATCH("B"&amp;MID($A149,2,99),tblBatidas[Início vinculado],0)))&lt;&gt;B149,INDEX(tblBatidas[ID],MATCH("B"&amp;MID($A149,2,99),tblBatidas[Início vinculado],0))&lt;&gt;E149,INDEX(tblBatidas[Projeto],MATCH("B"&amp;MID($A149,2,99),tblBatidas[Início vinculado],0))&lt;&gt;G149,INDEX(tblBatidas[Atividade],MATCH("B"&amp;MID($A149,2,99),tblBatidas[Início vinculado],0))&lt;&gt;H149),"REVISAR","CONCLUÍDO")))</f>
        <v/>
      </c>
      <c r="R149">
        <f>IF(Q149&lt;&gt;"CONCLUÍDO",0,IF(COUNTIFS($E$5:E149,E149,$B$5:B149,B149,$Q$5:Q149,"CONCLUÍDO")=1,1,0))</f>
        <v>0</v>
      </c>
      <c r="S149" t="str">
        <f t="shared" si="11"/>
        <v/>
      </c>
      <c r="T149" t="str">
        <f>IF(E149="","",E149*100000+COUNTIFS(tblRegistros[ID],E149,tblRegistros[Data],"&lt;"&amp;B149)+COUNTIFS(tblRegistros[ID],E149,tblRegistros[Data],B149,tblRegistros[Início],"&lt;"&amp;I149)+COUNTIFS($E$5:E149,E149,$B$5:B149,B149,$I$5:I149,I149))</f>
        <v/>
      </c>
    </row>
    <row r="150" spans="2:20">
      <c r="B150" s="2" t="str">
        <f>IFERROR(INT(INDEX(tblBatidas[Data e hora],MATCH("B"&amp;MID($A150,2,99),tblBatidas[Batida ID],0))),"")</f>
        <v/>
      </c>
      <c r="C150" t="str">
        <f t="shared" si="8"/>
        <v/>
      </c>
      <c r="D150" t="str">
        <f t="shared" si="9"/>
        <v/>
      </c>
      <c r="E150" t="str">
        <f>IFERROR(INDEX(tblBatidas[ID],MATCH("B"&amp;MID($A150,2,99),tblBatidas[Batida ID],0)),"")</f>
        <v/>
      </c>
      <c r="F150" t="str">
        <f>IFERROR(INDEX(tblPessoas[Pessoa],MATCH(E150,tblPessoas[ID],0)),"")</f>
        <v/>
      </c>
      <c r="G150" t="str">
        <f>IFERROR(INDEX(tblBatidas[Projeto],MATCH("B"&amp;MID($A150,2,99),tblBatidas[Batida ID],0)),"")</f>
        <v/>
      </c>
      <c r="H150" t="str">
        <f>IFERROR(INDEX(tblBatidas[Atividade],MATCH("B"&amp;MID($A150,2,99),tblBatidas[Batida ID],0)),"")</f>
        <v/>
      </c>
      <c r="I150" s="4" t="str">
        <f>IFERROR(MOD(INDEX(tblBatidas[Data e hora],MATCH("B"&amp;MID($A150,2,99),tblBatidas[Batida ID],0)),1),"")</f>
        <v/>
      </c>
      <c r="J150" s="4" t="str">
        <f>IFERROR(MOD(INDEX(tblBatidas[Data e hora],MATCH("B"&amp;MID($A150,2,99),tblBatidas[Início vinculado],0)),1),"")</f>
        <v/>
      </c>
      <c r="K150" s="14" t="str">
        <f>IFERROR((INDEX(tblBatidas[Data e hora],MATCH("B"&amp;MID($A150,2,99),tblBatidas[Início vinculado],0))-INDEX(tblBatidas[Data e hora],MATCH("B"&amp;MID($A150,2,99),tblBatidas[Batida ID],0)))*24,"")</f>
        <v/>
      </c>
      <c r="L150" t="str">
        <f>IFERROR(INDEX(tblBatidas[Observação],MATCH("B"&amp;MID($A150,2,99),tblBatidas[Início vinculado],0)),"")</f>
        <v/>
      </c>
      <c r="M150" t="str">
        <f>IFERROR(INDEX(tblPessoas[Base],MATCH(E150,tblPessoas[ID],0)),"")</f>
        <v/>
      </c>
      <c r="N150" s="3">
        <f>IFERROR(IF(D150="DIA ÚTIL",INDEX(tblPessoas[R$/h útil],MATCH(E150,tblPessoas[ID],0)),INDEX(tblPessoas[R$/h FDS],MATCH(E150,tblPessoas[ID],0))),0)</f>
        <v>0</v>
      </c>
      <c r="O150" s="3">
        <f>IFERROR(INDEX(tblPessoas[R$/diária],MATCH(E150,tblPessoas[ID],0)),0)</f>
        <v>0</v>
      </c>
      <c r="P150" s="3" t="str">
        <f t="shared" si="10"/>
        <v/>
      </c>
      <c r="Q150" t="str">
        <f>IF(A150="","",IF(COUNTIF(tblBatidas[Início vinculado],"B"&amp;MID($A150,2,99))=0,"EM ABERTO",IF(OR(COUNTIF(tblBatidas[Início vinculado],"B"&amp;MID($A150,2,99))&gt;1,K150&lt;0,K150&gt;16,INT(INDEX(tblBatidas[Data e hora],MATCH("B"&amp;MID($A150,2,99),tblBatidas[Início vinculado],0)))&lt;&gt;B150,INDEX(tblBatidas[ID],MATCH("B"&amp;MID($A150,2,99),tblBatidas[Início vinculado],0))&lt;&gt;E150,INDEX(tblBatidas[Projeto],MATCH("B"&amp;MID($A150,2,99),tblBatidas[Início vinculado],0))&lt;&gt;G150,INDEX(tblBatidas[Atividade],MATCH("B"&amp;MID($A150,2,99),tblBatidas[Início vinculado],0))&lt;&gt;H150),"REVISAR","CONCLUÍDO")))</f>
        <v/>
      </c>
      <c r="R150">
        <f>IF(Q150&lt;&gt;"CONCLUÍDO",0,IF(COUNTIFS($E$5:E150,E150,$B$5:B150,B150,$Q$5:Q150,"CONCLUÍDO")=1,1,0))</f>
        <v>0</v>
      </c>
      <c r="S150" t="str">
        <f t="shared" si="11"/>
        <v/>
      </c>
      <c r="T150" t="str">
        <f>IF(E150="","",E150*100000+COUNTIFS(tblRegistros[ID],E150,tblRegistros[Data],"&lt;"&amp;B150)+COUNTIFS(tblRegistros[ID],E150,tblRegistros[Data],B150,tblRegistros[Início],"&lt;"&amp;I150)+COUNTIFS($E$5:E150,E150,$B$5:B150,B150,$I$5:I150,I150))</f>
        <v/>
      </c>
    </row>
    <row r="151" spans="2:20">
      <c r="B151" s="2" t="str">
        <f>IFERROR(INT(INDEX(tblBatidas[Data e hora],MATCH("B"&amp;MID($A151,2,99),tblBatidas[Batida ID],0))),"")</f>
        <v/>
      </c>
      <c r="C151" t="str">
        <f t="shared" si="8"/>
        <v/>
      </c>
      <c r="D151" t="str">
        <f t="shared" si="9"/>
        <v/>
      </c>
      <c r="E151" t="str">
        <f>IFERROR(INDEX(tblBatidas[ID],MATCH("B"&amp;MID($A151,2,99),tblBatidas[Batida ID],0)),"")</f>
        <v/>
      </c>
      <c r="F151" t="str">
        <f>IFERROR(INDEX(tblPessoas[Pessoa],MATCH(E151,tblPessoas[ID],0)),"")</f>
        <v/>
      </c>
      <c r="G151" t="str">
        <f>IFERROR(INDEX(tblBatidas[Projeto],MATCH("B"&amp;MID($A151,2,99),tblBatidas[Batida ID],0)),"")</f>
        <v/>
      </c>
      <c r="H151" t="str">
        <f>IFERROR(INDEX(tblBatidas[Atividade],MATCH("B"&amp;MID($A151,2,99),tblBatidas[Batida ID],0)),"")</f>
        <v/>
      </c>
      <c r="I151" s="4" t="str">
        <f>IFERROR(MOD(INDEX(tblBatidas[Data e hora],MATCH("B"&amp;MID($A151,2,99),tblBatidas[Batida ID],0)),1),"")</f>
        <v/>
      </c>
      <c r="J151" s="4" t="str">
        <f>IFERROR(MOD(INDEX(tblBatidas[Data e hora],MATCH("B"&amp;MID($A151,2,99),tblBatidas[Início vinculado],0)),1),"")</f>
        <v/>
      </c>
      <c r="K151" s="14" t="str">
        <f>IFERROR((INDEX(tblBatidas[Data e hora],MATCH("B"&amp;MID($A151,2,99),tblBatidas[Início vinculado],0))-INDEX(tblBatidas[Data e hora],MATCH("B"&amp;MID($A151,2,99),tblBatidas[Batida ID],0)))*24,"")</f>
        <v/>
      </c>
      <c r="L151" t="str">
        <f>IFERROR(INDEX(tblBatidas[Observação],MATCH("B"&amp;MID($A151,2,99),tblBatidas[Início vinculado],0)),"")</f>
        <v/>
      </c>
      <c r="M151" t="str">
        <f>IFERROR(INDEX(tblPessoas[Base],MATCH(E151,tblPessoas[ID],0)),"")</f>
        <v/>
      </c>
      <c r="N151" s="3">
        <f>IFERROR(IF(D151="DIA ÚTIL",INDEX(tblPessoas[R$/h útil],MATCH(E151,tblPessoas[ID],0)),INDEX(tblPessoas[R$/h FDS],MATCH(E151,tblPessoas[ID],0))),0)</f>
        <v>0</v>
      </c>
      <c r="O151" s="3">
        <f>IFERROR(INDEX(tblPessoas[R$/diária],MATCH(E151,tblPessoas[ID],0)),0)</f>
        <v>0</v>
      </c>
      <c r="P151" s="3" t="str">
        <f t="shared" si="10"/>
        <v/>
      </c>
      <c r="Q151" t="str">
        <f>IF(A151="","",IF(COUNTIF(tblBatidas[Início vinculado],"B"&amp;MID($A151,2,99))=0,"EM ABERTO",IF(OR(COUNTIF(tblBatidas[Início vinculado],"B"&amp;MID($A151,2,99))&gt;1,K151&lt;0,K151&gt;16,INT(INDEX(tblBatidas[Data e hora],MATCH("B"&amp;MID($A151,2,99),tblBatidas[Início vinculado],0)))&lt;&gt;B151,INDEX(tblBatidas[ID],MATCH("B"&amp;MID($A151,2,99),tblBatidas[Início vinculado],0))&lt;&gt;E151,INDEX(tblBatidas[Projeto],MATCH("B"&amp;MID($A151,2,99),tblBatidas[Início vinculado],0))&lt;&gt;G151,INDEX(tblBatidas[Atividade],MATCH("B"&amp;MID($A151,2,99),tblBatidas[Início vinculado],0))&lt;&gt;H151),"REVISAR","CONCLUÍDO")))</f>
        <v/>
      </c>
      <c r="R151">
        <f>IF(Q151&lt;&gt;"CONCLUÍDO",0,IF(COUNTIFS($E$5:E151,E151,$B$5:B151,B151,$Q$5:Q151,"CONCLUÍDO")=1,1,0))</f>
        <v>0</v>
      </c>
      <c r="S151" t="str">
        <f t="shared" si="11"/>
        <v/>
      </c>
      <c r="T151" t="str">
        <f>IF(E151="","",E151*100000+COUNTIFS(tblRegistros[ID],E151,tblRegistros[Data],"&lt;"&amp;B151)+COUNTIFS(tblRegistros[ID],E151,tblRegistros[Data],B151,tblRegistros[Início],"&lt;"&amp;I151)+COUNTIFS($E$5:E151,E151,$B$5:B151,B151,$I$5:I151,I151))</f>
        <v/>
      </c>
    </row>
    <row r="152" spans="2:20">
      <c r="B152" s="2" t="str">
        <f>IFERROR(INT(INDEX(tblBatidas[Data e hora],MATCH("B"&amp;MID($A152,2,99),tblBatidas[Batida ID],0))),"")</f>
        <v/>
      </c>
      <c r="C152" t="str">
        <f t="shared" si="8"/>
        <v/>
      </c>
      <c r="D152" t="str">
        <f t="shared" si="9"/>
        <v/>
      </c>
      <c r="E152" t="str">
        <f>IFERROR(INDEX(tblBatidas[ID],MATCH("B"&amp;MID($A152,2,99),tblBatidas[Batida ID],0)),"")</f>
        <v/>
      </c>
      <c r="F152" t="str">
        <f>IFERROR(INDEX(tblPessoas[Pessoa],MATCH(E152,tblPessoas[ID],0)),"")</f>
        <v/>
      </c>
      <c r="G152" t="str">
        <f>IFERROR(INDEX(tblBatidas[Projeto],MATCH("B"&amp;MID($A152,2,99),tblBatidas[Batida ID],0)),"")</f>
        <v/>
      </c>
      <c r="H152" t="str">
        <f>IFERROR(INDEX(tblBatidas[Atividade],MATCH("B"&amp;MID($A152,2,99),tblBatidas[Batida ID],0)),"")</f>
        <v/>
      </c>
      <c r="I152" s="4" t="str">
        <f>IFERROR(MOD(INDEX(tblBatidas[Data e hora],MATCH("B"&amp;MID($A152,2,99),tblBatidas[Batida ID],0)),1),"")</f>
        <v/>
      </c>
      <c r="J152" s="4" t="str">
        <f>IFERROR(MOD(INDEX(tblBatidas[Data e hora],MATCH("B"&amp;MID($A152,2,99),tblBatidas[Início vinculado],0)),1),"")</f>
        <v/>
      </c>
      <c r="K152" s="14" t="str">
        <f>IFERROR((INDEX(tblBatidas[Data e hora],MATCH("B"&amp;MID($A152,2,99),tblBatidas[Início vinculado],0))-INDEX(tblBatidas[Data e hora],MATCH("B"&amp;MID($A152,2,99),tblBatidas[Batida ID],0)))*24,"")</f>
        <v/>
      </c>
      <c r="L152" t="str">
        <f>IFERROR(INDEX(tblBatidas[Observação],MATCH("B"&amp;MID($A152,2,99),tblBatidas[Início vinculado],0)),"")</f>
        <v/>
      </c>
      <c r="M152" t="str">
        <f>IFERROR(INDEX(tblPessoas[Base],MATCH(E152,tblPessoas[ID],0)),"")</f>
        <v/>
      </c>
      <c r="N152" s="3">
        <f>IFERROR(IF(D152="DIA ÚTIL",INDEX(tblPessoas[R$/h útil],MATCH(E152,tblPessoas[ID],0)),INDEX(tblPessoas[R$/h FDS],MATCH(E152,tblPessoas[ID],0))),0)</f>
        <v>0</v>
      </c>
      <c r="O152" s="3">
        <f>IFERROR(INDEX(tblPessoas[R$/diária],MATCH(E152,tblPessoas[ID],0)),0)</f>
        <v>0</v>
      </c>
      <c r="P152" s="3" t="str">
        <f t="shared" si="10"/>
        <v/>
      </c>
      <c r="Q152" t="str">
        <f>IF(A152="","",IF(COUNTIF(tblBatidas[Início vinculado],"B"&amp;MID($A152,2,99))=0,"EM ABERTO",IF(OR(COUNTIF(tblBatidas[Início vinculado],"B"&amp;MID($A152,2,99))&gt;1,K152&lt;0,K152&gt;16,INT(INDEX(tblBatidas[Data e hora],MATCH("B"&amp;MID($A152,2,99),tblBatidas[Início vinculado],0)))&lt;&gt;B152,INDEX(tblBatidas[ID],MATCH("B"&amp;MID($A152,2,99),tblBatidas[Início vinculado],0))&lt;&gt;E152,INDEX(tblBatidas[Projeto],MATCH("B"&amp;MID($A152,2,99),tblBatidas[Início vinculado],0))&lt;&gt;G152,INDEX(tblBatidas[Atividade],MATCH("B"&amp;MID($A152,2,99),tblBatidas[Início vinculado],0))&lt;&gt;H152),"REVISAR","CONCLUÍDO")))</f>
        <v/>
      </c>
      <c r="R152">
        <f>IF(Q152&lt;&gt;"CONCLUÍDO",0,IF(COUNTIFS($E$5:E152,E152,$B$5:B152,B152,$Q$5:Q152,"CONCLUÍDO")=1,1,0))</f>
        <v>0</v>
      </c>
      <c r="S152" t="str">
        <f t="shared" si="11"/>
        <v/>
      </c>
      <c r="T152" t="str">
        <f>IF(E152="","",E152*100000+COUNTIFS(tblRegistros[ID],E152,tblRegistros[Data],"&lt;"&amp;B152)+COUNTIFS(tblRegistros[ID],E152,tblRegistros[Data],B152,tblRegistros[Início],"&lt;"&amp;I152)+COUNTIFS($E$5:E152,E152,$B$5:B152,B152,$I$5:I152,I152))</f>
        <v/>
      </c>
    </row>
    <row r="153" spans="2:20">
      <c r="B153" s="2" t="str">
        <f>IFERROR(INT(INDEX(tblBatidas[Data e hora],MATCH("B"&amp;MID($A153,2,99),tblBatidas[Batida ID],0))),"")</f>
        <v/>
      </c>
      <c r="C153" t="str">
        <f t="shared" si="8"/>
        <v/>
      </c>
      <c r="D153" t="str">
        <f t="shared" si="9"/>
        <v/>
      </c>
      <c r="E153" t="str">
        <f>IFERROR(INDEX(tblBatidas[ID],MATCH("B"&amp;MID($A153,2,99),tblBatidas[Batida ID],0)),"")</f>
        <v/>
      </c>
      <c r="F153" t="str">
        <f>IFERROR(INDEX(tblPessoas[Pessoa],MATCH(E153,tblPessoas[ID],0)),"")</f>
        <v/>
      </c>
      <c r="G153" t="str">
        <f>IFERROR(INDEX(tblBatidas[Projeto],MATCH("B"&amp;MID($A153,2,99),tblBatidas[Batida ID],0)),"")</f>
        <v/>
      </c>
      <c r="H153" t="str">
        <f>IFERROR(INDEX(tblBatidas[Atividade],MATCH("B"&amp;MID($A153,2,99),tblBatidas[Batida ID],0)),"")</f>
        <v/>
      </c>
      <c r="I153" s="4" t="str">
        <f>IFERROR(MOD(INDEX(tblBatidas[Data e hora],MATCH("B"&amp;MID($A153,2,99),tblBatidas[Batida ID],0)),1),"")</f>
        <v/>
      </c>
      <c r="J153" s="4" t="str">
        <f>IFERROR(MOD(INDEX(tblBatidas[Data e hora],MATCH("B"&amp;MID($A153,2,99),tblBatidas[Início vinculado],0)),1),"")</f>
        <v/>
      </c>
      <c r="K153" s="14" t="str">
        <f>IFERROR((INDEX(tblBatidas[Data e hora],MATCH("B"&amp;MID($A153,2,99),tblBatidas[Início vinculado],0))-INDEX(tblBatidas[Data e hora],MATCH("B"&amp;MID($A153,2,99),tblBatidas[Batida ID],0)))*24,"")</f>
        <v/>
      </c>
      <c r="L153" t="str">
        <f>IFERROR(INDEX(tblBatidas[Observação],MATCH("B"&amp;MID($A153,2,99),tblBatidas[Início vinculado],0)),"")</f>
        <v/>
      </c>
      <c r="M153" t="str">
        <f>IFERROR(INDEX(tblPessoas[Base],MATCH(E153,tblPessoas[ID],0)),"")</f>
        <v/>
      </c>
      <c r="N153" s="3">
        <f>IFERROR(IF(D153="DIA ÚTIL",INDEX(tblPessoas[R$/h útil],MATCH(E153,tblPessoas[ID],0)),INDEX(tblPessoas[R$/h FDS],MATCH(E153,tblPessoas[ID],0))),0)</f>
        <v>0</v>
      </c>
      <c r="O153" s="3">
        <f>IFERROR(INDEX(tblPessoas[R$/diária],MATCH(E153,tblPessoas[ID],0)),0)</f>
        <v>0</v>
      </c>
      <c r="P153" s="3" t="str">
        <f t="shared" si="10"/>
        <v/>
      </c>
      <c r="Q153" t="str">
        <f>IF(A153="","",IF(COUNTIF(tblBatidas[Início vinculado],"B"&amp;MID($A153,2,99))=0,"EM ABERTO",IF(OR(COUNTIF(tblBatidas[Início vinculado],"B"&amp;MID($A153,2,99))&gt;1,K153&lt;0,K153&gt;16,INT(INDEX(tblBatidas[Data e hora],MATCH("B"&amp;MID($A153,2,99),tblBatidas[Início vinculado],0)))&lt;&gt;B153,INDEX(tblBatidas[ID],MATCH("B"&amp;MID($A153,2,99),tblBatidas[Início vinculado],0))&lt;&gt;E153,INDEX(tblBatidas[Projeto],MATCH("B"&amp;MID($A153,2,99),tblBatidas[Início vinculado],0))&lt;&gt;G153,INDEX(tblBatidas[Atividade],MATCH("B"&amp;MID($A153,2,99),tblBatidas[Início vinculado],0))&lt;&gt;H153),"REVISAR","CONCLUÍDO")))</f>
        <v/>
      </c>
      <c r="R153">
        <f>IF(Q153&lt;&gt;"CONCLUÍDO",0,IF(COUNTIFS($E$5:E153,E153,$B$5:B153,B153,$Q$5:Q153,"CONCLUÍDO")=1,1,0))</f>
        <v>0</v>
      </c>
      <c r="S153" t="str">
        <f t="shared" si="11"/>
        <v/>
      </c>
      <c r="T153" t="str">
        <f>IF(E153="","",E153*100000+COUNTIFS(tblRegistros[ID],E153,tblRegistros[Data],"&lt;"&amp;B153)+COUNTIFS(tblRegistros[ID],E153,tblRegistros[Data],B153,tblRegistros[Início],"&lt;"&amp;I153)+COUNTIFS($E$5:E153,E153,$B$5:B153,B153,$I$5:I153,I153))</f>
        <v/>
      </c>
    </row>
    <row r="154" spans="2:20">
      <c r="B154" s="2" t="str">
        <f>IFERROR(INT(INDEX(tblBatidas[Data e hora],MATCH("B"&amp;MID($A154,2,99),tblBatidas[Batida ID],0))),"")</f>
        <v/>
      </c>
      <c r="C154" t="str">
        <f t="shared" si="8"/>
        <v/>
      </c>
      <c r="D154" t="str">
        <f t="shared" si="9"/>
        <v/>
      </c>
      <c r="E154" t="str">
        <f>IFERROR(INDEX(tblBatidas[ID],MATCH("B"&amp;MID($A154,2,99),tblBatidas[Batida ID],0)),"")</f>
        <v/>
      </c>
      <c r="F154" t="str">
        <f>IFERROR(INDEX(tblPessoas[Pessoa],MATCH(E154,tblPessoas[ID],0)),"")</f>
        <v/>
      </c>
      <c r="G154" t="str">
        <f>IFERROR(INDEX(tblBatidas[Projeto],MATCH("B"&amp;MID($A154,2,99),tblBatidas[Batida ID],0)),"")</f>
        <v/>
      </c>
      <c r="H154" t="str">
        <f>IFERROR(INDEX(tblBatidas[Atividade],MATCH("B"&amp;MID($A154,2,99),tblBatidas[Batida ID],0)),"")</f>
        <v/>
      </c>
      <c r="I154" s="4" t="str">
        <f>IFERROR(MOD(INDEX(tblBatidas[Data e hora],MATCH("B"&amp;MID($A154,2,99),tblBatidas[Batida ID],0)),1),"")</f>
        <v/>
      </c>
      <c r="J154" s="4" t="str">
        <f>IFERROR(MOD(INDEX(tblBatidas[Data e hora],MATCH("B"&amp;MID($A154,2,99),tblBatidas[Início vinculado],0)),1),"")</f>
        <v/>
      </c>
      <c r="K154" s="14" t="str">
        <f>IFERROR((INDEX(tblBatidas[Data e hora],MATCH("B"&amp;MID($A154,2,99),tblBatidas[Início vinculado],0))-INDEX(tblBatidas[Data e hora],MATCH("B"&amp;MID($A154,2,99),tblBatidas[Batida ID],0)))*24,"")</f>
        <v/>
      </c>
      <c r="L154" t="str">
        <f>IFERROR(INDEX(tblBatidas[Observação],MATCH("B"&amp;MID($A154,2,99),tblBatidas[Início vinculado],0)),"")</f>
        <v/>
      </c>
      <c r="M154" t="str">
        <f>IFERROR(INDEX(tblPessoas[Base],MATCH(E154,tblPessoas[ID],0)),"")</f>
        <v/>
      </c>
      <c r="N154" s="3">
        <f>IFERROR(IF(D154="DIA ÚTIL",INDEX(tblPessoas[R$/h útil],MATCH(E154,tblPessoas[ID],0)),INDEX(tblPessoas[R$/h FDS],MATCH(E154,tblPessoas[ID],0))),0)</f>
        <v>0</v>
      </c>
      <c r="O154" s="3">
        <f>IFERROR(INDEX(tblPessoas[R$/diária],MATCH(E154,tblPessoas[ID],0)),0)</f>
        <v>0</v>
      </c>
      <c r="P154" s="3" t="str">
        <f t="shared" si="10"/>
        <v/>
      </c>
      <c r="Q154" t="str">
        <f>IF(A154="","",IF(COUNTIF(tblBatidas[Início vinculado],"B"&amp;MID($A154,2,99))=0,"EM ABERTO",IF(OR(COUNTIF(tblBatidas[Início vinculado],"B"&amp;MID($A154,2,99))&gt;1,K154&lt;0,K154&gt;16,INT(INDEX(tblBatidas[Data e hora],MATCH("B"&amp;MID($A154,2,99),tblBatidas[Início vinculado],0)))&lt;&gt;B154,INDEX(tblBatidas[ID],MATCH("B"&amp;MID($A154,2,99),tblBatidas[Início vinculado],0))&lt;&gt;E154,INDEX(tblBatidas[Projeto],MATCH("B"&amp;MID($A154,2,99),tblBatidas[Início vinculado],0))&lt;&gt;G154,INDEX(tblBatidas[Atividade],MATCH("B"&amp;MID($A154,2,99),tblBatidas[Início vinculado],0))&lt;&gt;H154),"REVISAR","CONCLUÍDO")))</f>
        <v/>
      </c>
      <c r="R154">
        <f>IF(Q154&lt;&gt;"CONCLUÍDO",0,IF(COUNTIFS($E$5:E154,E154,$B$5:B154,B154,$Q$5:Q154,"CONCLUÍDO")=1,1,0))</f>
        <v>0</v>
      </c>
      <c r="S154" t="str">
        <f t="shared" si="11"/>
        <v/>
      </c>
      <c r="T154" t="str">
        <f>IF(E154="","",E154*100000+COUNTIFS(tblRegistros[ID],E154,tblRegistros[Data],"&lt;"&amp;B154)+COUNTIFS(tblRegistros[ID],E154,tblRegistros[Data],B154,tblRegistros[Início],"&lt;"&amp;I154)+COUNTIFS($E$5:E154,E154,$B$5:B154,B154,$I$5:I154,I154))</f>
        <v/>
      </c>
    </row>
    <row r="155" spans="2:20">
      <c r="B155" s="2" t="str">
        <f>IFERROR(INT(INDEX(tblBatidas[Data e hora],MATCH("B"&amp;MID($A155,2,99),tblBatidas[Batida ID],0))),"")</f>
        <v/>
      </c>
      <c r="C155" t="str">
        <f t="shared" si="8"/>
        <v/>
      </c>
      <c r="D155" t="str">
        <f t="shared" si="9"/>
        <v/>
      </c>
      <c r="E155" t="str">
        <f>IFERROR(INDEX(tblBatidas[ID],MATCH("B"&amp;MID($A155,2,99),tblBatidas[Batida ID],0)),"")</f>
        <v/>
      </c>
      <c r="F155" t="str">
        <f>IFERROR(INDEX(tblPessoas[Pessoa],MATCH(E155,tblPessoas[ID],0)),"")</f>
        <v/>
      </c>
      <c r="G155" t="str">
        <f>IFERROR(INDEX(tblBatidas[Projeto],MATCH("B"&amp;MID($A155,2,99),tblBatidas[Batida ID],0)),"")</f>
        <v/>
      </c>
      <c r="H155" t="str">
        <f>IFERROR(INDEX(tblBatidas[Atividade],MATCH("B"&amp;MID($A155,2,99),tblBatidas[Batida ID],0)),"")</f>
        <v/>
      </c>
      <c r="I155" s="4" t="str">
        <f>IFERROR(MOD(INDEX(tblBatidas[Data e hora],MATCH("B"&amp;MID($A155,2,99),tblBatidas[Batida ID],0)),1),"")</f>
        <v/>
      </c>
      <c r="J155" s="4" t="str">
        <f>IFERROR(MOD(INDEX(tblBatidas[Data e hora],MATCH("B"&amp;MID($A155,2,99),tblBatidas[Início vinculado],0)),1),"")</f>
        <v/>
      </c>
      <c r="K155" s="14" t="str">
        <f>IFERROR((INDEX(tblBatidas[Data e hora],MATCH("B"&amp;MID($A155,2,99),tblBatidas[Início vinculado],0))-INDEX(tblBatidas[Data e hora],MATCH("B"&amp;MID($A155,2,99),tblBatidas[Batida ID],0)))*24,"")</f>
        <v/>
      </c>
      <c r="L155" t="str">
        <f>IFERROR(INDEX(tblBatidas[Observação],MATCH("B"&amp;MID($A155,2,99),tblBatidas[Início vinculado],0)),"")</f>
        <v/>
      </c>
      <c r="M155" t="str">
        <f>IFERROR(INDEX(tblPessoas[Base],MATCH(E155,tblPessoas[ID],0)),"")</f>
        <v/>
      </c>
      <c r="N155" s="3">
        <f>IFERROR(IF(D155="DIA ÚTIL",INDEX(tblPessoas[R$/h útil],MATCH(E155,tblPessoas[ID],0)),INDEX(tblPessoas[R$/h FDS],MATCH(E155,tblPessoas[ID],0))),0)</f>
        <v>0</v>
      </c>
      <c r="O155" s="3">
        <f>IFERROR(INDEX(tblPessoas[R$/diária],MATCH(E155,tblPessoas[ID],0)),0)</f>
        <v>0</v>
      </c>
      <c r="P155" s="3" t="str">
        <f t="shared" si="10"/>
        <v/>
      </c>
      <c r="Q155" t="str">
        <f>IF(A155="","",IF(COUNTIF(tblBatidas[Início vinculado],"B"&amp;MID($A155,2,99))=0,"EM ABERTO",IF(OR(COUNTIF(tblBatidas[Início vinculado],"B"&amp;MID($A155,2,99))&gt;1,K155&lt;0,K155&gt;16,INT(INDEX(tblBatidas[Data e hora],MATCH("B"&amp;MID($A155,2,99),tblBatidas[Início vinculado],0)))&lt;&gt;B155,INDEX(tblBatidas[ID],MATCH("B"&amp;MID($A155,2,99),tblBatidas[Início vinculado],0))&lt;&gt;E155,INDEX(tblBatidas[Projeto],MATCH("B"&amp;MID($A155,2,99),tblBatidas[Início vinculado],0))&lt;&gt;G155,INDEX(tblBatidas[Atividade],MATCH("B"&amp;MID($A155,2,99),tblBatidas[Início vinculado],0))&lt;&gt;H155),"REVISAR","CONCLUÍDO")))</f>
        <v/>
      </c>
      <c r="R155">
        <f>IF(Q155&lt;&gt;"CONCLUÍDO",0,IF(COUNTIFS($E$5:E155,E155,$B$5:B155,B155,$Q$5:Q155,"CONCLUÍDO")=1,1,0))</f>
        <v>0</v>
      </c>
      <c r="S155" t="str">
        <f t="shared" si="11"/>
        <v/>
      </c>
      <c r="T155" t="str">
        <f>IF(E155="","",E155*100000+COUNTIFS(tblRegistros[ID],E155,tblRegistros[Data],"&lt;"&amp;B155)+COUNTIFS(tblRegistros[ID],E155,tblRegistros[Data],B155,tblRegistros[Início],"&lt;"&amp;I155)+COUNTIFS($E$5:E155,E155,$B$5:B155,B155,$I$5:I155,I155))</f>
        <v/>
      </c>
    </row>
    <row r="156" spans="2:20">
      <c r="B156" s="2" t="str">
        <f>IFERROR(INT(INDEX(tblBatidas[Data e hora],MATCH("B"&amp;MID($A156,2,99),tblBatidas[Batida ID],0))),"")</f>
        <v/>
      </c>
      <c r="C156" t="str">
        <f t="shared" si="8"/>
        <v/>
      </c>
      <c r="D156" t="str">
        <f t="shared" si="9"/>
        <v/>
      </c>
      <c r="E156" t="str">
        <f>IFERROR(INDEX(tblBatidas[ID],MATCH("B"&amp;MID($A156,2,99),tblBatidas[Batida ID],0)),"")</f>
        <v/>
      </c>
      <c r="F156" t="str">
        <f>IFERROR(INDEX(tblPessoas[Pessoa],MATCH(E156,tblPessoas[ID],0)),"")</f>
        <v/>
      </c>
      <c r="G156" t="str">
        <f>IFERROR(INDEX(tblBatidas[Projeto],MATCH("B"&amp;MID($A156,2,99),tblBatidas[Batida ID],0)),"")</f>
        <v/>
      </c>
      <c r="H156" t="str">
        <f>IFERROR(INDEX(tblBatidas[Atividade],MATCH("B"&amp;MID($A156,2,99),tblBatidas[Batida ID],0)),"")</f>
        <v/>
      </c>
      <c r="I156" s="4" t="str">
        <f>IFERROR(MOD(INDEX(tblBatidas[Data e hora],MATCH("B"&amp;MID($A156,2,99),tblBatidas[Batida ID],0)),1),"")</f>
        <v/>
      </c>
      <c r="J156" s="4" t="str">
        <f>IFERROR(MOD(INDEX(tblBatidas[Data e hora],MATCH("B"&amp;MID($A156,2,99),tblBatidas[Início vinculado],0)),1),"")</f>
        <v/>
      </c>
      <c r="K156" s="14" t="str">
        <f>IFERROR((INDEX(tblBatidas[Data e hora],MATCH("B"&amp;MID($A156,2,99),tblBatidas[Início vinculado],0))-INDEX(tblBatidas[Data e hora],MATCH("B"&amp;MID($A156,2,99),tblBatidas[Batida ID],0)))*24,"")</f>
        <v/>
      </c>
      <c r="L156" t="str">
        <f>IFERROR(INDEX(tblBatidas[Observação],MATCH("B"&amp;MID($A156,2,99),tblBatidas[Início vinculado],0)),"")</f>
        <v/>
      </c>
      <c r="M156" t="str">
        <f>IFERROR(INDEX(tblPessoas[Base],MATCH(E156,tblPessoas[ID],0)),"")</f>
        <v/>
      </c>
      <c r="N156" s="3">
        <f>IFERROR(IF(D156="DIA ÚTIL",INDEX(tblPessoas[R$/h útil],MATCH(E156,tblPessoas[ID],0)),INDEX(tblPessoas[R$/h FDS],MATCH(E156,tblPessoas[ID],0))),0)</f>
        <v>0</v>
      </c>
      <c r="O156" s="3">
        <f>IFERROR(INDEX(tblPessoas[R$/diária],MATCH(E156,tblPessoas[ID],0)),0)</f>
        <v>0</v>
      </c>
      <c r="P156" s="3" t="str">
        <f t="shared" si="10"/>
        <v/>
      </c>
      <c r="Q156" t="str">
        <f>IF(A156="","",IF(COUNTIF(tblBatidas[Início vinculado],"B"&amp;MID($A156,2,99))=0,"EM ABERTO",IF(OR(COUNTIF(tblBatidas[Início vinculado],"B"&amp;MID($A156,2,99))&gt;1,K156&lt;0,K156&gt;16,INT(INDEX(tblBatidas[Data e hora],MATCH("B"&amp;MID($A156,2,99),tblBatidas[Início vinculado],0)))&lt;&gt;B156,INDEX(tblBatidas[ID],MATCH("B"&amp;MID($A156,2,99),tblBatidas[Início vinculado],0))&lt;&gt;E156,INDEX(tblBatidas[Projeto],MATCH("B"&amp;MID($A156,2,99),tblBatidas[Início vinculado],0))&lt;&gt;G156,INDEX(tblBatidas[Atividade],MATCH("B"&amp;MID($A156,2,99),tblBatidas[Início vinculado],0))&lt;&gt;H156),"REVISAR","CONCLUÍDO")))</f>
        <v/>
      </c>
      <c r="R156">
        <f>IF(Q156&lt;&gt;"CONCLUÍDO",0,IF(COUNTIFS($E$5:E156,E156,$B$5:B156,B156,$Q$5:Q156,"CONCLUÍDO")=1,1,0))</f>
        <v>0</v>
      </c>
      <c r="S156" t="str">
        <f t="shared" si="11"/>
        <v/>
      </c>
      <c r="T156" t="str">
        <f>IF(E156="","",E156*100000+COUNTIFS(tblRegistros[ID],E156,tblRegistros[Data],"&lt;"&amp;B156)+COUNTIFS(tblRegistros[ID],E156,tblRegistros[Data],B156,tblRegistros[Início],"&lt;"&amp;I156)+COUNTIFS($E$5:E156,E156,$B$5:B156,B156,$I$5:I156,I156))</f>
        <v/>
      </c>
    </row>
    <row r="157" spans="2:20">
      <c r="B157" s="2" t="str">
        <f>IFERROR(INT(INDEX(tblBatidas[Data e hora],MATCH("B"&amp;MID($A157,2,99),tblBatidas[Batida ID],0))),"")</f>
        <v/>
      </c>
      <c r="C157" t="str">
        <f t="shared" si="8"/>
        <v/>
      </c>
      <c r="D157" t="str">
        <f t="shared" si="9"/>
        <v/>
      </c>
      <c r="E157" t="str">
        <f>IFERROR(INDEX(tblBatidas[ID],MATCH("B"&amp;MID($A157,2,99),tblBatidas[Batida ID],0)),"")</f>
        <v/>
      </c>
      <c r="F157" t="str">
        <f>IFERROR(INDEX(tblPessoas[Pessoa],MATCH(E157,tblPessoas[ID],0)),"")</f>
        <v/>
      </c>
      <c r="G157" t="str">
        <f>IFERROR(INDEX(tblBatidas[Projeto],MATCH("B"&amp;MID($A157,2,99),tblBatidas[Batida ID],0)),"")</f>
        <v/>
      </c>
      <c r="H157" t="str">
        <f>IFERROR(INDEX(tblBatidas[Atividade],MATCH("B"&amp;MID($A157,2,99),tblBatidas[Batida ID],0)),"")</f>
        <v/>
      </c>
      <c r="I157" s="4" t="str">
        <f>IFERROR(MOD(INDEX(tblBatidas[Data e hora],MATCH("B"&amp;MID($A157,2,99),tblBatidas[Batida ID],0)),1),"")</f>
        <v/>
      </c>
      <c r="J157" s="4" t="str">
        <f>IFERROR(MOD(INDEX(tblBatidas[Data e hora],MATCH("B"&amp;MID($A157,2,99),tblBatidas[Início vinculado],0)),1),"")</f>
        <v/>
      </c>
      <c r="K157" s="14" t="str">
        <f>IFERROR((INDEX(tblBatidas[Data e hora],MATCH("B"&amp;MID($A157,2,99),tblBatidas[Início vinculado],0))-INDEX(tblBatidas[Data e hora],MATCH("B"&amp;MID($A157,2,99),tblBatidas[Batida ID],0)))*24,"")</f>
        <v/>
      </c>
      <c r="L157" t="str">
        <f>IFERROR(INDEX(tblBatidas[Observação],MATCH("B"&amp;MID($A157,2,99),tblBatidas[Início vinculado],0)),"")</f>
        <v/>
      </c>
      <c r="M157" t="str">
        <f>IFERROR(INDEX(tblPessoas[Base],MATCH(E157,tblPessoas[ID],0)),"")</f>
        <v/>
      </c>
      <c r="N157" s="3">
        <f>IFERROR(IF(D157="DIA ÚTIL",INDEX(tblPessoas[R$/h útil],MATCH(E157,tblPessoas[ID],0)),INDEX(tblPessoas[R$/h FDS],MATCH(E157,tblPessoas[ID],0))),0)</f>
        <v>0</v>
      </c>
      <c r="O157" s="3">
        <f>IFERROR(INDEX(tblPessoas[R$/diária],MATCH(E157,tblPessoas[ID],0)),0)</f>
        <v>0</v>
      </c>
      <c r="P157" s="3" t="str">
        <f t="shared" si="10"/>
        <v/>
      </c>
      <c r="Q157" t="str">
        <f>IF(A157="","",IF(COUNTIF(tblBatidas[Início vinculado],"B"&amp;MID($A157,2,99))=0,"EM ABERTO",IF(OR(COUNTIF(tblBatidas[Início vinculado],"B"&amp;MID($A157,2,99))&gt;1,K157&lt;0,K157&gt;16,INT(INDEX(tblBatidas[Data e hora],MATCH("B"&amp;MID($A157,2,99),tblBatidas[Início vinculado],0)))&lt;&gt;B157,INDEX(tblBatidas[ID],MATCH("B"&amp;MID($A157,2,99),tblBatidas[Início vinculado],0))&lt;&gt;E157,INDEX(tblBatidas[Projeto],MATCH("B"&amp;MID($A157,2,99),tblBatidas[Início vinculado],0))&lt;&gt;G157,INDEX(tblBatidas[Atividade],MATCH("B"&amp;MID($A157,2,99),tblBatidas[Início vinculado],0))&lt;&gt;H157),"REVISAR","CONCLUÍDO")))</f>
        <v/>
      </c>
      <c r="R157">
        <f>IF(Q157&lt;&gt;"CONCLUÍDO",0,IF(COUNTIFS($E$5:E157,E157,$B$5:B157,B157,$Q$5:Q157,"CONCLUÍDO")=1,1,0))</f>
        <v>0</v>
      </c>
      <c r="S157" t="str">
        <f t="shared" si="11"/>
        <v/>
      </c>
      <c r="T157" t="str">
        <f>IF(E157="","",E157*100000+COUNTIFS(tblRegistros[ID],E157,tblRegistros[Data],"&lt;"&amp;B157)+COUNTIFS(tblRegistros[ID],E157,tblRegistros[Data],B157,tblRegistros[Início],"&lt;"&amp;I157)+COUNTIFS($E$5:E157,E157,$B$5:B157,B157,$I$5:I157,I157))</f>
        <v/>
      </c>
    </row>
    <row r="158" spans="2:20">
      <c r="B158" s="2" t="str">
        <f>IFERROR(INT(INDEX(tblBatidas[Data e hora],MATCH("B"&amp;MID($A158,2,99),tblBatidas[Batida ID],0))),"")</f>
        <v/>
      </c>
      <c r="C158" t="str">
        <f t="shared" si="8"/>
        <v/>
      </c>
      <c r="D158" t="str">
        <f t="shared" si="9"/>
        <v/>
      </c>
      <c r="E158" t="str">
        <f>IFERROR(INDEX(tblBatidas[ID],MATCH("B"&amp;MID($A158,2,99),tblBatidas[Batida ID],0)),"")</f>
        <v/>
      </c>
      <c r="F158" t="str">
        <f>IFERROR(INDEX(tblPessoas[Pessoa],MATCH(E158,tblPessoas[ID],0)),"")</f>
        <v/>
      </c>
      <c r="G158" t="str">
        <f>IFERROR(INDEX(tblBatidas[Projeto],MATCH("B"&amp;MID($A158,2,99),tblBatidas[Batida ID],0)),"")</f>
        <v/>
      </c>
      <c r="H158" t="str">
        <f>IFERROR(INDEX(tblBatidas[Atividade],MATCH("B"&amp;MID($A158,2,99),tblBatidas[Batida ID],0)),"")</f>
        <v/>
      </c>
      <c r="I158" s="4" t="str">
        <f>IFERROR(MOD(INDEX(tblBatidas[Data e hora],MATCH("B"&amp;MID($A158,2,99),tblBatidas[Batida ID],0)),1),"")</f>
        <v/>
      </c>
      <c r="J158" s="4" t="str">
        <f>IFERROR(MOD(INDEX(tblBatidas[Data e hora],MATCH("B"&amp;MID($A158,2,99),tblBatidas[Início vinculado],0)),1),"")</f>
        <v/>
      </c>
      <c r="K158" s="14" t="str">
        <f>IFERROR((INDEX(tblBatidas[Data e hora],MATCH("B"&amp;MID($A158,2,99),tblBatidas[Início vinculado],0))-INDEX(tblBatidas[Data e hora],MATCH("B"&amp;MID($A158,2,99),tblBatidas[Batida ID],0)))*24,"")</f>
        <v/>
      </c>
      <c r="L158" t="str">
        <f>IFERROR(INDEX(tblBatidas[Observação],MATCH("B"&amp;MID($A158,2,99),tblBatidas[Início vinculado],0)),"")</f>
        <v/>
      </c>
      <c r="M158" t="str">
        <f>IFERROR(INDEX(tblPessoas[Base],MATCH(E158,tblPessoas[ID],0)),"")</f>
        <v/>
      </c>
      <c r="N158" s="3">
        <f>IFERROR(IF(D158="DIA ÚTIL",INDEX(tblPessoas[R$/h útil],MATCH(E158,tblPessoas[ID],0)),INDEX(tblPessoas[R$/h FDS],MATCH(E158,tblPessoas[ID],0))),0)</f>
        <v>0</v>
      </c>
      <c r="O158" s="3">
        <f>IFERROR(INDEX(tblPessoas[R$/diária],MATCH(E158,tblPessoas[ID],0)),0)</f>
        <v>0</v>
      </c>
      <c r="P158" s="3" t="str">
        <f t="shared" si="10"/>
        <v/>
      </c>
      <c r="Q158" t="str">
        <f>IF(A158="","",IF(COUNTIF(tblBatidas[Início vinculado],"B"&amp;MID($A158,2,99))=0,"EM ABERTO",IF(OR(COUNTIF(tblBatidas[Início vinculado],"B"&amp;MID($A158,2,99))&gt;1,K158&lt;0,K158&gt;16,INT(INDEX(tblBatidas[Data e hora],MATCH("B"&amp;MID($A158,2,99),tblBatidas[Início vinculado],0)))&lt;&gt;B158,INDEX(tblBatidas[ID],MATCH("B"&amp;MID($A158,2,99),tblBatidas[Início vinculado],0))&lt;&gt;E158,INDEX(tblBatidas[Projeto],MATCH("B"&amp;MID($A158,2,99),tblBatidas[Início vinculado],0))&lt;&gt;G158,INDEX(tblBatidas[Atividade],MATCH("B"&amp;MID($A158,2,99),tblBatidas[Início vinculado],0))&lt;&gt;H158),"REVISAR","CONCLUÍDO")))</f>
        <v/>
      </c>
      <c r="R158">
        <f>IF(Q158&lt;&gt;"CONCLUÍDO",0,IF(COUNTIFS($E$5:E158,E158,$B$5:B158,B158,$Q$5:Q158,"CONCLUÍDO")=1,1,0))</f>
        <v>0</v>
      </c>
      <c r="S158" t="str">
        <f t="shared" si="11"/>
        <v/>
      </c>
      <c r="T158" t="str">
        <f>IF(E158="","",E158*100000+COUNTIFS(tblRegistros[ID],E158,tblRegistros[Data],"&lt;"&amp;B158)+COUNTIFS(tblRegistros[ID],E158,tblRegistros[Data],B158,tblRegistros[Início],"&lt;"&amp;I158)+COUNTIFS($E$5:E158,E158,$B$5:B158,B158,$I$5:I158,I158))</f>
        <v/>
      </c>
    </row>
    <row r="159" spans="2:20">
      <c r="B159" s="2" t="str">
        <f>IFERROR(INT(INDEX(tblBatidas[Data e hora],MATCH("B"&amp;MID($A159,2,99),tblBatidas[Batida ID],0))),"")</f>
        <v/>
      </c>
      <c r="C159" t="str">
        <f t="shared" si="8"/>
        <v/>
      </c>
      <c r="D159" t="str">
        <f t="shared" si="9"/>
        <v/>
      </c>
      <c r="E159" t="str">
        <f>IFERROR(INDEX(tblBatidas[ID],MATCH("B"&amp;MID($A159,2,99),tblBatidas[Batida ID],0)),"")</f>
        <v/>
      </c>
      <c r="F159" t="str">
        <f>IFERROR(INDEX(tblPessoas[Pessoa],MATCH(E159,tblPessoas[ID],0)),"")</f>
        <v/>
      </c>
      <c r="G159" t="str">
        <f>IFERROR(INDEX(tblBatidas[Projeto],MATCH("B"&amp;MID($A159,2,99),tblBatidas[Batida ID],0)),"")</f>
        <v/>
      </c>
      <c r="H159" t="str">
        <f>IFERROR(INDEX(tblBatidas[Atividade],MATCH("B"&amp;MID($A159,2,99),tblBatidas[Batida ID],0)),"")</f>
        <v/>
      </c>
      <c r="I159" s="4" t="str">
        <f>IFERROR(MOD(INDEX(tblBatidas[Data e hora],MATCH("B"&amp;MID($A159,2,99),tblBatidas[Batida ID],0)),1),"")</f>
        <v/>
      </c>
      <c r="J159" s="4" t="str">
        <f>IFERROR(MOD(INDEX(tblBatidas[Data e hora],MATCH("B"&amp;MID($A159,2,99),tblBatidas[Início vinculado],0)),1),"")</f>
        <v/>
      </c>
      <c r="K159" s="14" t="str">
        <f>IFERROR((INDEX(tblBatidas[Data e hora],MATCH("B"&amp;MID($A159,2,99),tblBatidas[Início vinculado],0))-INDEX(tblBatidas[Data e hora],MATCH("B"&amp;MID($A159,2,99),tblBatidas[Batida ID],0)))*24,"")</f>
        <v/>
      </c>
      <c r="L159" t="str">
        <f>IFERROR(INDEX(tblBatidas[Observação],MATCH("B"&amp;MID($A159,2,99),tblBatidas[Início vinculado],0)),"")</f>
        <v/>
      </c>
      <c r="M159" t="str">
        <f>IFERROR(INDEX(tblPessoas[Base],MATCH(E159,tblPessoas[ID],0)),"")</f>
        <v/>
      </c>
      <c r="N159" s="3">
        <f>IFERROR(IF(D159="DIA ÚTIL",INDEX(tblPessoas[R$/h útil],MATCH(E159,tblPessoas[ID],0)),INDEX(tblPessoas[R$/h FDS],MATCH(E159,tblPessoas[ID],0))),0)</f>
        <v>0</v>
      </c>
      <c r="O159" s="3">
        <f>IFERROR(INDEX(tblPessoas[R$/diária],MATCH(E159,tblPessoas[ID],0)),0)</f>
        <v>0</v>
      </c>
      <c r="P159" s="3" t="str">
        <f t="shared" si="10"/>
        <v/>
      </c>
      <c r="Q159" t="str">
        <f>IF(A159="","",IF(COUNTIF(tblBatidas[Início vinculado],"B"&amp;MID($A159,2,99))=0,"EM ABERTO",IF(OR(COUNTIF(tblBatidas[Início vinculado],"B"&amp;MID($A159,2,99))&gt;1,K159&lt;0,K159&gt;16,INT(INDEX(tblBatidas[Data e hora],MATCH("B"&amp;MID($A159,2,99),tblBatidas[Início vinculado],0)))&lt;&gt;B159,INDEX(tblBatidas[ID],MATCH("B"&amp;MID($A159,2,99),tblBatidas[Início vinculado],0))&lt;&gt;E159,INDEX(tblBatidas[Projeto],MATCH("B"&amp;MID($A159,2,99),tblBatidas[Início vinculado],0))&lt;&gt;G159,INDEX(tblBatidas[Atividade],MATCH("B"&amp;MID($A159,2,99),tblBatidas[Início vinculado],0))&lt;&gt;H159),"REVISAR","CONCLUÍDO")))</f>
        <v/>
      </c>
      <c r="R159">
        <f>IF(Q159&lt;&gt;"CONCLUÍDO",0,IF(COUNTIFS($E$5:E159,E159,$B$5:B159,B159,$Q$5:Q159,"CONCLUÍDO")=1,1,0))</f>
        <v>0</v>
      </c>
      <c r="S159" t="str">
        <f t="shared" si="11"/>
        <v/>
      </c>
      <c r="T159" t="str">
        <f>IF(E159="","",E159*100000+COUNTIFS(tblRegistros[ID],E159,tblRegistros[Data],"&lt;"&amp;B159)+COUNTIFS(tblRegistros[ID],E159,tblRegistros[Data],B159,tblRegistros[Início],"&lt;"&amp;I159)+COUNTIFS($E$5:E159,E159,$B$5:B159,B159,$I$5:I159,I159))</f>
        <v/>
      </c>
    </row>
    <row r="160" spans="2:20">
      <c r="B160" s="2" t="str">
        <f>IFERROR(INT(INDEX(tblBatidas[Data e hora],MATCH("B"&amp;MID($A160,2,99),tblBatidas[Batida ID],0))),"")</f>
        <v/>
      </c>
      <c r="C160" t="str">
        <f t="shared" si="8"/>
        <v/>
      </c>
      <c r="D160" t="str">
        <f t="shared" si="9"/>
        <v/>
      </c>
      <c r="E160" t="str">
        <f>IFERROR(INDEX(tblBatidas[ID],MATCH("B"&amp;MID($A160,2,99),tblBatidas[Batida ID],0)),"")</f>
        <v/>
      </c>
      <c r="F160" t="str">
        <f>IFERROR(INDEX(tblPessoas[Pessoa],MATCH(E160,tblPessoas[ID],0)),"")</f>
        <v/>
      </c>
      <c r="G160" t="str">
        <f>IFERROR(INDEX(tblBatidas[Projeto],MATCH("B"&amp;MID($A160,2,99),tblBatidas[Batida ID],0)),"")</f>
        <v/>
      </c>
      <c r="H160" t="str">
        <f>IFERROR(INDEX(tblBatidas[Atividade],MATCH("B"&amp;MID($A160,2,99),tblBatidas[Batida ID],0)),"")</f>
        <v/>
      </c>
      <c r="I160" s="4" t="str">
        <f>IFERROR(MOD(INDEX(tblBatidas[Data e hora],MATCH("B"&amp;MID($A160,2,99),tblBatidas[Batida ID],0)),1),"")</f>
        <v/>
      </c>
      <c r="J160" s="4" t="str">
        <f>IFERROR(MOD(INDEX(tblBatidas[Data e hora],MATCH("B"&amp;MID($A160,2,99),tblBatidas[Início vinculado],0)),1),"")</f>
        <v/>
      </c>
      <c r="K160" s="14" t="str">
        <f>IFERROR((INDEX(tblBatidas[Data e hora],MATCH("B"&amp;MID($A160,2,99),tblBatidas[Início vinculado],0))-INDEX(tblBatidas[Data e hora],MATCH("B"&amp;MID($A160,2,99),tblBatidas[Batida ID],0)))*24,"")</f>
        <v/>
      </c>
      <c r="L160" t="str">
        <f>IFERROR(INDEX(tblBatidas[Observação],MATCH("B"&amp;MID($A160,2,99),tblBatidas[Início vinculado],0)),"")</f>
        <v/>
      </c>
      <c r="M160" t="str">
        <f>IFERROR(INDEX(tblPessoas[Base],MATCH(E160,tblPessoas[ID],0)),"")</f>
        <v/>
      </c>
      <c r="N160" s="3">
        <f>IFERROR(IF(D160="DIA ÚTIL",INDEX(tblPessoas[R$/h útil],MATCH(E160,tblPessoas[ID],0)),INDEX(tblPessoas[R$/h FDS],MATCH(E160,tblPessoas[ID],0))),0)</f>
        <v>0</v>
      </c>
      <c r="O160" s="3">
        <f>IFERROR(INDEX(tblPessoas[R$/diária],MATCH(E160,tblPessoas[ID],0)),0)</f>
        <v>0</v>
      </c>
      <c r="P160" s="3" t="str">
        <f t="shared" si="10"/>
        <v/>
      </c>
      <c r="Q160" t="str">
        <f>IF(A160="","",IF(COUNTIF(tblBatidas[Início vinculado],"B"&amp;MID($A160,2,99))=0,"EM ABERTO",IF(OR(COUNTIF(tblBatidas[Início vinculado],"B"&amp;MID($A160,2,99))&gt;1,K160&lt;0,K160&gt;16,INT(INDEX(tblBatidas[Data e hora],MATCH("B"&amp;MID($A160,2,99),tblBatidas[Início vinculado],0)))&lt;&gt;B160,INDEX(tblBatidas[ID],MATCH("B"&amp;MID($A160,2,99),tblBatidas[Início vinculado],0))&lt;&gt;E160,INDEX(tblBatidas[Projeto],MATCH("B"&amp;MID($A160,2,99),tblBatidas[Início vinculado],0))&lt;&gt;G160,INDEX(tblBatidas[Atividade],MATCH("B"&amp;MID($A160,2,99),tblBatidas[Início vinculado],0))&lt;&gt;H160),"REVISAR","CONCLUÍDO")))</f>
        <v/>
      </c>
      <c r="R160">
        <f>IF(Q160&lt;&gt;"CONCLUÍDO",0,IF(COUNTIFS($E$5:E160,E160,$B$5:B160,B160,$Q$5:Q160,"CONCLUÍDO")=1,1,0))</f>
        <v>0</v>
      </c>
      <c r="S160" t="str">
        <f t="shared" si="11"/>
        <v/>
      </c>
      <c r="T160" t="str">
        <f>IF(E160="","",E160*100000+COUNTIFS(tblRegistros[ID],E160,tblRegistros[Data],"&lt;"&amp;B160)+COUNTIFS(tblRegistros[ID],E160,tblRegistros[Data],B160,tblRegistros[Início],"&lt;"&amp;I160)+COUNTIFS($E$5:E160,E160,$B$5:B160,B160,$I$5:I160,I160))</f>
        <v/>
      </c>
    </row>
    <row r="161" spans="2:20">
      <c r="B161" s="2" t="str">
        <f>IFERROR(INT(INDEX(tblBatidas[Data e hora],MATCH("B"&amp;MID($A161,2,99),tblBatidas[Batida ID],0))),"")</f>
        <v/>
      </c>
      <c r="C161" t="str">
        <f t="shared" si="8"/>
        <v/>
      </c>
      <c r="D161" t="str">
        <f t="shared" si="9"/>
        <v/>
      </c>
      <c r="E161" t="str">
        <f>IFERROR(INDEX(tblBatidas[ID],MATCH("B"&amp;MID($A161,2,99),tblBatidas[Batida ID],0)),"")</f>
        <v/>
      </c>
      <c r="F161" t="str">
        <f>IFERROR(INDEX(tblPessoas[Pessoa],MATCH(E161,tblPessoas[ID],0)),"")</f>
        <v/>
      </c>
      <c r="G161" t="str">
        <f>IFERROR(INDEX(tblBatidas[Projeto],MATCH("B"&amp;MID($A161,2,99),tblBatidas[Batida ID],0)),"")</f>
        <v/>
      </c>
      <c r="H161" t="str">
        <f>IFERROR(INDEX(tblBatidas[Atividade],MATCH("B"&amp;MID($A161,2,99),tblBatidas[Batida ID],0)),"")</f>
        <v/>
      </c>
      <c r="I161" s="4" t="str">
        <f>IFERROR(MOD(INDEX(tblBatidas[Data e hora],MATCH("B"&amp;MID($A161,2,99),tblBatidas[Batida ID],0)),1),"")</f>
        <v/>
      </c>
      <c r="J161" s="4" t="str">
        <f>IFERROR(MOD(INDEX(tblBatidas[Data e hora],MATCH("B"&amp;MID($A161,2,99),tblBatidas[Início vinculado],0)),1),"")</f>
        <v/>
      </c>
      <c r="K161" s="14" t="str">
        <f>IFERROR((INDEX(tblBatidas[Data e hora],MATCH("B"&amp;MID($A161,2,99),tblBatidas[Início vinculado],0))-INDEX(tblBatidas[Data e hora],MATCH("B"&amp;MID($A161,2,99),tblBatidas[Batida ID],0)))*24,"")</f>
        <v/>
      </c>
      <c r="L161" t="str">
        <f>IFERROR(INDEX(tblBatidas[Observação],MATCH("B"&amp;MID($A161,2,99),tblBatidas[Início vinculado],0)),"")</f>
        <v/>
      </c>
      <c r="M161" t="str">
        <f>IFERROR(INDEX(tblPessoas[Base],MATCH(E161,tblPessoas[ID],0)),"")</f>
        <v/>
      </c>
      <c r="N161" s="3">
        <f>IFERROR(IF(D161="DIA ÚTIL",INDEX(tblPessoas[R$/h útil],MATCH(E161,tblPessoas[ID],0)),INDEX(tblPessoas[R$/h FDS],MATCH(E161,tblPessoas[ID],0))),0)</f>
        <v>0</v>
      </c>
      <c r="O161" s="3">
        <f>IFERROR(INDEX(tblPessoas[R$/diária],MATCH(E161,tblPessoas[ID],0)),0)</f>
        <v>0</v>
      </c>
      <c r="P161" s="3" t="str">
        <f t="shared" si="10"/>
        <v/>
      </c>
      <c r="Q161" t="str">
        <f>IF(A161="","",IF(COUNTIF(tblBatidas[Início vinculado],"B"&amp;MID($A161,2,99))=0,"EM ABERTO",IF(OR(COUNTIF(tblBatidas[Início vinculado],"B"&amp;MID($A161,2,99))&gt;1,K161&lt;0,K161&gt;16,INT(INDEX(tblBatidas[Data e hora],MATCH("B"&amp;MID($A161,2,99),tblBatidas[Início vinculado],0)))&lt;&gt;B161,INDEX(tblBatidas[ID],MATCH("B"&amp;MID($A161,2,99),tblBatidas[Início vinculado],0))&lt;&gt;E161,INDEX(tblBatidas[Projeto],MATCH("B"&amp;MID($A161,2,99),tblBatidas[Início vinculado],0))&lt;&gt;G161,INDEX(tblBatidas[Atividade],MATCH("B"&amp;MID($A161,2,99),tblBatidas[Início vinculado],0))&lt;&gt;H161),"REVISAR","CONCLUÍDO")))</f>
        <v/>
      </c>
      <c r="R161">
        <f>IF(Q161&lt;&gt;"CONCLUÍDO",0,IF(COUNTIFS($E$5:E161,E161,$B$5:B161,B161,$Q$5:Q161,"CONCLUÍDO")=1,1,0))</f>
        <v>0</v>
      </c>
      <c r="S161" t="str">
        <f t="shared" si="11"/>
        <v/>
      </c>
      <c r="T161" t="str">
        <f>IF(E161="","",E161*100000+COUNTIFS(tblRegistros[ID],E161,tblRegistros[Data],"&lt;"&amp;B161)+COUNTIFS(tblRegistros[ID],E161,tblRegistros[Data],B161,tblRegistros[Início],"&lt;"&amp;I161)+COUNTIFS($E$5:E161,E161,$B$5:B161,B161,$I$5:I161,I161))</f>
        <v/>
      </c>
    </row>
    <row r="162" spans="2:20">
      <c r="B162" s="2" t="str">
        <f>IFERROR(INT(INDEX(tblBatidas[Data e hora],MATCH("B"&amp;MID($A162,2,99),tblBatidas[Batida ID],0))),"")</f>
        <v/>
      </c>
      <c r="C162" t="str">
        <f t="shared" si="8"/>
        <v/>
      </c>
      <c r="D162" t="str">
        <f t="shared" si="9"/>
        <v/>
      </c>
      <c r="E162" t="str">
        <f>IFERROR(INDEX(tblBatidas[ID],MATCH("B"&amp;MID($A162,2,99),tblBatidas[Batida ID],0)),"")</f>
        <v/>
      </c>
      <c r="F162" t="str">
        <f>IFERROR(INDEX(tblPessoas[Pessoa],MATCH(E162,tblPessoas[ID],0)),"")</f>
        <v/>
      </c>
      <c r="G162" t="str">
        <f>IFERROR(INDEX(tblBatidas[Projeto],MATCH("B"&amp;MID($A162,2,99),tblBatidas[Batida ID],0)),"")</f>
        <v/>
      </c>
      <c r="H162" t="str">
        <f>IFERROR(INDEX(tblBatidas[Atividade],MATCH("B"&amp;MID($A162,2,99),tblBatidas[Batida ID],0)),"")</f>
        <v/>
      </c>
      <c r="I162" s="4" t="str">
        <f>IFERROR(MOD(INDEX(tblBatidas[Data e hora],MATCH("B"&amp;MID($A162,2,99),tblBatidas[Batida ID],0)),1),"")</f>
        <v/>
      </c>
      <c r="J162" s="4" t="str">
        <f>IFERROR(MOD(INDEX(tblBatidas[Data e hora],MATCH("B"&amp;MID($A162,2,99),tblBatidas[Início vinculado],0)),1),"")</f>
        <v/>
      </c>
      <c r="K162" s="14" t="str">
        <f>IFERROR((INDEX(tblBatidas[Data e hora],MATCH("B"&amp;MID($A162,2,99),tblBatidas[Início vinculado],0))-INDEX(tblBatidas[Data e hora],MATCH("B"&amp;MID($A162,2,99),tblBatidas[Batida ID],0)))*24,"")</f>
        <v/>
      </c>
      <c r="L162" t="str">
        <f>IFERROR(INDEX(tblBatidas[Observação],MATCH("B"&amp;MID($A162,2,99),tblBatidas[Início vinculado],0)),"")</f>
        <v/>
      </c>
      <c r="M162" t="str">
        <f>IFERROR(INDEX(tblPessoas[Base],MATCH(E162,tblPessoas[ID],0)),"")</f>
        <v/>
      </c>
      <c r="N162" s="3">
        <f>IFERROR(IF(D162="DIA ÚTIL",INDEX(tblPessoas[R$/h útil],MATCH(E162,tblPessoas[ID],0)),INDEX(tblPessoas[R$/h FDS],MATCH(E162,tblPessoas[ID],0))),0)</f>
        <v>0</v>
      </c>
      <c r="O162" s="3">
        <f>IFERROR(INDEX(tblPessoas[R$/diária],MATCH(E162,tblPessoas[ID],0)),0)</f>
        <v>0</v>
      </c>
      <c r="P162" s="3" t="str">
        <f t="shared" si="10"/>
        <v/>
      </c>
      <c r="Q162" t="str">
        <f>IF(A162="","",IF(COUNTIF(tblBatidas[Início vinculado],"B"&amp;MID($A162,2,99))=0,"EM ABERTO",IF(OR(COUNTIF(tblBatidas[Início vinculado],"B"&amp;MID($A162,2,99))&gt;1,K162&lt;0,K162&gt;16,INT(INDEX(tblBatidas[Data e hora],MATCH("B"&amp;MID($A162,2,99),tblBatidas[Início vinculado],0)))&lt;&gt;B162,INDEX(tblBatidas[ID],MATCH("B"&amp;MID($A162,2,99),tblBatidas[Início vinculado],0))&lt;&gt;E162,INDEX(tblBatidas[Projeto],MATCH("B"&amp;MID($A162,2,99),tblBatidas[Início vinculado],0))&lt;&gt;G162,INDEX(tblBatidas[Atividade],MATCH("B"&amp;MID($A162,2,99),tblBatidas[Início vinculado],0))&lt;&gt;H162),"REVISAR","CONCLUÍDO")))</f>
        <v/>
      </c>
      <c r="R162">
        <f>IF(Q162&lt;&gt;"CONCLUÍDO",0,IF(COUNTIFS($E$5:E162,E162,$B$5:B162,B162,$Q$5:Q162,"CONCLUÍDO")=1,1,0))</f>
        <v>0</v>
      </c>
      <c r="S162" t="str">
        <f t="shared" si="11"/>
        <v/>
      </c>
      <c r="T162" t="str">
        <f>IF(E162="","",E162*100000+COUNTIFS(tblRegistros[ID],E162,tblRegistros[Data],"&lt;"&amp;B162)+COUNTIFS(tblRegistros[ID],E162,tblRegistros[Data],B162,tblRegistros[Início],"&lt;"&amp;I162)+COUNTIFS($E$5:E162,E162,$B$5:B162,B162,$I$5:I162,I162))</f>
        <v/>
      </c>
    </row>
    <row r="163" spans="2:20">
      <c r="B163" s="2" t="str">
        <f>IFERROR(INT(INDEX(tblBatidas[Data e hora],MATCH("B"&amp;MID($A163,2,99),tblBatidas[Batida ID],0))),"")</f>
        <v/>
      </c>
      <c r="C163" t="str">
        <f t="shared" si="8"/>
        <v/>
      </c>
      <c r="D163" t="str">
        <f t="shared" si="9"/>
        <v/>
      </c>
      <c r="E163" t="str">
        <f>IFERROR(INDEX(tblBatidas[ID],MATCH("B"&amp;MID($A163,2,99),tblBatidas[Batida ID],0)),"")</f>
        <v/>
      </c>
      <c r="F163" t="str">
        <f>IFERROR(INDEX(tblPessoas[Pessoa],MATCH(E163,tblPessoas[ID],0)),"")</f>
        <v/>
      </c>
      <c r="G163" t="str">
        <f>IFERROR(INDEX(tblBatidas[Projeto],MATCH("B"&amp;MID($A163,2,99),tblBatidas[Batida ID],0)),"")</f>
        <v/>
      </c>
      <c r="H163" t="str">
        <f>IFERROR(INDEX(tblBatidas[Atividade],MATCH("B"&amp;MID($A163,2,99),tblBatidas[Batida ID],0)),"")</f>
        <v/>
      </c>
      <c r="I163" s="4" t="str">
        <f>IFERROR(MOD(INDEX(tblBatidas[Data e hora],MATCH("B"&amp;MID($A163,2,99),tblBatidas[Batida ID],0)),1),"")</f>
        <v/>
      </c>
      <c r="J163" s="4" t="str">
        <f>IFERROR(MOD(INDEX(tblBatidas[Data e hora],MATCH("B"&amp;MID($A163,2,99),tblBatidas[Início vinculado],0)),1),"")</f>
        <v/>
      </c>
      <c r="K163" s="14" t="str">
        <f>IFERROR((INDEX(tblBatidas[Data e hora],MATCH("B"&amp;MID($A163,2,99),tblBatidas[Início vinculado],0))-INDEX(tblBatidas[Data e hora],MATCH("B"&amp;MID($A163,2,99),tblBatidas[Batida ID],0)))*24,"")</f>
        <v/>
      </c>
      <c r="L163" t="str">
        <f>IFERROR(INDEX(tblBatidas[Observação],MATCH("B"&amp;MID($A163,2,99),tblBatidas[Início vinculado],0)),"")</f>
        <v/>
      </c>
      <c r="M163" t="str">
        <f>IFERROR(INDEX(tblPessoas[Base],MATCH(E163,tblPessoas[ID],0)),"")</f>
        <v/>
      </c>
      <c r="N163" s="3">
        <f>IFERROR(IF(D163="DIA ÚTIL",INDEX(tblPessoas[R$/h útil],MATCH(E163,tblPessoas[ID],0)),INDEX(tblPessoas[R$/h FDS],MATCH(E163,tblPessoas[ID],0))),0)</f>
        <v>0</v>
      </c>
      <c r="O163" s="3">
        <f>IFERROR(INDEX(tblPessoas[R$/diária],MATCH(E163,tblPessoas[ID],0)),0)</f>
        <v>0</v>
      </c>
      <c r="P163" s="3" t="str">
        <f t="shared" si="10"/>
        <v/>
      </c>
      <c r="Q163" t="str">
        <f>IF(A163="","",IF(COUNTIF(tblBatidas[Início vinculado],"B"&amp;MID($A163,2,99))=0,"EM ABERTO",IF(OR(COUNTIF(tblBatidas[Início vinculado],"B"&amp;MID($A163,2,99))&gt;1,K163&lt;0,K163&gt;16,INT(INDEX(tblBatidas[Data e hora],MATCH("B"&amp;MID($A163,2,99),tblBatidas[Início vinculado],0)))&lt;&gt;B163,INDEX(tblBatidas[ID],MATCH("B"&amp;MID($A163,2,99),tblBatidas[Início vinculado],0))&lt;&gt;E163,INDEX(tblBatidas[Projeto],MATCH("B"&amp;MID($A163,2,99),tblBatidas[Início vinculado],0))&lt;&gt;G163,INDEX(tblBatidas[Atividade],MATCH("B"&amp;MID($A163,2,99),tblBatidas[Início vinculado],0))&lt;&gt;H163),"REVISAR","CONCLUÍDO")))</f>
        <v/>
      </c>
      <c r="R163">
        <f>IF(Q163&lt;&gt;"CONCLUÍDO",0,IF(COUNTIFS($E$5:E163,E163,$B$5:B163,B163,$Q$5:Q163,"CONCLUÍDO")=1,1,0))</f>
        <v>0</v>
      </c>
      <c r="S163" t="str">
        <f t="shared" si="11"/>
        <v/>
      </c>
      <c r="T163" t="str">
        <f>IF(E163="","",E163*100000+COUNTIFS(tblRegistros[ID],E163,tblRegistros[Data],"&lt;"&amp;B163)+COUNTIFS(tblRegistros[ID],E163,tblRegistros[Data],B163,tblRegistros[Início],"&lt;"&amp;I163)+COUNTIFS($E$5:E163,E163,$B$5:B163,B163,$I$5:I163,I163))</f>
        <v/>
      </c>
    </row>
    <row r="164" spans="2:20">
      <c r="B164" s="2" t="str">
        <f>IFERROR(INT(INDEX(tblBatidas[Data e hora],MATCH("B"&amp;MID($A164,2,99),tblBatidas[Batida ID],0))),"")</f>
        <v/>
      </c>
      <c r="C164" t="str">
        <f t="shared" si="8"/>
        <v/>
      </c>
      <c r="D164" t="str">
        <f t="shared" si="9"/>
        <v/>
      </c>
      <c r="E164" t="str">
        <f>IFERROR(INDEX(tblBatidas[ID],MATCH("B"&amp;MID($A164,2,99),tblBatidas[Batida ID],0)),"")</f>
        <v/>
      </c>
      <c r="F164" t="str">
        <f>IFERROR(INDEX(tblPessoas[Pessoa],MATCH(E164,tblPessoas[ID],0)),"")</f>
        <v/>
      </c>
      <c r="G164" t="str">
        <f>IFERROR(INDEX(tblBatidas[Projeto],MATCH("B"&amp;MID($A164,2,99),tblBatidas[Batida ID],0)),"")</f>
        <v/>
      </c>
      <c r="H164" t="str">
        <f>IFERROR(INDEX(tblBatidas[Atividade],MATCH("B"&amp;MID($A164,2,99),tblBatidas[Batida ID],0)),"")</f>
        <v/>
      </c>
      <c r="I164" s="4" t="str">
        <f>IFERROR(MOD(INDEX(tblBatidas[Data e hora],MATCH("B"&amp;MID($A164,2,99),tblBatidas[Batida ID],0)),1),"")</f>
        <v/>
      </c>
      <c r="J164" s="4" t="str">
        <f>IFERROR(MOD(INDEX(tblBatidas[Data e hora],MATCH("B"&amp;MID($A164,2,99),tblBatidas[Início vinculado],0)),1),"")</f>
        <v/>
      </c>
      <c r="K164" s="14" t="str">
        <f>IFERROR((INDEX(tblBatidas[Data e hora],MATCH("B"&amp;MID($A164,2,99),tblBatidas[Início vinculado],0))-INDEX(tblBatidas[Data e hora],MATCH("B"&amp;MID($A164,2,99),tblBatidas[Batida ID],0)))*24,"")</f>
        <v/>
      </c>
      <c r="L164" t="str">
        <f>IFERROR(INDEX(tblBatidas[Observação],MATCH("B"&amp;MID($A164,2,99),tblBatidas[Início vinculado],0)),"")</f>
        <v/>
      </c>
      <c r="M164" t="str">
        <f>IFERROR(INDEX(tblPessoas[Base],MATCH(E164,tblPessoas[ID],0)),"")</f>
        <v/>
      </c>
      <c r="N164" s="3">
        <f>IFERROR(IF(D164="DIA ÚTIL",INDEX(tblPessoas[R$/h útil],MATCH(E164,tblPessoas[ID],0)),INDEX(tblPessoas[R$/h FDS],MATCH(E164,tblPessoas[ID],0))),0)</f>
        <v>0</v>
      </c>
      <c r="O164" s="3">
        <f>IFERROR(INDEX(tblPessoas[R$/diária],MATCH(E164,tblPessoas[ID],0)),0)</f>
        <v>0</v>
      </c>
      <c r="P164" s="3" t="str">
        <f t="shared" si="10"/>
        <v/>
      </c>
      <c r="Q164" t="str">
        <f>IF(A164="","",IF(COUNTIF(tblBatidas[Início vinculado],"B"&amp;MID($A164,2,99))=0,"EM ABERTO",IF(OR(COUNTIF(tblBatidas[Início vinculado],"B"&amp;MID($A164,2,99))&gt;1,K164&lt;0,K164&gt;16,INT(INDEX(tblBatidas[Data e hora],MATCH("B"&amp;MID($A164,2,99),tblBatidas[Início vinculado],0)))&lt;&gt;B164,INDEX(tblBatidas[ID],MATCH("B"&amp;MID($A164,2,99),tblBatidas[Início vinculado],0))&lt;&gt;E164,INDEX(tblBatidas[Projeto],MATCH("B"&amp;MID($A164,2,99),tblBatidas[Início vinculado],0))&lt;&gt;G164,INDEX(tblBatidas[Atividade],MATCH("B"&amp;MID($A164,2,99),tblBatidas[Início vinculado],0))&lt;&gt;H164),"REVISAR","CONCLUÍDO")))</f>
        <v/>
      </c>
      <c r="R164">
        <f>IF(Q164&lt;&gt;"CONCLUÍDO",0,IF(COUNTIFS($E$5:E164,E164,$B$5:B164,B164,$Q$5:Q164,"CONCLUÍDO")=1,1,0))</f>
        <v>0</v>
      </c>
      <c r="S164" t="str">
        <f t="shared" si="11"/>
        <v/>
      </c>
      <c r="T164" t="str">
        <f>IF(E164="","",E164*100000+COUNTIFS(tblRegistros[ID],E164,tblRegistros[Data],"&lt;"&amp;B164)+COUNTIFS(tblRegistros[ID],E164,tblRegistros[Data],B164,tblRegistros[Início],"&lt;"&amp;I164)+COUNTIFS($E$5:E164,E164,$B$5:B164,B164,$I$5:I164,I164))</f>
        <v/>
      </c>
    </row>
    <row r="165" spans="2:20">
      <c r="B165" s="2" t="str">
        <f>IFERROR(INT(INDEX(tblBatidas[Data e hora],MATCH("B"&amp;MID($A165,2,99),tblBatidas[Batida ID],0))),"")</f>
        <v/>
      </c>
      <c r="C165" t="str">
        <f t="shared" si="8"/>
        <v/>
      </c>
      <c r="D165" t="str">
        <f t="shared" si="9"/>
        <v/>
      </c>
      <c r="E165" t="str">
        <f>IFERROR(INDEX(tblBatidas[ID],MATCH("B"&amp;MID($A165,2,99),tblBatidas[Batida ID],0)),"")</f>
        <v/>
      </c>
      <c r="F165" t="str">
        <f>IFERROR(INDEX(tblPessoas[Pessoa],MATCH(E165,tblPessoas[ID],0)),"")</f>
        <v/>
      </c>
      <c r="G165" t="str">
        <f>IFERROR(INDEX(tblBatidas[Projeto],MATCH("B"&amp;MID($A165,2,99),tblBatidas[Batida ID],0)),"")</f>
        <v/>
      </c>
      <c r="H165" t="str">
        <f>IFERROR(INDEX(tblBatidas[Atividade],MATCH("B"&amp;MID($A165,2,99),tblBatidas[Batida ID],0)),"")</f>
        <v/>
      </c>
      <c r="I165" s="4" t="str">
        <f>IFERROR(MOD(INDEX(tblBatidas[Data e hora],MATCH("B"&amp;MID($A165,2,99),tblBatidas[Batida ID],0)),1),"")</f>
        <v/>
      </c>
      <c r="J165" s="4" t="str">
        <f>IFERROR(MOD(INDEX(tblBatidas[Data e hora],MATCH("B"&amp;MID($A165,2,99),tblBatidas[Início vinculado],0)),1),"")</f>
        <v/>
      </c>
      <c r="K165" s="14" t="str">
        <f>IFERROR((INDEX(tblBatidas[Data e hora],MATCH("B"&amp;MID($A165,2,99),tblBatidas[Início vinculado],0))-INDEX(tblBatidas[Data e hora],MATCH("B"&amp;MID($A165,2,99),tblBatidas[Batida ID],0)))*24,"")</f>
        <v/>
      </c>
      <c r="L165" t="str">
        <f>IFERROR(INDEX(tblBatidas[Observação],MATCH("B"&amp;MID($A165,2,99),tblBatidas[Início vinculado],0)),"")</f>
        <v/>
      </c>
      <c r="M165" t="str">
        <f>IFERROR(INDEX(tblPessoas[Base],MATCH(E165,tblPessoas[ID],0)),"")</f>
        <v/>
      </c>
      <c r="N165" s="3">
        <f>IFERROR(IF(D165="DIA ÚTIL",INDEX(tblPessoas[R$/h útil],MATCH(E165,tblPessoas[ID],0)),INDEX(tblPessoas[R$/h FDS],MATCH(E165,tblPessoas[ID],0))),0)</f>
        <v>0</v>
      </c>
      <c r="O165" s="3">
        <f>IFERROR(INDEX(tblPessoas[R$/diária],MATCH(E165,tblPessoas[ID],0)),0)</f>
        <v>0</v>
      </c>
      <c r="P165" s="3" t="str">
        <f t="shared" si="10"/>
        <v/>
      </c>
      <c r="Q165" t="str">
        <f>IF(A165="","",IF(COUNTIF(tblBatidas[Início vinculado],"B"&amp;MID($A165,2,99))=0,"EM ABERTO",IF(OR(COUNTIF(tblBatidas[Início vinculado],"B"&amp;MID($A165,2,99))&gt;1,K165&lt;0,K165&gt;16,INT(INDEX(tblBatidas[Data e hora],MATCH("B"&amp;MID($A165,2,99),tblBatidas[Início vinculado],0)))&lt;&gt;B165,INDEX(tblBatidas[ID],MATCH("B"&amp;MID($A165,2,99),tblBatidas[Início vinculado],0))&lt;&gt;E165,INDEX(tblBatidas[Projeto],MATCH("B"&amp;MID($A165,2,99),tblBatidas[Início vinculado],0))&lt;&gt;G165,INDEX(tblBatidas[Atividade],MATCH("B"&amp;MID($A165,2,99),tblBatidas[Início vinculado],0))&lt;&gt;H165),"REVISAR","CONCLUÍDO")))</f>
        <v/>
      </c>
      <c r="R165">
        <f>IF(Q165&lt;&gt;"CONCLUÍDO",0,IF(COUNTIFS($E$5:E165,E165,$B$5:B165,B165,$Q$5:Q165,"CONCLUÍDO")=1,1,0))</f>
        <v>0</v>
      </c>
      <c r="S165" t="str">
        <f t="shared" si="11"/>
        <v/>
      </c>
      <c r="T165" t="str">
        <f>IF(E165="","",E165*100000+COUNTIFS(tblRegistros[ID],E165,tblRegistros[Data],"&lt;"&amp;B165)+COUNTIFS(tblRegistros[ID],E165,tblRegistros[Data],B165,tblRegistros[Início],"&lt;"&amp;I165)+COUNTIFS($E$5:E165,E165,$B$5:B165,B165,$I$5:I165,I165))</f>
        <v/>
      </c>
    </row>
    <row r="166" spans="2:20">
      <c r="B166" s="2" t="str">
        <f>IFERROR(INT(INDEX(tblBatidas[Data e hora],MATCH("B"&amp;MID($A166,2,99),tblBatidas[Batida ID],0))),"")</f>
        <v/>
      </c>
      <c r="C166" t="str">
        <f t="shared" si="8"/>
        <v/>
      </c>
      <c r="D166" t="str">
        <f t="shared" si="9"/>
        <v/>
      </c>
      <c r="E166" t="str">
        <f>IFERROR(INDEX(tblBatidas[ID],MATCH("B"&amp;MID($A166,2,99),tblBatidas[Batida ID],0)),"")</f>
        <v/>
      </c>
      <c r="F166" t="str">
        <f>IFERROR(INDEX(tblPessoas[Pessoa],MATCH(E166,tblPessoas[ID],0)),"")</f>
        <v/>
      </c>
      <c r="G166" t="str">
        <f>IFERROR(INDEX(tblBatidas[Projeto],MATCH("B"&amp;MID($A166,2,99),tblBatidas[Batida ID],0)),"")</f>
        <v/>
      </c>
      <c r="H166" t="str">
        <f>IFERROR(INDEX(tblBatidas[Atividade],MATCH("B"&amp;MID($A166,2,99),tblBatidas[Batida ID],0)),"")</f>
        <v/>
      </c>
      <c r="I166" s="4" t="str">
        <f>IFERROR(MOD(INDEX(tblBatidas[Data e hora],MATCH("B"&amp;MID($A166,2,99),tblBatidas[Batida ID],0)),1),"")</f>
        <v/>
      </c>
      <c r="J166" s="4" t="str">
        <f>IFERROR(MOD(INDEX(tblBatidas[Data e hora],MATCH("B"&amp;MID($A166,2,99),tblBatidas[Início vinculado],0)),1),"")</f>
        <v/>
      </c>
      <c r="K166" s="14" t="str">
        <f>IFERROR((INDEX(tblBatidas[Data e hora],MATCH("B"&amp;MID($A166,2,99),tblBatidas[Início vinculado],0))-INDEX(tblBatidas[Data e hora],MATCH("B"&amp;MID($A166,2,99),tblBatidas[Batida ID],0)))*24,"")</f>
        <v/>
      </c>
      <c r="L166" t="str">
        <f>IFERROR(INDEX(tblBatidas[Observação],MATCH("B"&amp;MID($A166,2,99),tblBatidas[Início vinculado],0)),"")</f>
        <v/>
      </c>
      <c r="M166" t="str">
        <f>IFERROR(INDEX(tblPessoas[Base],MATCH(E166,tblPessoas[ID],0)),"")</f>
        <v/>
      </c>
      <c r="N166" s="3">
        <f>IFERROR(IF(D166="DIA ÚTIL",INDEX(tblPessoas[R$/h útil],MATCH(E166,tblPessoas[ID],0)),INDEX(tblPessoas[R$/h FDS],MATCH(E166,tblPessoas[ID],0))),0)</f>
        <v>0</v>
      </c>
      <c r="O166" s="3">
        <f>IFERROR(INDEX(tblPessoas[R$/diária],MATCH(E166,tblPessoas[ID],0)),0)</f>
        <v>0</v>
      </c>
      <c r="P166" s="3" t="str">
        <f t="shared" si="10"/>
        <v/>
      </c>
      <c r="Q166" t="str">
        <f>IF(A166="","",IF(COUNTIF(tblBatidas[Início vinculado],"B"&amp;MID($A166,2,99))=0,"EM ABERTO",IF(OR(COUNTIF(tblBatidas[Início vinculado],"B"&amp;MID($A166,2,99))&gt;1,K166&lt;0,K166&gt;16,INT(INDEX(tblBatidas[Data e hora],MATCH("B"&amp;MID($A166,2,99),tblBatidas[Início vinculado],0)))&lt;&gt;B166,INDEX(tblBatidas[ID],MATCH("B"&amp;MID($A166,2,99),tblBatidas[Início vinculado],0))&lt;&gt;E166,INDEX(tblBatidas[Projeto],MATCH("B"&amp;MID($A166,2,99),tblBatidas[Início vinculado],0))&lt;&gt;G166,INDEX(tblBatidas[Atividade],MATCH("B"&amp;MID($A166,2,99),tblBatidas[Início vinculado],0))&lt;&gt;H166),"REVISAR","CONCLUÍDO")))</f>
        <v/>
      </c>
      <c r="R166">
        <f>IF(Q166&lt;&gt;"CONCLUÍDO",0,IF(COUNTIFS($E$5:E166,E166,$B$5:B166,B166,$Q$5:Q166,"CONCLUÍDO")=1,1,0))</f>
        <v>0</v>
      </c>
      <c r="S166" t="str">
        <f t="shared" si="11"/>
        <v/>
      </c>
      <c r="T166" t="str">
        <f>IF(E166="","",E166*100000+COUNTIFS(tblRegistros[ID],E166,tblRegistros[Data],"&lt;"&amp;B166)+COUNTIFS(tblRegistros[ID],E166,tblRegistros[Data],B166,tblRegistros[Início],"&lt;"&amp;I166)+COUNTIFS($E$5:E166,E166,$B$5:B166,B166,$I$5:I166,I166))</f>
        <v/>
      </c>
    </row>
    <row r="167" spans="2:20">
      <c r="B167" s="2" t="str">
        <f>IFERROR(INT(INDEX(tblBatidas[Data e hora],MATCH("B"&amp;MID($A167,2,99),tblBatidas[Batida ID],0))),"")</f>
        <v/>
      </c>
      <c r="C167" t="str">
        <f t="shared" si="8"/>
        <v/>
      </c>
      <c r="D167" t="str">
        <f t="shared" si="9"/>
        <v/>
      </c>
      <c r="E167" t="str">
        <f>IFERROR(INDEX(tblBatidas[ID],MATCH("B"&amp;MID($A167,2,99),tblBatidas[Batida ID],0)),"")</f>
        <v/>
      </c>
      <c r="F167" t="str">
        <f>IFERROR(INDEX(tblPessoas[Pessoa],MATCH(E167,tblPessoas[ID],0)),"")</f>
        <v/>
      </c>
      <c r="G167" t="str">
        <f>IFERROR(INDEX(tblBatidas[Projeto],MATCH("B"&amp;MID($A167,2,99),tblBatidas[Batida ID],0)),"")</f>
        <v/>
      </c>
      <c r="H167" t="str">
        <f>IFERROR(INDEX(tblBatidas[Atividade],MATCH("B"&amp;MID($A167,2,99),tblBatidas[Batida ID],0)),"")</f>
        <v/>
      </c>
      <c r="I167" s="4" t="str">
        <f>IFERROR(MOD(INDEX(tblBatidas[Data e hora],MATCH("B"&amp;MID($A167,2,99),tblBatidas[Batida ID],0)),1),"")</f>
        <v/>
      </c>
      <c r="J167" s="4" t="str">
        <f>IFERROR(MOD(INDEX(tblBatidas[Data e hora],MATCH("B"&amp;MID($A167,2,99),tblBatidas[Início vinculado],0)),1),"")</f>
        <v/>
      </c>
      <c r="K167" s="14" t="str">
        <f>IFERROR((INDEX(tblBatidas[Data e hora],MATCH("B"&amp;MID($A167,2,99),tblBatidas[Início vinculado],0))-INDEX(tblBatidas[Data e hora],MATCH("B"&amp;MID($A167,2,99),tblBatidas[Batida ID],0)))*24,"")</f>
        <v/>
      </c>
      <c r="L167" t="str">
        <f>IFERROR(INDEX(tblBatidas[Observação],MATCH("B"&amp;MID($A167,2,99),tblBatidas[Início vinculado],0)),"")</f>
        <v/>
      </c>
      <c r="M167" t="str">
        <f>IFERROR(INDEX(tblPessoas[Base],MATCH(E167,tblPessoas[ID],0)),"")</f>
        <v/>
      </c>
      <c r="N167" s="3">
        <f>IFERROR(IF(D167="DIA ÚTIL",INDEX(tblPessoas[R$/h útil],MATCH(E167,tblPessoas[ID],0)),INDEX(tblPessoas[R$/h FDS],MATCH(E167,tblPessoas[ID],0))),0)</f>
        <v>0</v>
      </c>
      <c r="O167" s="3">
        <f>IFERROR(INDEX(tblPessoas[R$/diária],MATCH(E167,tblPessoas[ID],0)),0)</f>
        <v>0</v>
      </c>
      <c r="P167" s="3" t="str">
        <f t="shared" si="10"/>
        <v/>
      </c>
      <c r="Q167" t="str">
        <f>IF(A167="","",IF(COUNTIF(tblBatidas[Início vinculado],"B"&amp;MID($A167,2,99))=0,"EM ABERTO",IF(OR(COUNTIF(tblBatidas[Início vinculado],"B"&amp;MID($A167,2,99))&gt;1,K167&lt;0,K167&gt;16,INT(INDEX(tblBatidas[Data e hora],MATCH("B"&amp;MID($A167,2,99),tblBatidas[Início vinculado],0)))&lt;&gt;B167,INDEX(tblBatidas[ID],MATCH("B"&amp;MID($A167,2,99),tblBatidas[Início vinculado],0))&lt;&gt;E167,INDEX(tblBatidas[Projeto],MATCH("B"&amp;MID($A167,2,99),tblBatidas[Início vinculado],0))&lt;&gt;G167,INDEX(tblBatidas[Atividade],MATCH("B"&amp;MID($A167,2,99),tblBatidas[Início vinculado],0))&lt;&gt;H167),"REVISAR","CONCLUÍDO")))</f>
        <v/>
      </c>
      <c r="R167">
        <f>IF(Q167&lt;&gt;"CONCLUÍDO",0,IF(COUNTIFS($E$5:E167,E167,$B$5:B167,B167,$Q$5:Q167,"CONCLUÍDO")=1,1,0))</f>
        <v>0</v>
      </c>
      <c r="S167" t="str">
        <f t="shared" si="11"/>
        <v/>
      </c>
      <c r="T167" t="str">
        <f>IF(E167="","",E167*100000+COUNTIFS(tblRegistros[ID],E167,tblRegistros[Data],"&lt;"&amp;B167)+COUNTIFS(tblRegistros[ID],E167,tblRegistros[Data],B167,tblRegistros[Início],"&lt;"&amp;I167)+COUNTIFS($E$5:E167,E167,$B$5:B167,B167,$I$5:I167,I167))</f>
        <v/>
      </c>
    </row>
    <row r="168" spans="2:20">
      <c r="B168" s="2" t="str">
        <f>IFERROR(INT(INDEX(tblBatidas[Data e hora],MATCH("B"&amp;MID($A168,2,99),tblBatidas[Batida ID],0))),"")</f>
        <v/>
      </c>
      <c r="C168" t="str">
        <f t="shared" si="8"/>
        <v/>
      </c>
      <c r="D168" t="str">
        <f t="shared" si="9"/>
        <v/>
      </c>
      <c r="E168" t="str">
        <f>IFERROR(INDEX(tblBatidas[ID],MATCH("B"&amp;MID($A168,2,99),tblBatidas[Batida ID],0)),"")</f>
        <v/>
      </c>
      <c r="F168" t="str">
        <f>IFERROR(INDEX(tblPessoas[Pessoa],MATCH(E168,tblPessoas[ID],0)),"")</f>
        <v/>
      </c>
      <c r="G168" t="str">
        <f>IFERROR(INDEX(tblBatidas[Projeto],MATCH("B"&amp;MID($A168,2,99),tblBatidas[Batida ID],0)),"")</f>
        <v/>
      </c>
      <c r="H168" t="str">
        <f>IFERROR(INDEX(tblBatidas[Atividade],MATCH("B"&amp;MID($A168,2,99),tblBatidas[Batida ID],0)),"")</f>
        <v/>
      </c>
      <c r="I168" s="4" t="str">
        <f>IFERROR(MOD(INDEX(tblBatidas[Data e hora],MATCH("B"&amp;MID($A168,2,99),tblBatidas[Batida ID],0)),1),"")</f>
        <v/>
      </c>
      <c r="J168" s="4" t="str">
        <f>IFERROR(MOD(INDEX(tblBatidas[Data e hora],MATCH("B"&amp;MID($A168,2,99),tblBatidas[Início vinculado],0)),1),"")</f>
        <v/>
      </c>
      <c r="K168" s="14" t="str">
        <f>IFERROR((INDEX(tblBatidas[Data e hora],MATCH("B"&amp;MID($A168,2,99),tblBatidas[Início vinculado],0))-INDEX(tblBatidas[Data e hora],MATCH("B"&amp;MID($A168,2,99),tblBatidas[Batida ID],0)))*24,"")</f>
        <v/>
      </c>
      <c r="L168" t="str">
        <f>IFERROR(INDEX(tblBatidas[Observação],MATCH("B"&amp;MID($A168,2,99),tblBatidas[Início vinculado],0)),"")</f>
        <v/>
      </c>
      <c r="M168" t="str">
        <f>IFERROR(INDEX(tblPessoas[Base],MATCH(E168,tblPessoas[ID],0)),"")</f>
        <v/>
      </c>
      <c r="N168" s="3">
        <f>IFERROR(IF(D168="DIA ÚTIL",INDEX(tblPessoas[R$/h útil],MATCH(E168,tblPessoas[ID],0)),INDEX(tblPessoas[R$/h FDS],MATCH(E168,tblPessoas[ID],0))),0)</f>
        <v>0</v>
      </c>
      <c r="O168" s="3">
        <f>IFERROR(INDEX(tblPessoas[R$/diária],MATCH(E168,tblPessoas[ID],0)),0)</f>
        <v>0</v>
      </c>
      <c r="P168" s="3" t="str">
        <f t="shared" si="10"/>
        <v/>
      </c>
      <c r="Q168" t="str">
        <f>IF(A168="","",IF(COUNTIF(tblBatidas[Início vinculado],"B"&amp;MID($A168,2,99))=0,"EM ABERTO",IF(OR(COUNTIF(tblBatidas[Início vinculado],"B"&amp;MID($A168,2,99))&gt;1,K168&lt;0,K168&gt;16,INT(INDEX(tblBatidas[Data e hora],MATCH("B"&amp;MID($A168,2,99),tblBatidas[Início vinculado],0)))&lt;&gt;B168,INDEX(tblBatidas[ID],MATCH("B"&amp;MID($A168,2,99),tblBatidas[Início vinculado],0))&lt;&gt;E168,INDEX(tblBatidas[Projeto],MATCH("B"&amp;MID($A168,2,99),tblBatidas[Início vinculado],0))&lt;&gt;G168,INDEX(tblBatidas[Atividade],MATCH("B"&amp;MID($A168,2,99),tblBatidas[Início vinculado],0))&lt;&gt;H168),"REVISAR","CONCLUÍDO")))</f>
        <v/>
      </c>
      <c r="R168">
        <f>IF(Q168&lt;&gt;"CONCLUÍDO",0,IF(COUNTIFS($E$5:E168,E168,$B$5:B168,B168,$Q$5:Q168,"CONCLUÍDO")=1,1,0))</f>
        <v>0</v>
      </c>
      <c r="S168" t="str">
        <f t="shared" si="11"/>
        <v/>
      </c>
      <c r="T168" t="str">
        <f>IF(E168="","",E168*100000+COUNTIFS(tblRegistros[ID],E168,tblRegistros[Data],"&lt;"&amp;B168)+COUNTIFS(tblRegistros[ID],E168,tblRegistros[Data],B168,tblRegistros[Início],"&lt;"&amp;I168)+COUNTIFS($E$5:E168,E168,$B$5:B168,B168,$I$5:I168,I168))</f>
        <v/>
      </c>
    </row>
    <row r="169" spans="2:20">
      <c r="B169" s="2" t="str">
        <f>IFERROR(INT(INDEX(tblBatidas[Data e hora],MATCH("B"&amp;MID($A169,2,99),tblBatidas[Batida ID],0))),"")</f>
        <v/>
      </c>
      <c r="C169" t="str">
        <f t="shared" si="8"/>
        <v/>
      </c>
      <c r="D169" t="str">
        <f t="shared" si="9"/>
        <v/>
      </c>
      <c r="E169" t="str">
        <f>IFERROR(INDEX(tblBatidas[ID],MATCH("B"&amp;MID($A169,2,99),tblBatidas[Batida ID],0)),"")</f>
        <v/>
      </c>
      <c r="F169" t="str">
        <f>IFERROR(INDEX(tblPessoas[Pessoa],MATCH(E169,tblPessoas[ID],0)),"")</f>
        <v/>
      </c>
      <c r="G169" t="str">
        <f>IFERROR(INDEX(tblBatidas[Projeto],MATCH("B"&amp;MID($A169,2,99),tblBatidas[Batida ID],0)),"")</f>
        <v/>
      </c>
      <c r="H169" t="str">
        <f>IFERROR(INDEX(tblBatidas[Atividade],MATCH("B"&amp;MID($A169,2,99),tblBatidas[Batida ID],0)),"")</f>
        <v/>
      </c>
      <c r="I169" s="4" t="str">
        <f>IFERROR(MOD(INDEX(tblBatidas[Data e hora],MATCH("B"&amp;MID($A169,2,99),tblBatidas[Batida ID],0)),1),"")</f>
        <v/>
      </c>
      <c r="J169" s="4" t="str">
        <f>IFERROR(MOD(INDEX(tblBatidas[Data e hora],MATCH("B"&amp;MID($A169,2,99),tblBatidas[Início vinculado],0)),1),"")</f>
        <v/>
      </c>
      <c r="K169" s="14" t="str">
        <f>IFERROR((INDEX(tblBatidas[Data e hora],MATCH("B"&amp;MID($A169,2,99),tblBatidas[Início vinculado],0))-INDEX(tblBatidas[Data e hora],MATCH("B"&amp;MID($A169,2,99),tblBatidas[Batida ID],0)))*24,"")</f>
        <v/>
      </c>
      <c r="L169" t="str">
        <f>IFERROR(INDEX(tblBatidas[Observação],MATCH("B"&amp;MID($A169,2,99),tblBatidas[Início vinculado],0)),"")</f>
        <v/>
      </c>
      <c r="M169" t="str">
        <f>IFERROR(INDEX(tblPessoas[Base],MATCH(E169,tblPessoas[ID],0)),"")</f>
        <v/>
      </c>
      <c r="N169" s="3">
        <f>IFERROR(IF(D169="DIA ÚTIL",INDEX(tblPessoas[R$/h útil],MATCH(E169,tblPessoas[ID],0)),INDEX(tblPessoas[R$/h FDS],MATCH(E169,tblPessoas[ID],0))),0)</f>
        <v>0</v>
      </c>
      <c r="O169" s="3">
        <f>IFERROR(INDEX(tblPessoas[R$/diária],MATCH(E169,tblPessoas[ID],0)),0)</f>
        <v>0</v>
      </c>
      <c r="P169" s="3" t="str">
        <f t="shared" si="10"/>
        <v/>
      </c>
      <c r="Q169" t="str">
        <f>IF(A169="","",IF(COUNTIF(tblBatidas[Início vinculado],"B"&amp;MID($A169,2,99))=0,"EM ABERTO",IF(OR(COUNTIF(tblBatidas[Início vinculado],"B"&amp;MID($A169,2,99))&gt;1,K169&lt;0,K169&gt;16,INT(INDEX(tblBatidas[Data e hora],MATCH("B"&amp;MID($A169,2,99),tblBatidas[Início vinculado],0)))&lt;&gt;B169,INDEX(tblBatidas[ID],MATCH("B"&amp;MID($A169,2,99),tblBatidas[Início vinculado],0))&lt;&gt;E169,INDEX(tblBatidas[Projeto],MATCH("B"&amp;MID($A169,2,99),tblBatidas[Início vinculado],0))&lt;&gt;G169,INDEX(tblBatidas[Atividade],MATCH("B"&amp;MID($A169,2,99),tblBatidas[Início vinculado],0))&lt;&gt;H169),"REVISAR","CONCLUÍDO")))</f>
        <v/>
      </c>
      <c r="R169">
        <f>IF(Q169&lt;&gt;"CONCLUÍDO",0,IF(COUNTIFS($E$5:E169,E169,$B$5:B169,B169,$Q$5:Q169,"CONCLUÍDO")=1,1,0))</f>
        <v>0</v>
      </c>
      <c r="S169" t="str">
        <f t="shared" si="11"/>
        <v/>
      </c>
      <c r="T169" t="str">
        <f>IF(E169="","",E169*100000+COUNTIFS(tblRegistros[ID],E169,tblRegistros[Data],"&lt;"&amp;B169)+COUNTIFS(tblRegistros[ID],E169,tblRegistros[Data],B169,tblRegistros[Início],"&lt;"&amp;I169)+COUNTIFS($E$5:E169,E169,$B$5:B169,B169,$I$5:I169,I169))</f>
        <v/>
      </c>
    </row>
    <row r="170" spans="2:20">
      <c r="B170" s="2" t="str">
        <f>IFERROR(INT(INDEX(tblBatidas[Data e hora],MATCH("B"&amp;MID($A170,2,99),tblBatidas[Batida ID],0))),"")</f>
        <v/>
      </c>
      <c r="C170" t="str">
        <f t="shared" si="8"/>
        <v/>
      </c>
      <c r="D170" t="str">
        <f t="shared" si="9"/>
        <v/>
      </c>
      <c r="E170" t="str">
        <f>IFERROR(INDEX(tblBatidas[ID],MATCH("B"&amp;MID($A170,2,99),tblBatidas[Batida ID],0)),"")</f>
        <v/>
      </c>
      <c r="F170" t="str">
        <f>IFERROR(INDEX(tblPessoas[Pessoa],MATCH(E170,tblPessoas[ID],0)),"")</f>
        <v/>
      </c>
      <c r="G170" t="str">
        <f>IFERROR(INDEX(tblBatidas[Projeto],MATCH("B"&amp;MID($A170,2,99),tblBatidas[Batida ID],0)),"")</f>
        <v/>
      </c>
      <c r="H170" t="str">
        <f>IFERROR(INDEX(tblBatidas[Atividade],MATCH("B"&amp;MID($A170,2,99),tblBatidas[Batida ID],0)),"")</f>
        <v/>
      </c>
      <c r="I170" s="4" t="str">
        <f>IFERROR(MOD(INDEX(tblBatidas[Data e hora],MATCH("B"&amp;MID($A170,2,99),tblBatidas[Batida ID],0)),1),"")</f>
        <v/>
      </c>
      <c r="J170" s="4" t="str">
        <f>IFERROR(MOD(INDEX(tblBatidas[Data e hora],MATCH("B"&amp;MID($A170,2,99),tblBatidas[Início vinculado],0)),1),"")</f>
        <v/>
      </c>
      <c r="K170" s="14" t="str">
        <f>IFERROR((INDEX(tblBatidas[Data e hora],MATCH("B"&amp;MID($A170,2,99),tblBatidas[Início vinculado],0))-INDEX(tblBatidas[Data e hora],MATCH("B"&amp;MID($A170,2,99),tblBatidas[Batida ID],0)))*24,"")</f>
        <v/>
      </c>
      <c r="L170" t="str">
        <f>IFERROR(INDEX(tblBatidas[Observação],MATCH("B"&amp;MID($A170,2,99),tblBatidas[Início vinculado],0)),"")</f>
        <v/>
      </c>
      <c r="M170" t="str">
        <f>IFERROR(INDEX(tblPessoas[Base],MATCH(E170,tblPessoas[ID],0)),"")</f>
        <v/>
      </c>
      <c r="N170" s="3">
        <f>IFERROR(IF(D170="DIA ÚTIL",INDEX(tblPessoas[R$/h útil],MATCH(E170,tblPessoas[ID],0)),INDEX(tblPessoas[R$/h FDS],MATCH(E170,tblPessoas[ID],0))),0)</f>
        <v>0</v>
      </c>
      <c r="O170" s="3">
        <f>IFERROR(INDEX(tblPessoas[R$/diária],MATCH(E170,tblPessoas[ID],0)),0)</f>
        <v>0</v>
      </c>
      <c r="P170" s="3" t="str">
        <f t="shared" si="10"/>
        <v/>
      </c>
      <c r="Q170" t="str">
        <f>IF(A170="","",IF(COUNTIF(tblBatidas[Início vinculado],"B"&amp;MID($A170,2,99))=0,"EM ABERTO",IF(OR(COUNTIF(tblBatidas[Início vinculado],"B"&amp;MID($A170,2,99))&gt;1,K170&lt;0,K170&gt;16,INT(INDEX(tblBatidas[Data e hora],MATCH("B"&amp;MID($A170,2,99),tblBatidas[Início vinculado],0)))&lt;&gt;B170,INDEX(tblBatidas[ID],MATCH("B"&amp;MID($A170,2,99),tblBatidas[Início vinculado],0))&lt;&gt;E170,INDEX(tblBatidas[Projeto],MATCH("B"&amp;MID($A170,2,99),tblBatidas[Início vinculado],0))&lt;&gt;G170,INDEX(tblBatidas[Atividade],MATCH("B"&amp;MID($A170,2,99),tblBatidas[Início vinculado],0))&lt;&gt;H170),"REVISAR","CONCLUÍDO")))</f>
        <v/>
      </c>
      <c r="R170">
        <f>IF(Q170&lt;&gt;"CONCLUÍDO",0,IF(COUNTIFS($E$5:E170,E170,$B$5:B170,B170,$Q$5:Q170,"CONCLUÍDO")=1,1,0))</f>
        <v>0</v>
      </c>
      <c r="S170" t="str">
        <f t="shared" si="11"/>
        <v/>
      </c>
      <c r="T170" t="str">
        <f>IF(E170="","",E170*100000+COUNTIFS(tblRegistros[ID],E170,tblRegistros[Data],"&lt;"&amp;B170)+COUNTIFS(tblRegistros[ID],E170,tblRegistros[Data],B170,tblRegistros[Início],"&lt;"&amp;I170)+COUNTIFS($E$5:E170,E170,$B$5:B170,B170,$I$5:I170,I170))</f>
        <v/>
      </c>
    </row>
    <row r="171" spans="2:20">
      <c r="B171" s="2" t="str">
        <f>IFERROR(INT(INDEX(tblBatidas[Data e hora],MATCH("B"&amp;MID($A171,2,99),tblBatidas[Batida ID],0))),"")</f>
        <v/>
      </c>
      <c r="C171" t="str">
        <f t="shared" si="8"/>
        <v/>
      </c>
      <c r="D171" t="str">
        <f t="shared" si="9"/>
        <v/>
      </c>
      <c r="E171" t="str">
        <f>IFERROR(INDEX(tblBatidas[ID],MATCH("B"&amp;MID($A171,2,99),tblBatidas[Batida ID],0)),"")</f>
        <v/>
      </c>
      <c r="F171" t="str">
        <f>IFERROR(INDEX(tblPessoas[Pessoa],MATCH(E171,tblPessoas[ID],0)),"")</f>
        <v/>
      </c>
      <c r="G171" t="str">
        <f>IFERROR(INDEX(tblBatidas[Projeto],MATCH("B"&amp;MID($A171,2,99),tblBatidas[Batida ID],0)),"")</f>
        <v/>
      </c>
      <c r="H171" t="str">
        <f>IFERROR(INDEX(tblBatidas[Atividade],MATCH("B"&amp;MID($A171,2,99),tblBatidas[Batida ID],0)),"")</f>
        <v/>
      </c>
      <c r="I171" s="4" t="str">
        <f>IFERROR(MOD(INDEX(tblBatidas[Data e hora],MATCH("B"&amp;MID($A171,2,99),tblBatidas[Batida ID],0)),1),"")</f>
        <v/>
      </c>
      <c r="J171" s="4" t="str">
        <f>IFERROR(MOD(INDEX(tblBatidas[Data e hora],MATCH("B"&amp;MID($A171,2,99),tblBatidas[Início vinculado],0)),1),"")</f>
        <v/>
      </c>
      <c r="K171" s="14" t="str">
        <f>IFERROR((INDEX(tblBatidas[Data e hora],MATCH("B"&amp;MID($A171,2,99),tblBatidas[Início vinculado],0))-INDEX(tblBatidas[Data e hora],MATCH("B"&amp;MID($A171,2,99),tblBatidas[Batida ID],0)))*24,"")</f>
        <v/>
      </c>
      <c r="L171" t="str">
        <f>IFERROR(INDEX(tblBatidas[Observação],MATCH("B"&amp;MID($A171,2,99),tblBatidas[Início vinculado],0)),"")</f>
        <v/>
      </c>
      <c r="M171" t="str">
        <f>IFERROR(INDEX(tblPessoas[Base],MATCH(E171,tblPessoas[ID],0)),"")</f>
        <v/>
      </c>
      <c r="N171" s="3">
        <f>IFERROR(IF(D171="DIA ÚTIL",INDEX(tblPessoas[R$/h útil],MATCH(E171,tblPessoas[ID],0)),INDEX(tblPessoas[R$/h FDS],MATCH(E171,tblPessoas[ID],0))),0)</f>
        <v>0</v>
      </c>
      <c r="O171" s="3">
        <f>IFERROR(INDEX(tblPessoas[R$/diária],MATCH(E171,tblPessoas[ID],0)),0)</f>
        <v>0</v>
      </c>
      <c r="P171" s="3" t="str">
        <f t="shared" si="10"/>
        <v/>
      </c>
      <c r="Q171" t="str">
        <f>IF(A171="","",IF(COUNTIF(tblBatidas[Início vinculado],"B"&amp;MID($A171,2,99))=0,"EM ABERTO",IF(OR(COUNTIF(tblBatidas[Início vinculado],"B"&amp;MID($A171,2,99))&gt;1,K171&lt;0,K171&gt;16,INT(INDEX(tblBatidas[Data e hora],MATCH("B"&amp;MID($A171,2,99),tblBatidas[Início vinculado],0)))&lt;&gt;B171,INDEX(tblBatidas[ID],MATCH("B"&amp;MID($A171,2,99),tblBatidas[Início vinculado],0))&lt;&gt;E171,INDEX(tblBatidas[Projeto],MATCH("B"&amp;MID($A171,2,99),tblBatidas[Início vinculado],0))&lt;&gt;G171,INDEX(tblBatidas[Atividade],MATCH("B"&amp;MID($A171,2,99),tblBatidas[Início vinculado],0))&lt;&gt;H171),"REVISAR","CONCLUÍDO")))</f>
        <v/>
      </c>
      <c r="R171">
        <f>IF(Q171&lt;&gt;"CONCLUÍDO",0,IF(COUNTIFS($E$5:E171,E171,$B$5:B171,B171,$Q$5:Q171,"CONCLUÍDO")=1,1,0))</f>
        <v>0</v>
      </c>
      <c r="S171" t="str">
        <f t="shared" si="11"/>
        <v/>
      </c>
      <c r="T171" t="str">
        <f>IF(E171="","",E171*100000+COUNTIFS(tblRegistros[ID],E171,tblRegistros[Data],"&lt;"&amp;B171)+COUNTIFS(tblRegistros[ID],E171,tblRegistros[Data],B171,tblRegistros[Início],"&lt;"&amp;I171)+COUNTIFS($E$5:E171,E171,$B$5:B171,B171,$I$5:I171,I171))</f>
        <v/>
      </c>
    </row>
    <row r="172" spans="2:20">
      <c r="B172" s="2" t="str">
        <f>IFERROR(INT(INDEX(tblBatidas[Data e hora],MATCH("B"&amp;MID($A172,2,99),tblBatidas[Batida ID],0))),"")</f>
        <v/>
      </c>
      <c r="C172" t="str">
        <f t="shared" si="8"/>
        <v/>
      </c>
      <c r="D172" t="str">
        <f t="shared" si="9"/>
        <v/>
      </c>
      <c r="E172" t="str">
        <f>IFERROR(INDEX(tblBatidas[ID],MATCH("B"&amp;MID($A172,2,99),tblBatidas[Batida ID],0)),"")</f>
        <v/>
      </c>
      <c r="F172" t="str">
        <f>IFERROR(INDEX(tblPessoas[Pessoa],MATCH(E172,tblPessoas[ID],0)),"")</f>
        <v/>
      </c>
      <c r="G172" t="str">
        <f>IFERROR(INDEX(tblBatidas[Projeto],MATCH("B"&amp;MID($A172,2,99),tblBatidas[Batida ID],0)),"")</f>
        <v/>
      </c>
      <c r="H172" t="str">
        <f>IFERROR(INDEX(tblBatidas[Atividade],MATCH("B"&amp;MID($A172,2,99),tblBatidas[Batida ID],0)),"")</f>
        <v/>
      </c>
      <c r="I172" s="4" t="str">
        <f>IFERROR(MOD(INDEX(tblBatidas[Data e hora],MATCH("B"&amp;MID($A172,2,99),tblBatidas[Batida ID],0)),1),"")</f>
        <v/>
      </c>
      <c r="J172" s="4" t="str">
        <f>IFERROR(MOD(INDEX(tblBatidas[Data e hora],MATCH("B"&amp;MID($A172,2,99),tblBatidas[Início vinculado],0)),1),"")</f>
        <v/>
      </c>
      <c r="K172" s="14" t="str">
        <f>IFERROR((INDEX(tblBatidas[Data e hora],MATCH("B"&amp;MID($A172,2,99),tblBatidas[Início vinculado],0))-INDEX(tblBatidas[Data e hora],MATCH("B"&amp;MID($A172,2,99),tblBatidas[Batida ID],0)))*24,"")</f>
        <v/>
      </c>
      <c r="L172" t="str">
        <f>IFERROR(INDEX(tblBatidas[Observação],MATCH("B"&amp;MID($A172,2,99),tblBatidas[Início vinculado],0)),"")</f>
        <v/>
      </c>
      <c r="M172" t="str">
        <f>IFERROR(INDEX(tblPessoas[Base],MATCH(E172,tblPessoas[ID],0)),"")</f>
        <v/>
      </c>
      <c r="N172" s="3">
        <f>IFERROR(IF(D172="DIA ÚTIL",INDEX(tblPessoas[R$/h útil],MATCH(E172,tblPessoas[ID],0)),INDEX(tblPessoas[R$/h FDS],MATCH(E172,tblPessoas[ID],0))),0)</f>
        <v>0</v>
      </c>
      <c r="O172" s="3">
        <f>IFERROR(INDEX(tblPessoas[R$/diária],MATCH(E172,tblPessoas[ID],0)),0)</f>
        <v>0</v>
      </c>
      <c r="P172" s="3" t="str">
        <f t="shared" si="10"/>
        <v/>
      </c>
      <c r="Q172" t="str">
        <f>IF(A172="","",IF(COUNTIF(tblBatidas[Início vinculado],"B"&amp;MID($A172,2,99))=0,"EM ABERTO",IF(OR(COUNTIF(tblBatidas[Início vinculado],"B"&amp;MID($A172,2,99))&gt;1,K172&lt;0,K172&gt;16,INT(INDEX(tblBatidas[Data e hora],MATCH("B"&amp;MID($A172,2,99),tblBatidas[Início vinculado],0)))&lt;&gt;B172,INDEX(tblBatidas[ID],MATCH("B"&amp;MID($A172,2,99),tblBatidas[Início vinculado],0))&lt;&gt;E172,INDEX(tblBatidas[Projeto],MATCH("B"&amp;MID($A172,2,99),tblBatidas[Início vinculado],0))&lt;&gt;G172,INDEX(tblBatidas[Atividade],MATCH("B"&amp;MID($A172,2,99),tblBatidas[Início vinculado],0))&lt;&gt;H172),"REVISAR","CONCLUÍDO")))</f>
        <v/>
      </c>
      <c r="R172">
        <f>IF(Q172&lt;&gt;"CONCLUÍDO",0,IF(COUNTIFS($E$5:E172,E172,$B$5:B172,B172,$Q$5:Q172,"CONCLUÍDO")=1,1,0))</f>
        <v>0</v>
      </c>
      <c r="S172" t="str">
        <f t="shared" si="11"/>
        <v/>
      </c>
      <c r="T172" t="str">
        <f>IF(E172="","",E172*100000+COUNTIFS(tblRegistros[ID],E172,tblRegistros[Data],"&lt;"&amp;B172)+COUNTIFS(tblRegistros[ID],E172,tblRegistros[Data],B172,tblRegistros[Início],"&lt;"&amp;I172)+COUNTIFS($E$5:E172,E172,$B$5:B172,B172,$I$5:I172,I172))</f>
        <v/>
      </c>
    </row>
    <row r="173" spans="2:20">
      <c r="B173" s="2" t="str">
        <f>IFERROR(INT(INDEX(tblBatidas[Data e hora],MATCH("B"&amp;MID($A173,2,99),tblBatidas[Batida ID],0))),"")</f>
        <v/>
      </c>
      <c r="C173" t="str">
        <f t="shared" si="8"/>
        <v/>
      </c>
      <c r="D173" t="str">
        <f t="shared" si="9"/>
        <v/>
      </c>
      <c r="E173" t="str">
        <f>IFERROR(INDEX(tblBatidas[ID],MATCH("B"&amp;MID($A173,2,99),tblBatidas[Batida ID],0)),"")</f>
        <v/>
      </c>
      <c r="F173" t="str">
        <f>IFERROR(INDEX(tblPessoas[Pessoa],MATCH(E173,tblPessoas[ID],0)),"")</f>
        <v/>
      </c>
      <c r="G173" t="str">
        <f>IFERROR(INDEX(tblBatidas[Projeto],MATCH("B"&amp;MID($A173,2,99),tblBatidas[Batida ID],0)),"")</f>
        <v/>
      </c>
      <c r="H173" t="str">
        <f>IFERROR(INDEX(tblBatidas[Atividade],MATCH("B"&amp;MID($A173,2,99),tblBatidas[Batida ID],0)),"")</f>
        <v/>
      </c>
      <c r="I173" s="4" t="str">
        <f>IFERROR(MOD(INDEX(tblBatidas[Data e hora],MATCH("B"&amp;MID($A173,2,99),tblBatidas[Batida ID],0)),1),"")</f>
        <v/>
      </c>
      <c r="J173" s="4" t="str">
        <f>IFERROR(MOD(INDEX(tblBatidas[Data e hora],MATCH("B"&amp;MID($A173,2,99),tblBatidas[Início vinculado],0)),1),"")</f>
        <v/>
      </c>
      <c r="K173" s="14" t="str">
        <f>IFERROR((INDEX(tblBatidas[Data e hora],MATCH("B"&amp;MID($A173,2,99),tblBatidas[Início vinculado],0))-INDEX(tblBatidas[Data e hora],MATCH("B"&amp;MID($A173,2,99),tblBatidas[Batida ID],0)))*24,"")</f>
        <v/>
      </c>
      <c r="L173" t="str">
        <f>IFERROR(INDEX(tblBatidas[Observação],MATCH("B"&amp;MID($A173,2,99),tblBatidas[Início vinculado],0)),"")</f>
        <v/>
      </c>
      <c r="M173" t="str">
        <f>IFERROR(INDEX(tblPessoas[Base],MATCH(E173,tblPessoas[ID],0)),"")</f>
        <v/>
      </c>
      <c r="N173" s="3">
        <f>IFERROR(IF(D173="DIA ÚTIL",INDEX(tblPessoas[R$/h útil],MATCH(E173,tblPessoas[ID],0)),INDEX(tblPessoas[R$/h FDS],MATCH(E173,tblPessoas[ID],0))),0)</f>
        <v>0</v>
      </c>
      <c r="O173" s="3">
        <f>IFERROR(INDEX(tblPessoas[R$/diária],MATCH(E173,tblPessoas[ID],0)),0)</f>
        <v>0</v>
      </c>
      <c r="P173" s="3" t="str">
        <f t="shared" si="10"/>
        <v/>
      </c>
      <c r="Q173" t="str">
        <f>IF(A173="","",IF(COUNTIF(tblBatidas[Início vinculado],"B"&amp;MID($A173,2,99))=0,"EM ABERTO",IF(OR(COUNTIF(tblBatidas[Início vinculado],"B"&amp;MID($A173,2,99))&gt;1,K173&lt;0,K173&gt;16,INT(INDEX(tblBatidas[Data e hora],MATCH("B"&amp;MID($A173,2,99),tblBatidas[Início vinculado],0)))&lt;&gt;B173,INDEX(tblBatidas[ID],MATCH("B"&amp;MID($A173,2,99),tblBatidas[Início vinculado],0))&lt;&gt;E173,INDEX(tblBatidas[Projeto],MATCH("B"&amp;MID($A173,2,99),tblBatidas[Início vinculado],0))&lt;&gt;G173,INDEX(tblBatidas[Atividade],MATCH("B"&amp;MID($A173,2,99),tblBatidas[Início vinculado],0))&lt;&gt;H173),"REVISAR","CONCLUÍDO")))</f>
        <v/>
      </c>
      <c r="R173">
        <f>IF(Q173&lt;&gt;"CONCLUÍDO",0,IF(COUNTIFS($E$5:E173,E173,$B$5:B173,B173,$Q$5:Q173,"CONCLUÍDO")=1,1,0))</f>
        <v>0</v>
      </c>
      <c r="S173" t="str">
        <f t="shared" si="11"/>
        <v/>
      </c>
      <c r="T173" t="str">
        <f>IF(E173="","",E173*100000+COUNTIFS(tblRegistros[ID],E173,tblRegistros[Data],"&lt;"&amp;B173)+COUNTIFS(tblRegistros[ID],E173,tblRegistros[Data],B173,tblRegistros[Início],"&lt;"&amp;I173)+COUNTIFS($E$5:E173,E173,$B$5:B173,B173,$I$5:I173,I173))</f>
        <v/>
      </c>
    </row>
    <row r="174" spans="2:20">
      <c r="B174" s="2" t="str">
        <f>IFERROR(INT(INDEX(tblBatidas[Data e hora],MATCH("B"&amp;MID($A174,2,99),tblBatidas[Batida ID],0))),"")</f>
        <v/>
      </c>
      <c r="C174" t="str">
        <f t="shared" si="8"/>
        <v/>
      </c>
      <c r="D174" t="str">
        <f t="shared" si="9"/>
        <v/>
      </c>
      <c r="E174" t="str">
        <f>IFERROR(INDEX(tblBatidas[ID],MATCH("B"&amp;MID($A174,2,99),tblBatidas[Batida ID],0)),"")</f>
        <v/>
      </c>
      <c r="F174" t="str">
        <f>IFERROR(INDEX(tblPessoas[Pessoa],MATCH(E174,tblPessoas[ID],0)),"")</f>
        <v/>
      </c>
      <c r="G174" t="str">
        <f>IFERROR(INDEX(tblBatidas[Projeto],MATCH("B"&amp;MID($A174,2,99),tblBatidas[Batida ID],0)),"")</f>
        <v/>
      </c>
      <c r="H174" t="str">
        <f>IFERROR(INDEX(tblBatidas[Atividade],MATCH("B"&amp;MID($A174,2,99),tblBatidas[Batida ID],0)),"")</f>
        <v/>
      </c>
      <c r="I174" s="4" t="str">
        <f>IFERROR(MOD(INDEX(tblBatidas[Data e hora],MATCH("B"&amp;MID($A174,2,99),tblBatidas[Batida ID],0)),1),"")</f>
        <v/>
      </c>
      <c r="J174" s="4" t="str">
        <f>IFERROR(MOD(INDEX(tblBatidas[Data e hora],MATCH("B"&amp;MID($A174,2,99),tblBatidas[Início vinculado],0)),1),"")</f>
        <v/>
      </c>
      <c r="K174" s="14" t="str">
        <f>IFERROR((INDEX(tblBatidas[Data e hora],MATCH("B"&amp;MID($A174,2,99),tblBatidas[Início vinculado],0))-INDEX(tblBatidas[Data e hora],MATCH("B"&amp;MID($A174,2,99),tblBatidas[Batida ID],0)))*24,"")</f>
        <v/>
      </c>
      <c r="L174" t="str">
        <f>IFERROR(INDEX(tblBatidas[Observação],MATCH("B"&amp;MID($A174,2,99),tblBatidas[Início vinculado],0)),"")</f>
        <v/>
      </c>
      <c r="M174" t="str">
        <f>IFERROR(INDEX(tblPessoas[Base],MATCH(E174,tblPessoas[ID],0)),"")</f>
        <v/>
      </c>
      <c r="N174" s="3">
        <f>IFERROR(IF(D174="DIA ÚTIL",INDEX(tblPessoas[R$/h útil],MATCH(E174,tblPessoas[ID],0)),INDEX(tblPessoas[R$/h FDS],MATCH(E174,tblPessoas[ID],0))),0)</f>
        <v>0</v>
      </c>
      <c r="O174" s="3">
        <f>IFERROR(INDEX(tblPessoas[R$/diária],MATCH(E174,tblPessoas[ID],0)),0)</f>
        <v>0</v>
      </c>
      <c r="P174" s="3" t="str">
        <f t="shared" si="10"/>
        <v/>
      </c>
      <c r="Q174" t="str">
        <f>IF(A174="","",IF(COUNTIF(tblBatidas[Início vinculado],"B"&amp;MID($A174,2,99))=0,"EM ABERTO",IF(OR(COUNTIF(tblBatidas[Início vinculado],"B"&amp;MID($A174,2,99))&gt;1,K174&lt;0,K174&gt;16,INT(INDEX(tblBatidas[Data e hora],MATCH("B"&amp;MID($A174,2,99),tblBatidas[Início vinculado],0)))&lt;&gt;B174,INDEX(tblBatidas[ID],MATCH("B"&amp;MID($A174,2,99),tblBatidas[Início vinculado],0))&lt;&gt;E174,INDEX(tblBatidas[Projeto],MATCH("B"&amp;MID($A174,2,99),tblBatidas[Início vinculado],0))&lt;&gt;G174,INDEX(tblBatidas[Atividade],MATCH("B"&amp;MID($A174,2,99),tblBatidas[Início vinculado],0))&lt;&gt;H174),"REVISAR","CONCLUÍDO")))</f>
        <v/>
      </c>
      <c r="R174">
        <f>IF(Q174&lt;&gt;"CONCLUÍDO",0,IF(COUNTIFS($E$5:E174,E174,$B$5:B174,B174,$Q$5:Q174,"CONCLUÍDO")=1,1,0))</f>
        <v>0</v>
      </c>
      <c r="S174" t="str">
        <f t="shared" si="11"/>
        <v/>
      </c>
      <c r="T174" t="str">
        <f>IF(E174="","",E174*100000+COUNTIFS(tblRegistros[ID],E174,tblRegistros[Data],"&lt;"&amp;B174)+COUNTIFS(tblRegistros[ID],E174,tblRegistros[Data],B174,tblRegistros[Início],"&lt;"&amp;I174)+COUNTIFS($E$5:E174,E174,$B$5:B174,B174,$I$5:I174,I174))</f>
        <v/>
      </c>
    </row>
    <row r="175" spans="2:20">
      <c r="B175" s="2" t="str">
        <f>IFERROR(INT(INDEX(tblBatidas[Data e hora],MATCH("B"&amp;MID($A175,2,99),tblBatidas[Batida ID],0))),"")</f>
        <v/>
      </c>
      <c r="C175" t="str">
        <f t="shared" si="8"/>
        <v/>
      </c>
      <c r="D175" t="str">
        <f t="shared" si="9"/>
        <v/>
      </c>
      <c r="E175" t="str">
        <f>IFERROR(INDEX(tblBatidas[ID],MATCH("B"&amp;MID($A175,2,99),tblBatidas[Batida ID],0)),"")</f>
        <v/>
      </c>
      <c r="F175" t="str">
        <f>IFERROR(INDEX(tblPessoas[Pessoa],MATCH(E175,tblPessoas[ID],0)),"")</f>
        <v/>
      </c>
      <c r="G175" t="str">
        <f>IFERROR(INDEX(tblBatidas[Projeto],MATCH("B"&amp;MID($A175,2,99),tblBatidas[Batida ID],0)),"")</f>
        <v/>
      </c>
      <c r="H175" t="str">
        <f>IFERROR(INDEX(tblBatidas[Atividade],MATCH("B"&amp;MID($A175,2,99),tblBatidas[Batida ID],0)),"")</f>
        <v/>
      </c>
      <c r="I175" s="4" t="str">
        <f>IFERROR(MOD(INDEX(tblBatidas[Data e hora],MATCH("B"&amp;MID($A175,2,99),tblBatidas[Batida ID],0)),1),"")</f>
        <v/>
      </c>
      <c r="J175" s="4" t="str">
        <f>IFERROR(MOD(INDEX(tblBatidas[Data e hora],MATCH("B"&amp;MID($A175,2,99),tblBatidas[Início vinculado],0)),1),"")</f>
        <v/>
      </c>
      <c r="K175" s="14" t="str">
        <f>IFERROR((INDEX(tblBatidas[Data e hora],MATCH("B"&amp;MID($A175,2,99),tblBatidas[Início vinculado],0))-INDEX(tblBatidas[Data e hora],MATCH("B"&amp;MID($A175,2,99),tblBatidas[Batida ID],0)))*24,"")</f>
        <v/>
      </c>
      <c r="L175" t="str">
        <f>IFERROR(INDEX(tblBatidas[Observação],MATCH("B"&amp;MID($A175,2,99),tblBatidas[Início vinculado],0)),"")</f>
        <v/>
      </c>
      <c r="M175" t="str">
        <f>IFERROR(INDEX(tblPessoas[Base],MATCH(E175,tblPessoas[ID],0)),"")</f>
        <v/>
      </c>
      <c r="N175" s="3">
        <f>IFERROR(IF(D175="DIA ÚTIL",INDEX(tblPessoas[R$/h útil],MATCH(E175,tblPessoas[ID],0)),INDEX(tblPessoas[R$/h FDS],MATCH(E175,tblPessoas[ID],0))),0)</f>
        <v>0</v>
      </c>
      <c r="O175" s="3">
        <f>IFERROR(INDEX(tblPessoas[R$/diária],MATCH(E175,tblPessoas[ID],0)),0)</f>
        <v>0</v>
      </c>
      <c r="P175" s="3" t="str">
        <f t="shared" si="10"/>
        <v/>
      </c>
      <c r="Q175" t="str">
        <f>IF(A175="","",IF(COUNTIF(tblBatidas[Início vinculado],"B"&amp;MID($A175,2,99))=0,"EM ABERTO",IF(OR(COUNTIF(tblBatidas[Início vinculado],"B"&amp;MID($A175,2,99))&gt;1,K175&lt;0,K175&gt;16,INT(INDEX(tblBatidas[Data e hora],MATCH("B"&amp;MID($A175,2,99),tblBatidas[Início vinculado],0)))&lt;&gt;B175,INDEX(tblBatidas[ID],MATCH("B"&amp;MID($A175,2,99),tblBatidas[Início vinculado],0))&lt;&gt;E175,INDEX(tblBatidas[Projeto],MATCH("B"&amp;MID($A175,2,99),tblBatidas[Início vinculado],0))&lt;&gt;G175,INDEX(tblBatidas[Atividade],MATCH("B"&amp;MID($A175,2,99),tblBatidas[Início vinculado],0))&lt;&gt;H175),"REVISAR","CONCLUÍDO")))</f>
        <v/>
      </c>
      <c r="R175">
        <f>IF(Q175&lt;&gt;"CONCLUÍDO",0,IF(COUNTIFS($E$5:E175,E175,$B$5:B175,B175,$Q$5:Q175,"CONCLUÍDO")=1,1,0))</f>
        <v>0</v>
      </c>
      <c r="S175" t="str">
        <f t="shared" si="11"/>
        <v/>
      </c>
      <c r="T175" t="str">
        <f>IF(E175="","",E175*100000+COUNTIFS(tblRegistros[ID],E175,tblRegistros[Data],"&lt;"&amp;B175)+COUNTIFS(tblRegistros[ID],E175,tblRegistros[Data],B175,tblRegistros[Início],"&lt;"&amp;I175)+COUNTIFS($E$5:E175,E175,$B$5:B175,B175,$I$5:I175,I175))</f>
        <v/>
      </c>
    </row>
    <row r="176" spans="2:20">
      <c r="B176" s="2" t="str">
        <f>IFERROR(INT(INDEX(tblBatidas[Data e hora],MATCH("B"&amp;MID($A176,2,99),tblBatidas[Batida ID],0))),"")</f>
        <v/>
      </c>
      <c r="C176" t="str">
        <f t="shared" si="8"/>
        <v/>
      </c>
      <c r="D176" t="str">
        <f t="shared" si="9"/>
        <v/>
      </c>
      <c r="E176" t="str">
        <f>IFERROR(INDEX(tblBatidas[ID],MATCH("B"&amp;MID($A176,2,99),tblBatidas[Batida ID],0)),"")</f>
        <v/>
      </c>
      <c r="F176" t="str">
        <f>IFERROR(INDEX(tblPessoas[Pessoa],MATCH(E176,tblPessoas[ID],0)),"")</f>
        <v/>
      </c>
      <c r="G176" t="str">
        <f>IFERROR(INDEX(tblBatidas[Projeto],MATCH("B"&amp;MID($A176,2,99),tblBatidas[Batida ID],0)),"")</f>
        <v/>
      </c>
      <c r="H176" t="str">
        <f>IFERROR(INDEX(tblBatidas[Atividade],MATCH("B"&amp;MID($A176,2,99),tblBatidas[Batida ID],0)),"")</f>
        <v/>
      </c>
      <c r="I176" s="4" t="str">
        <f>IFERROR(MOD(INDEX(tblBatidas[Data e hora],MATCH("B"&amp;MID($A176,2,99),tblBatidas[Batida ID],0)),1),"")</f>
        <v/>
      </c>
      <c r="J176" s="4" t="str">
        <f>IFERROR(MOD(INDEX(tblBatidas[Data e hora],MATCH("B"&amp;MID($A176,2,99),tblBatidas[Início vinculado],0)),1),"")</f>
        <v/>
      </c>
      <c r="K176" s="14" t="str">
        <f>IFERROR((INDEX(tblBatidas[Data e hora],MATCH("B"&amp;MID($A176,2,99),tblBatidas[Início vinculado],0))-INDEX(tblBatidas[Data e hora],MATCH("B"&amp;MID($A176,2,99),tblBatidas[Batida ID],0)))*24,"")</f>
        <v/>
      </c>
      <c r="L176" t="str">
        <f>IFERROR(INDEX(tblBatidas[Observação],MATCH("B"&amp;MID($A176,2,99),tblBatidas[Início vinculado],0)),"")</f>
        <v/>
      </c>
      <c r="M176" t="str">
        <f>IFERROR(INDEX(tblPessoas[Base],MATCH(E176,tblPessoas[ID],0)),"")</f>
        <v/>
      </c>
      <c r="N176" s="3">
        <f>IFERROR(IF(D176="DIA ÚTIL",INDEX(tblPessoas[R$/h útil],MATCH(E176,tblPessoas[ID],0)),INDEX(tblPessoas[R$/h FDS],MATCH(E176,tblPessoas[ID],0))),0)</f>
        <v>0</v>
      </c>
      <c r="O176" s="3">
        <f>IFERROR(INDEX(tblPessoas[R$/diária],MATCH(E176,tblPessoas[ID],0)),0)</f>
        <v>0</v>
      </c>
      <c r="P176" s="3" t="str">
        <f t="shared" si="10"/>
        <v/>
      </c>
      <c r="Q176" t="str">
        <f>IF(A176="","",IF(COUNTIF(tblBatidas[Início vinculado],"B"&amp;MID($A176,2,99))=0,"EM ABERTO",IF(OR(COUNTIF(tblBatidas[Início vinculado],"B"&amp;MID($A176,2,99))&gt;1,K176&lt;0,K176&gt;16,INT(INDEX(tblBatidas[Data e hora],MATCH("B"&amp;MID($A176,2,99),tblBatidas[Início vinculado],0)))&lt;&gt;B176,INDEX(tblBatidas[ID],MATCH("B"&amp;MID($A176,2,99),tblBatidas[Início vinculado],0))&lt;&gt;E176,INDEX(tblBatidas[Projeto],MATCH("B"&amp;MID($A176,2,99),tblBatidas[Início vinculado],0))&lt;&gt;G176,INDEX(tblBatidas[Atividade],MATCH("B"&amp;MID($A176,2,99),tblBatidas[Início vinculado],0))&lt;&gt;H176),"REVISAR","CONCLUÍDO")))</f>
        <v/>
      </c>
      <c r="R176">
        <f>IF(Q176&lt;&gt;"CONCLUÍDO",0,IF(COUNTIFS($E$5:E176,E176,$B$5:B176,B176,$Q$5:Q176,"CONCLUÍDO")=1,1,0))</f>
        <v>0</v>
      </c>
      <c r="S176" t="str">
        <f t="shared" si="11"/>
        <v/>
      </c>
      <c r="T176" t="str">
        <f>IF(E176="","",E176*100000+COUNTIFS(tblRegistros[ID],E176,tblRegistros[Data],"&lt;"&amp;B176)+COUNTIFS(tblRegistros[ID],E176,tblRegistros[Data],B176,tblRegistros[Início],"&lt;"&amp;I176)+COUNTIFS($E$5:E176,E176,$B$5:B176,B176,$I$5:I176,I176))</f>
        <v/>
      </c>
    </row>
    <row r="177" spans="2:20">
      <c r="B177" s="2" t="str">
        <f>IFERROR(INT(INDEX(tblBatidas[Data e hora],MATCH("B"&amp;MID($A177,2,99),tblBatidas[Batida ID],0))),"")</f>
        <v/>
      </c>
      <c r="C177" t="str">
        <f t="shared" si="8"/>
        <v/>
      </c>
      <c r="D177" t="str">
        <f t="shared" si="9"/>
        <v/>
      </c>
      <c r="E177" t="str">
        <f>IFERROR(INDEX(tblBatidas[ID],MATCH("B"&amp;MID($A177,2,99),tblBatidas[Batida ID],0)),"")</f>
        <v/>
      </c>
      <c r="F177" t="str">
        <f>IFERROR(INDEX(tblPessoas[Pessoa],MATCH(E177,tblPessoas[ID],0)),"")</f>
        <v/>
      </c>
      <c r="G177" t="str">
        <f>IFERROR(INDEX(tblBatidas[Projeto],MATCH("B"&amp;MID($A177,2,99),tblBatidas[Batida ID],0)),"")</f>
        <v/>
      </c>
      <c r="H177" t="str">
        <f>IFERROR(INDEX(tblBatidas[Atividade],MATCH("B"&amp;MID($A177,2,99),tblBatidas[Batida ID],0)),"")</f>
        <v/>
      </c>
      <c r="I177" s="4" t="str">
        <f>IFERROR(MOD(INDEX(tblBatidas[Data e hora],MATCH("B"&amp;MID($A177,2,99),tblBatidas[Batida ID],0)),1),"")</f>
        <v/>
      </c>
      <c r="J177" s="4" t="str">
        <f>IFERROR(MOD(INDEX(tblBatidas[Data e hora],MATCH("B"&amp;MID($A177,2,99),tblBatidas[Início vinculado],0)),1),"")</f>
        <v/>
      </c>
      <c r="K177" s="14" t="str">
        <f>IFERROR((INDEX(tblBatidas[Data e hora],MATCH("B"&amp;MID($A177,2,99),tblBatidas[Início vinculado],0))-INDEX(tblBatidas[Data e hora],MATCH("B"&amp;MID($A177,2,99),tblBatidas[Batida ID],0)))*24,"")</f>
        <v/>
      </c>
      <c r="L177" t="str">
        <f>IFERROR(INDEX(tblBatidas[Observação],MATCH("B"&amp;MID($A177,2,99),tblBatidas[Início vinculado],0)),"")</f>
        <v/>
      </c>
      <c r="M177" t="str">
        <f>IFERROR(INDEX(tblPessoas[Base],MATCH(E177,tblPessoas[ID],0)),"")</f>
        <v/>
      </c>
      <c r="N177" s="3">
        <f>IFERROR(IF(D177="DIA ÚTIL",INDEX(tblPessoas[R$/h útil],MATCH(E177,tblPessoas[ID],0)),INDEX(tblPessoas[R$/h FDS],MATCH(E177,tblPessoas[ID],0))),0)</f>
        <v>0</v>
      </c>
      <c r="O177" s="3">
        <f>IFERROR(INDEX(tblPessoas[R$/diária],MATCH(E177,tblPessoas[ID],0)),0)</f>
        <v>0</v>
      </c>
      <c r="P177" s="3" t="str">
        <f t="shared" si="10"/>
        <v/>
      </c>
      <c r="Q177" t="str">
        <f>IF(A177="","",IF(COUNTIF(tblBatidas[Início vinculado],"B"&amp;MID($A177,2,99))=0,"EM ABERTO",IF(OR(COUNTIF(tblBatidas[Início vinculado],"B"&amp;MID($A177,2,99))&gt;1,K177&lt;0,K177&gt;16,INT(INDEX(tblBatidas[Data e hora],MATCH("B"&amp;MID($A177,2,99),tblBatidas[Início vinculado],0)))&lt;&gt;B177,INDEX(tblBatidas[ID],MATCH("B"&amp;MID($A177,2,99),tblBatidas[Início vinculado],0))&lt;&gt;E177,INDEX(tblBatidas[Projeto],MATCH("B"&amp;MID($A177,2,99),tblBatidas[Início vinculado],0))&lt;&gt;G177,INDEX(tblBatidas[Atividade],MATCH("B"&amp;MID($A177,2,99),tblBatidas[Início vinculado],0))&lt;&gt;H177),"REVISAR","CONCLUÍDO")))</f>
        <v/>
      </c>
      <c r="R177">
        <f>IF(Q177&lt;&gt;"CONCLUÍDO",0,IF(COUNTIFS($E$5:E177,E177,$B$5:B177,B177,$Q$5:Q177,"CONCLUÍDO")=1,1,0))</f>
        <v>0</v>
      </c>
      <c r="S177" t="str">
        <f t="shared" si="11"/>
        <v/>
      </c>
      <c r="T177" t="str">
        <f>IF(E177="","",E177*100000+COUNTIFS(tblRegistros[ID],E177,tblRegistros[Data],"&lt;"&amp;B177)+COUNTIFS(tblRegistros[ID],E177,tblRegistros[Data],B177,tblRegistros[Início],"&lt;"&amp;I177)+COUNTIFS($E$5:E177,E177,$B$5:B177,B177,$I$5:I177,I177))</f>
        <v/>
      </c>
    </row>
    <row r="178" spans="2:20">
      <c r="B178" s="2" t="str">
        <f>IFERROR(INT(INDEX(tblBatidas[Data e hora],MATCH("B"&amp;MID($A178,2,99),tblBatidas[Batida ID],0))),"")</f>
        <v/>
      </c>
      <c r="C178" t="str">
        <f t="shared" si="8"/>
        <v/>
      </c>
      <c r="D178" t="str">
        <f t="shared" si="9"/>
        <v/>
      </c>
      <c r="E178" t="str">
        <f>IFERROR(INDEX(tblBatidas[ID],MATCH("B"&amp;MID($A178,2,99),tblBatidas[Batida ID],0)),"")</f>
        <v/>
      </c>
      <c r="F178" t="str">
        <f>IFERROR(INDEX(tblPessoas[Pessoa],MATCH(E178,tblPessoas[ID],0)),"")</f>
        <v/>
      </c>
      <c r="G178" t="str">
        <f>IFERROR(INDEX(tblBatidas[Projeto],MATCH("B"&amp;MID($A178,2,99),tblBatidas[Batida ID],0)),"")</f>
        <v/>
      </c>
      <c r="H178" t="str">
        <f>IFERROR(INDEX(tblBatidas[Atividade],MATCH("B"&amp;MID($A178,2,99),tblBatidas[Batida ID],0)),"")</f>
        <v/>
      </c>
      <c r="I178" s="4" t="str">
        <f>IFERROR(MOD(INDEX(tblBatidas[Data e hora],MATCH("B"&amp;MID($A178,2,99),tblBatidas[Batida ID],0)),1),"")</f>
        <v/>
      </c>
      <c r="J178" s="4" t="str">
        <f>IFERROR(MOD(INDEX(tblBatidas[Data e hora],MATCH("B"&amp;MID($A178,2,99),tblBatidas[Início vinculado],0)),1),"")</f>
        <v/>
      </c>
      <c r="K178" s="14" t="str">
        <f>IFERROR((INDEX(tblBatidas[Data e hora],MATCH("B"&amp;MID($A178,2,99),tblBatidas[Início vinculado],0))-INDEX(tblBatidas[Data e hora],MATCH("B"&amp;MID($A178,2,99),tblBatidas[Batida ID],0)))*24,"")</f>
        <v/>
      </c>
      <c r="L178" t="str">
        <f>IFERROR(INDEX(tblBatidas[Observação],MATCH("B"&amp;MID($A178,2,99),tblBatidas[Início vinculado],0)),"")</f>
        <v/>
      </c>
      <c r="M178" t="str">
        <f>IFERROR(INDEX(tblPessoas[Base],MATCH(E178,tblPessoas[ID],0)),"")</f>
        <v/>
      </c>
      <c r="N178" s="3">
        <f>IFERROR(IF(D178="DIA ÚTIL",INDEX(tblPessoas[R$/h útil],MATCH(E178,tblPessoas[ID],0)),INDEX(tblPessoas[R$/h FDS],MATCH(E178,tblPessoas[ID],0))),0)</f>
        <v>0</v>
      </c>
      <c r="O178" s="3">
        <f>IFERROR(INDEX(tblPessoas[R$/diária],MATCH(E178,tblPessoas[ID],0)),0)</f>
        <v>0</v>
      </c>
      <c r="P178" s="3" t="str">
        <f t="shared" si="10"/>
        <v/>
      </c>
      <c r="Q178" t="str">
        <f>IF(A178="","",IF(COUNTIF(tblBatidas[Início vinculado],"B"&amp;MID($A178,2,99))=0,"EM ABERTO",IF(OR(COUNTIF(tblBatidas[Início vinculado],"B"&amp;MID($A178,2,99))&gt;1,K178&lt;0,K178&gt;16,INT(INDEX(tblBatidas[Data e hora],MATCH("B"&amp;MID($A178,2,99),tblBatidas[Início vinculado],0)))&lt;&gt;B178,INDEX(tblBatidas[ID],MATCH("B"&amp;MID($A178,2,99),tblBatidas[Início vinculado],0))&lt;&gt;E178,INDEX(tblBatidas[Projeto],MATCH("B"&amp;MID($A178,2,99),tblBatidas[Início vinculado],0))&lt;&gt;G178,INDEX(tblBatidas[Atividade],MATCH("B"&amp;MID($A178,2,99),tblBatidas[Início vinculado],0))&lt;&gt;H178),"REVISAR","CONCLUÍDO")))</f>
        <v/>
      </c>
      <c r="R178">
        <f>IF(Q178&lt;&gt;"CONCLUÍDO",0,IF(COUNTIFS($E$5:E178,E178,$B$5:B178,B178,$Q$5:Q178,"CONCLUÍDO")=1,1,0))</f>
        <v>0</v>
      </c>
      <c r="S178" t="str">
        <f t="shared" si="11"/>
        <v/>
      </c>
      <c r="T178" t="str">
        <f>IF(E178="","",E178*100000+COUNTIFS(tblRegistros[ID],E178,tblRegistros[Data],"&lt;"&amp;B178)+COUNTIFS(tblRegistros[ID],E178,tblRegistros[Data],B178,tblRegistros[Início],"&lt;"&amp;I178)+COUNTIFS($E$5:E178,E178,$B$5:B178,B178,$I$5:I178,I178))</f>
        <v/>
      </c>
    </row>
    <row r="179" spans="2:20">
      <c r="B179" s="2" t="str">
        <f>IFERROR(INT(INDEX(tblBatidas[Data e hora],MATCH("B"&amp;MID($A179,2,99),tblBatidas[Batida ID],0))),"")</f>
        <v/>
      </c>
      <c r="C179" t="str">
        <f t="shared" si="8"/>
        <v/>
      </c>
      <c r="D179" t="str">
        <f t="shared" si="9"/>
        <v/>
      </c>
      <c r="E179" t="str">
        <f>IFERROR(INDEX(tblBatidas[ID],MATCH("B"&amp;MID($A179,2,99),tblBatidas[Batida ID],0)),"")</f>
        <v/>
      </c>
      <c r="F179" t="str">
        <f>IFERROR(INDEX(tblPessoas[Pessoa],MATCH(E179,tblPessoas[ID],0)),"")</f>
        <v/>
      </c>
      <c r="G179" t="str">
        <f>IFERROR(INDEX(tblBatidas[Projeto],MATCH("B"&amp;MID($A179,2,99),tblBatidas[Batida ID],0)),"")</f>
        <v/>
      </c>
      <c r="H179" t="str">
        <f>IFERROR(INDEX(tblBatidas[Atividade],MATCH("B"&amp;MID($A179,2,99),tblBatidas[Batida ID],0)),"")</f>
        <v/>
      </c>
      <c r="I179" s="4" t="str">
        <f>IFERROR(MOD(INDEX(tblBatidas[Data e hora],MATCH("B"&amp;MID($A179,2,99),tblBatidas[Batida ID],0)),1),"")</f>
        <v/>
      </c>
      <c r="J179" s="4" t="str">
        <f>IFERROR(MOD(INDEX(tblBatidas[Data e hora],MATCH("B"&amp;MID($A179,2,99),tblBatidas[Início vinculado],0)),1),"")</f>
        <v/>
      </c>
      <c r="K179" s="14" t="str">
        <f>IFERROR((INDEX(tblBatidas[Data e hora],MATCH("B"&amp;MID($A179,2,99),tblBatidas[Início vinculado],0))-INDEX(tblBatidas[Data e hora],MATCH("B"&amp;MID($A179,2,99),tblBatidas[Batida ID],0)))*24,"")</f>
        <v/>
      </c>
      <c r="L179" t="str">
        <f>IFERROR(INDEX(tblBatidas[Observação],MATCH("B"&amp;MID($A179,2,99),tblBatidas[Início vinculado],0)),"")</f>
        <v/>
      </c>
      <c r="M179" t="str">
        <f>IFERROR(INDEX(tblPessoas[Base],MATCH(E179,tblPessoas[ID],0)),"")</f>
        <v/>
      </c>
      <c r="N179" s="3">
        <f>IFERROR(IF(D179="DIA ÚTIL",INDEX(tblPessoas[R$/h útil],MATCH(E179,tblPessoas[ID],0)),INDEX(tblPessoas[R$/h FDS],MATCH(E179,tblPessoas[ID],0))),0)</f>
        <v>0</v>
      </c>
      <c r="O179" s="3">
        <f>IFERROR(INDEX(tblPessoas[R$/diária],MATCH(E179,tblPessoas[ID],0)),0)</f>
        <v>0</v>
      </c>
      <c r="P179" s="3" t="str">
        <f t="shared" si="10"/>
        <v/>
      </c>
      <c r="Q179" t="str">
        <f>IF(A179="","",IF(COUNTIF(tblBatidas[Início vinculado],"B"&amp;MID($A179,2,99))=0,"EM ABERTO",IF(OR(COUNTIF(tblBatidas[Início vinculado],"B"&amp;MID($A179,2,99))&gt;1,K179&lt;0,K179&gt;16,INT(INDEX(tblBatidas[Data e hora],MATCH("B"&amp;MID($A179,2,99),tblBatidas[Início vinculado],0)))&lt;&gt;B179,INDEX(tblBatidas[ID],MATCH("B"&amp;MID($A179,2,99),tblBatidas[Início vinculado],0))&lt;&gt;E179,INDEX(tblBatidas[Projeto],MATCH("B"&amp;MID($A179,2,99),tblBatidas[Início vinculado],0))&lt;&gt;G179,INDEX(tblBatidas[Atividade],MATCH("B"&amp;MID($A179,2,99),tblBatidas[Início vinculado],0))&lt;&gt;H179),"REVISAR","CONCLUÍDO")))</f>
        <v/>
      </c>
      <c r="R179">
        <f>IF(Q179&lt;&gt;"CONCLUÍDO",0,IF(COUNTIFS($E$5:E179,E179,$B$5:B179,B179,$Q$5:Q179,"CONCLUÍDO")=1,1,0))</f>
        <v>0</v>
      </c>
      <c r="S179" t="str">
        <f t="shared" si="11"/>
        <v/>
      </c>
      <c r="T179" t="str">
        <f>IF(E179="","",E179*100000+COUNTIFS(tblRegistros[ID],E179,tblRegistros[Data],"&lt;"&amp;B179)+COUNTIFS(tblRegistros[ID],E179,tblRegistros[Data],B179,tblRegistros[Início],"&lt;"&amp;I179)+COUNTIFS($E$5:E179,E179,$B$5:B179,B179,$I$5:I179,I179))</f>
        <v/>
      </c>
    </row>
    <row r="180" spans="2:20">
      <c r="B180" s="2" t="str">
        <f>IFERROR(INT(INDEX(tblBatidas[Data e hora],MATCH("B"&amp;MID($A180,2,99),tblBatidas[Batida ID],0))),"")</f>
        <v/>
      </c>
      <c r="C180" t="str">
        <f t="shared" si="8"/>
        <v/>
      </c>
      <c r="D180" t="str">
        <f t="shared" si="9"/>
        <v/>
      </c>
      <c r="E180" t="str">
        <f>IFERROR(INDEX(tblBatidas[ID],MATCH("B"&amp;MID($A180,2,99),tblBatidas[Batida ID],0)),"")</f>
        <v/>
      </c>
      <c r="F180" t="str">
        <f>IFERROR(INDEX(tblPessoas[Pessoa],MATCH(E180,tblPessoas[ID],0)),"")</f>
        <v/>
      </c>
      <c r="G180" t="str">
        <f>IFERROR(INDEX(tblBatidas[Projeto],MATCH("B"&amp;MID($A180,2,99),tblBatidas[Batida ID],0)),"")</f>
        <v/>
      </c>
      <c r="H180" t="str">
        <f>IFERROR(INDEX(tblBatidas[Atividade],MATCH("B"&amp;MID($A180,2,99),tblBatidas[Batida ID],0)),"")</f>
        <v/>
      </c>
      <c r="I180" s="4" t="str">
        <f>IFERROR(MOD(INDEX(tblBatidas[Data e hora],MATCH("B"&amp;MID($A180,2,99),tblBatidas[Batida ID],0)),1),"")</f>
        <v/>
      </c>
      <c r="J180" s="4" t="str">
        <f>IFERROR(MOD(INDEX(tblBatidas[Data e hora],MATCH("B"&amp;MID($A180,2,99),tblBatidas[Início vinculado],0)),1),"")</f>
        <v/>
      </c>
      <c r="K180" s="14" t="str">
        <f>IFERROR((INDEX(tblBatidas[Data e hora],MATCH("B"&amp;MID($A180,2,99),tblBatidas[Início vinculado],0))-INDEX(tblBatidas[Data e hora],MATCH("B"&amp;MID($A180,2,99),tblBatidas[Batida ID],0)))*24,"")</f>
        <v/>
      </c>
      <c r="L180" t="str">
        <f>IFERROR(INDEX(tblBatidas[Observação],MATCH("B"&amp;MID($A180,2,99),tblBatidas[Início vinculado],0)),"")</f>
        <v/>
      </c>
      <c r="M180" t="str">
        <f>IFERROR(INDEX(tblPessoas[Base],MATCH(E180,tblPessoas[ID],0)),"")</f>
        <v/>
      </c>
      <c r="N180" s="3">
        <f>IFERROR(IF(D180="DIA ÚTIL",INDEX(tblPessoas[R$/h útil],MATCH(E180,tblPessoas[ID],0)),INDEX(tblPessoas[R$/h FDS],MATCH(E180,tblPessoas[ID],0))),0)</f>
        <v>0</v>
      </c>
      <c r="O180" s="3">
        <f>IFERROR(INDEX(tblPessoas[R$/diária],MATCH(E180,tblPessoas[ID],0)),0)</f>
        <v>0</v>
      </c>
      <c r="P180" s="3" t="str">
        <f t="shared" si="10"/>
        <v/>
      </c>
      <c r="Q180" t="str">
        <f>IF(A180="","",IF(COUNTIF(tblBatidas[Início vinculado],"B"&amp;MID($A180,2,99))=0,"EM ABERTO",IF(OR(COUNTIF(tblBatidas[Início vinculado],"B"&amp;MID($A180,2,99))&gt;1,K180&lt;0,K180&gt;16,INT(INDEX(tblBatidas[Data e hora],MATCH("B"&amp;MID($A180,2,99),tblBatidas[Início vinculado],0)))&lt;&gt;B180,INDEX(tblBatidas[ID],MATCH("B"&amp;MID($A180,2,99),tblBatidas[Início vinculado],0))&lt;&gt;E180,INDEX(tblBatidas[Projeto],MATCH("B"&amp;MID($A180,2,99),tblBatidas[Início vinculado],0))&lt;&gt;G180,INDEX(tblBatidas[Atividade],MATCH("B"&amp;MID($A180,2,99),tblBatidas[Início vinculado],0))&lt;&gt;H180),"REVISAR","CONCLUÍDO")))</f>
        <v/>
      </c>
      <c r="R180">
        <f>IF(Q180&lt;&gt;"CONCLUÍDO",0,IF(COUNTIFS($E$5:E180,E180,$B$5:B180,B180,$Q$5:Q180,"CONCLUÍDO")=1,1,0))</f>
        <v>0</v>
      </c>
      <c r="S180" t="str">
        <f t="shared" si="11"/>
        <v/>
      </c>
      <c r="T180" t="str">
        <f>IF(E180="","",E180*100000+COUNTIFS(tblRegistros[ID],E180,tblRegistros[Data],"&lt;"&amp;B180)+COUNTIFS(tblRegistros[ID],E180,tblRegistros[Data],B180,tblRegistros[Início],"&lt;"&amp;I180)+COUNTIFS($E$5:E180,E180,$B$5:B180,B180,$I$5:I180,I180))</f>
        <v/>
      </c>
    </row>
    <row r="181" spans="2:20">
      <c r="B181" s="2" t="str">
        <f>IFERROR(INT(INDEX(tblBatidas[Data e hora],MATCH("B"&amp;MID($A181,2,99),tblBatidas[Batida ID],0))),"")</f>
        <v/>
      </c>
      <c r="C181" t="str">
        <f t="shared" si="8"/>
        <v/>
      </c>
      <c r="D181" t="str">
        <f t="shared" si="9"/>
        <v/>
      </c>
      <c r="E181" t="str">
        <f>IFERROR(INDEX(tblBatidas[ID],MATCH("B"&amp;MID($A181,2,99),tblBatidas[Batida ID],0)),"")</f>
        <v/>
      </c>
      <c r="F181" t="str">
        <f>IFERROR(INDEX(tblPessoas[Pessoa],MATCH(E181,tblPessoas[ID],0)),"")</f>
        <v/>
      </c>
      <c r="G181" t="str">
        <f>IFERROR(INDEX(tblBatidas[Projeto],MATCH("B"&amp;MID($A181,2,99),tblBatidas[Batida ID],0)),"")</f>
        <v/>
      </c>
      <c r="H181" t="str">
        <f>IFERROR(INDEX(tblBatidas[Atividade],MATCH("B"&amp;MID($A181,2,99),tblBatidas[Batida ID],0)),"")</f>
        <v/>
      </c>
      <c r="I181" s="4" t="str">
        <f>IFERROR(MOD(INDEX(tblBatidas[Data e hora],MATCH("B"&amp;MID($A181,2,99),tblBatidas[Batida ID],0)),1),"")</f>
        <v/>
      </c>
      <c r="J181" s="4" t="str">
        <f>IFERROR(MOD(INDEX(tblBatidas[Data e hora],MATCH("B"&amp;MID($A181,2,99),tblBatidas[Início vinculado],0)),1),"")</f>
        <v/>
      </c>
      <c r="K181" s="14" t="str">
        <f>IFERROR((INDEX(tblBatidas[Data e hora],MATCH("B"&amp;MID($A181,2,99),tblBatidas[Início vinculado],0))-INDEX(tblBatidas[Data e hora],MATCH("B"&amp;MID($A181,2,99),tblBatidas[Batida ID],0)))*24,"")</f>
        <v/>
      </c>
      <c r="L181" t="str">
        <f>IFERROR(INDEX(tblBatidas[Observação],MATCH("B"&amp;MID($A181,2,99),tblBatidas[Início vinculado],0)),"")</f>
        <v/>
      </c>
      <c r="M181" t="str">
        <f>IFERROR(INDEX(tblPessoas[Base],MATCH(E181,tblPessoas[ID],0)),"")</f>
        <v/>
      </c>
      <c r="N181" s="3">
        <f>IFERROR(IF(D181="DIA ÚTIL",INDEX(tblPessoas[R$/h útil],MATCH(E181,tblPessoas[ID],0)),INDEX(tblPessoas[R$/h FDS],MATCH(E181,tblPessoas[ID],0))),0)</f>
        <v>0</v>
      </c>
      <c r="O181" s="3">
        <f>IFERROR(INDEX(tblPessoas[R$/diária],MATCH(E181,tblPessoas[ID],0)),0)</f>
        <v>0</v>
      </c>
      <c r="P181" s="3" t="str">
        <f t="shared" si="10"/>
        <v/>
      </c>
      <c r="Q181" t="str">
        <f>IF(A181="","",IF(COUNTIF(tblBatidas[Início vinculado],"B"&amp;MID($A181,2,99))=0,"EM ABERTO",IF(OR(COUNTIF(tblBatidas[Início vinculado],"B"&amp;MID($A181,2,99))&gt;1,K181&lt;0,K181&gt;16,INT(INDEX(tblBatidas[Data e hora],MATCH("B"&amp;MID($A181,2,99),tblBatidas[Início vinculado],0)))&lt;&gt;B181,INDEX(tblBatidas[ID],MATCH("B"&amp;MID($A181,2,99),tblBatidas[Início vinculado],0))&lt;&gt;E181,INDEX(tblBatidas[Projeto],MATCH("B"&amp;MID($A181,2,99),tblBatidas[Início vinculado],0))&lt;&gt;G181,INDEX(tblBatidas[Atividade],MATCH("B"&amp;MID($A181,2,99),tblBatidas[Início vinculado],0))&lt;&gt;H181),"REVISAR","CONCLUÍDO")))</f>
        <v/>
      </c>
      <c r="R181">
        <f>IF(Q181&lt;&gt;"CONCLUÍDO",0,IF(COUNTIFS($E$5:E181,E181,$B$5:B181,B181,$Q$5:Q181,"CONCLUÍDO")=1,1,0))</f>
        <v>0</v>
      </c>
      <c r="S181" t="str">
        <f t="shared" si="11"/>
        <v/>
      </c>
      <c r="T181" t="str">
        <f>IF(E181="","",E181*100000+COUNTIFS(tblRegistros[ID],E181,tblRegistros[Data],"&lt;"&amp;B181)+COUNTIFS(tblRegistros[ID],E181,tblRegistros[Data],B181,tblRegistros[Início],"&lt;"&amp;I181)+COUNTIFS($E$5:E181,E181,$B$5:B181,B181,$I$5:I181,I181))</f>
        <v/>
      </c>
    </row>
    <row r="182" spans="2:20">
      <c r="B182" s="2" t="str">
        <f>IFERROR(INT(INDEX(tblBatidas[Data e hora],MATCH("B"&amp;MID($A182,2,99),tblBatidas[Batida ID],0))),"")</f>
        <v/>
      </c>
      <c r="C182" t="str">
        <f t="shared" si="8"/>
        <v/>
      </c>
      <c r="D182" t="str">
        <f t="shared" si="9"/>
        <v/>
      </c>
      <c r="E182" t="str">
        <f>IFERROR(INDEX(tblBatidas[ID],MATCH("B"&amp;MID($A182,2,99),tblBatidas[Batida ID],0)),"")</f>
        <v/>
      </c>
      <c r="F182" t="str">
        <f>IFERROR(INDEX(tblPessoas[Pessoa],MATCH(E182,tblPessoas[ID],0)),"")</f>
        <v/>
      </c>
      <c r="G182" t="str">
        <f>IFERROR(INDEX(tblBatidas[Projeto],MATCH("B"&amp;MID($A182,2,99),tblBatidas[Batida ID],0)),"")</f>
        <v/>
      </c>
      <c r="H182" t="str">
        <f>IFERROR(INDEX(tblBatidas[Atividade],MATCH("B"&amp;MID($A182,2,99),tblBatidas[Batida ID],0)),"")</f>
        <v/>
      </c>
      <c r="I182" s="4" t="str">
        <f>IFERROR(MOD(INDEX(tblBatidas[Data e hora],MATCH("B"&amp;MID($A182,2,99),tblBatidas[Batida ID],0)),1),"")</f>
        <v/>
      </c>
      <c r="J182" s="4" t="str">
        <f>IFERROR(MOD(INDEX(tblBatidas[Data e hora],MATCH("B"&amp;MID($A182,2,99),tblBatidas[Início vinculado],0)),1),"")</f>
        <v/>
      </c>
      <c r="K182" s="14" t="str">
        <f>IFERROR((INDEX(tblBatidas[Data e hora],MATCH("B"&amp;MID($A182,2,99),tblBatidas[Início vinculado],0))-INDEX(tblBatidas[Data e hora],MATCH("B"&amp;MID($A182,2,99),tblBatidas[Batida ID],0)))*24,"")</f>
        <v/>
      </c>
      <c r="L182" t="str">
        <f>IFERROR(INDEX(tblBatidas[Observação],MATCH("B"&amp;MID($A182,2,99),tblBatidas[Início vinculado],0)),"")</f>
        <v/>
      </c>
      <c r="M182" t="str">
        <f>IFERROR(INDEX(tblPessoas[Base],MATCH(E182,tblPessoas[ID],0)),"")</f>
        <v/>
      </c>
      <c r="N182" s="3">
        <f>IFERROR(IF(D182="DIA ÚTIL",INDEX(tblPessoas[R$/h útil],MATCH(E182,tblPessoas[ID],0)),INDEX(tblPessoas[R$/h FDS],MATCH(E182,tblPessoas[ID],0))),0)</f>
        <v>0</v>
      </c>
      <c r="O182" s="3">
        <f>IFERROR(INDEX(tblPessoas[R$/diária],MATCH(E182,tblPessoas[ID],0)),0)</f>
        <v>0</v>
      </c>
      <c r="P182" s="3" t="str">
        <f t="shared" si="10"/>
        <v/>
      </c>
      <c r="Q182" t="str">
        <f>IF(A182="","",IF(COUNTIF(tblBatidas[Início vinculado],"B"&amp;MID($A182,2,99))=0,"EM ABERTO",IF(OR(COUNTIF(tblBatidas[Início vinculado],"B"&amp;MID($A182,2,99))&gt;1,K182&lt;0,K182&gt;16,INT(INDEX(tblBatidas[Data e hora],MATCH("B"&amp;MID($A182,2,99),tblBatidas[Início vinculado],0)))&lt;&gt;B182,INDEX(tblBatidas[ID],MATCH("B"&amp;MID($A182,2,99),tblBatidas[Início vinculado],0))&lt;&gt;E182,INDEX(tblBatidas[Projeto],MATCH("B"&amp;MID($A182,2,99),tblBatidas[Início vinculado],0))&lt;&gt;G182,INDEX(tblBatidas[Atividade],MATCH("B"&amp;MID($A182,2,99),tblBatidas[Início vinculado],0))&lt;&gt;H182),"REVISAR","CONCLUÍDO")))</f>
        <v/>
      </c>
      <c r="R182">
        <f>IF(Q182&lt;&gt;"CONCLUÍDO",0,IF(COUNTIFS($E$5:E182,E182,$B$5:B182,B182,$Q$5:Q182,"CONCLUÍDO")=1,1,0))</f>
        <v>0</v>
      </c>
      <c r="S182" t="str">
        <f t="shared" si="11"/>
        <v/>
      </c>
      <c r="T182" t="str">
        <f>IF(E182="","",E182*100000+COUNTIFS(tblRegistros[ID],E182,tblRegistros[Data],"&lt;"&amp;B182)+COUNTIFS(tblRegistros[ID],E182,tblRegistros[Data],B182,tblRegistros[Início],"&lt;"&amp;I182)+COUNTIFS($E$5:E182,E182,$B$5:B182,B182,$I$5:I182,I182))</f>
        <v/>
      </c>
    </row>
    <row r="183" spans="2:20">
      <c r="B183" s="2" t="str">
        <f>IFERROR(INT(INDEX(tblBatidas[Data e hora],MATCH("B"&amp;MID($A183,2,99),tblBatidas[Batida ID],0))),"")</f>
        <v/>
      </c>
      <c r="C183" t="str">
        <f t="shared" si="8"/>
        <v/>
      </c>
      <c r="D183" t="str">
        <f t="shared" si="9"/>
        <v/>
      </c>
      <c r="E183" t="str">
        <f>IFERROR(INDEX(tblBatidas[ID],MATCH("B"&amp;MID($A183,2,99),tblBatidas[Batida ID],0)),"")</f>
        <v/>
      </c>
      <c r="F183" t="str">
        <f>IFERROR(INDEX(tblPessoas[Pessoa],MATCH(E183,tblPessoas[ID],0)),"")</f>
        <v/>
      </c>
      <c r="G183" t="str">
        <f>IFERROR(INDEX(tblBatidas[Projeto],MATCH("B"&amp;MID($A183,2,99),tblBatidas[Batida ID],0)),"")</f>
        <v/>
      </c>
      <c r="H183" t="str">
        <f>IFERROR(INDEX(tblBatidas[Atividade],MATCH("B"&amp;MID($A183,2,99),tblBatidas[Batida ID],0)),"")</f>
        <v/>
      </c>
      <c r="I183" s="4" t="str">
        <f>IFERROR(MOD(INDEX(tblBatidas[Data e hora],MATCH("B"&amp;MID($A183,2,99),tblBatidas[Batida ID],0)),1),"")</f>
        <v/>
      </c>
      <c r="J183" s="4" t="str">
        <f>IFERROR(MOD(INDEX(tblBatidas[Data e hora],MATCH("B"&amp;MID($A183,2,99),tblBatidas[Início vinculado],0)),1),"")</f>
        <v/>
      </c>
      <c r="K183" s="14" t="str">
        <f>IFERROR((INDEX(tblBatidas[Data e hora],MATCH("B"&amp;MID($A183,2,99),tblBatidas[Início vinculado],0))-INDEX(tblBatidas[Data e hora],MATCH("B"&amp;MID($A183,2,99),tblBatidas[Batida ID],0)))*24,"")</f>
        <v/>
      </c>
      <c r="L183" t="str">
        <f>IFERROR(INDEX(tblBatidas[Observação],MATCH("B"&amp;MID($A183,2,99),tblBatidas[Início vinculado],0)),"")</f>
        <v/>
      </c>
      <c r="M183" t="str">
        <f>IFERROR(INDEX(tblPessoas[Base],MATCH(E183,tblPessoas[ID],0)),"")</f>
        <v/>
      </c>
      <c r="N183" s="3">
        <f>IFERROR(IF(D183="DIA ÚTIL",INDEX(tblPessoas[R$/h útil],MATCH(E183,tblPessoas[ID],0)),INDEX(tblPessoas[R$/h FDS],MATCH(E183,tblPessoas[ID],0))),0)</f>
        <v>0</v>
      </c>
      <c r="O183" s="3">
        <f>IFERROR(INDEX(tblPessoas[R$/diária],MATCH(E183,tblPessoas[ID],0)),0)</f>
        <v>0</v>
      </c>
      <c r="P183" s="3" t="str">
        <f t="shared" si="10"/>
        <v/>
      </c>
      <c r="Q183" t="str">
        <f>IF(A183="","",IF(COUNTIF(tblBatidas[Início vinculado],"B"&amp;MID($A183,2,99))=0,"EM ABERTO",IF(OR(COUNTIF(tblBatidas[Início vinculado],"B"&amp;MID($A183,2,99))&gt;1,K183&lt;0,K183&gt;16,INT(INDEX(tblBatidas[Data e hora],MATCH("B"&amp;MID($A183,2,99),tblBatidas[Início vinculado],0)))&lt;&gt;B183,INDEX(tblBatidas[ID],MATCH("B"&amp;MID($A183,2,99),tblBatidas[Início vinculado],0))&lt;&gt;E183,INDEX(tblBatidas[Projeto],MATCH("B"&amp;MID($A183,2,99),tblBatidas[Início vinculado],0))&lt;&gt;G183,INDEX(tblBatidas[Atividade],MATCH("B"&amp;MID($A183,2,99),tblBatidas[Início vinculado],0))&lt;&gt;H183),"REVISAR","CONCLUÍDO")))</f>
        <v/>
      </c>
      <c r="R183">
        <f>IF(Q183&lt;&gt;"CONCLUÍDO",0,IF(COUNTIFS($E$5:E183,E183,$B$5:B183,B183,$Q$5:Q183,"CONCLUÍDO")=1,1,0))</f>
        <v>0</v>
      </c>
      <c r="S183" t="str">
        <f t="shared" si="11"/>
        <v/>
      </c>
      <c r="T183" t="str">
        <f>IF(E183="","",E183*100000+COUNTIFS(tblRegistros[ID],E183,tblRegistros[Data],"&lt;"&amp;B183)+COUNTIFS(tblRegistros[ID],E183,tblRegistros[Data],B183,tblRegistros[Início],"&lt;"&amp;I183)+COUNTIFS($E$5:E183,E183,$B$5:B183,B183,$I$5:I183,I183))</f>
        <v/>
      </c>
    </row>
    <row r="184" spans="2:20">
      <c r="B184" s="2" t="str">
        <f>IFERROR(INT(INDEX(tblBatidas[Data e hora],MATCH("B"&amp;MID($A184,2,99),tblBatidas[Batida ID],0))),"")</f>
        <v/>
      </c>
      <c r="C184" t="str">
        <f t="shared" si="8"/>
        <v/>
      </c>
      <c r="D184" t="str">
        <f t="shared" si="9"/>
        <v/>
      </c>
      <c r="E184" t="str">
        <f>IFERROR(INDEX(tblBatidas[ID],MATCH("B"&amp;MID($A184,2,99),tblBatidas[Batida ID],0)),"")</f>
        <v/>
      </c>
      <c r="F184" t="str">
        <f>IFERROR(INDEX(tblPessoas[Pessoa],MATCH(E184,tblPessoas[ID],0)),"")</f>
        <v/>
      </c>
      <c r="G184" t="str">
        <f>IFERROR(INDEX(tblBatidas[Projeto],MATCH("B"&amp;MID($A184,2,99),tblBatidas[Batida ID],0)),"")</f>
        <v/>
      </c>
      <c r="H184" t="str">
        <f>IFERROR(INDEX(tblBatidas[Atividade],MATCH("B"&amp;MID($A184,2,99),tblBatidas[Batida ID],0)),"")</f>
        <v/>
      </c>
      <c r="I184" s="4" t="str">
        <f>IFERROR(MOD(INDEX(tblBatidas[Data e hora],MATCH("B"&amp;MID($A184,2,99),tblBatidas[Batida ID],0)),1),"")</f>
        <v/>
      </c>
      <c r="J184" s="4" t="str">
        <f>IFERROR(MOD(INDEX(tblBatidas[Data e hora],MATCH("B"&amp;MID($A184,2,99),tblBatidas[Início vinculado],0)),1),"")</f>
        <v/>
      </c>
      <c r="K184" s="14" t="str">
        <f>IFERROR((INDEX(tblBatidas[Data e hora],MATCH("B"&amp;MID($A184,2,99),tblBatidas[Início vinculado],0))-INDEX(tblBatidas[Data e hora],MATCH("B"&amp;MID($A184,2,99),tblBatidas[Batida ID],0)))*24,"")</f>
        <v/>
      </c>
      <c r="L184" t="str">
        <f>IFERROR(INDEX(tblBatidas[Observação],MATCH("B"&amp;MID($A184,2,99),tblBatidas[Início vinculado],0)),"")</f>
        <v/>
      </c>
      <c r="M184" t="str">
        <f>IFERROR(INDEX(tblPessoas[Base],MATCH(E184,tblPessoas[ID],0)),"")</f>
        <v/>
      </c>
      <c r="N184" s="3">
        <f>IFERROR(IF(D184="DIA ÚTIL",INDEX(tblPessoas[R$/h útil],MATCH(E184,tblPessoas[ID],0)),INDEX(tblPessoas[R$/h FDS],MATCH(E184,tblPessoas[ID],0))),0)</f>
        <v>0</v>
      </c>
      <c r="O184" s="3">
        <f>IFERROR(INDEX(tblPessoas[R$/diária],MATCH(E184,tblPessoas[ID],0)),0)</f>
        <v>0</v>
      </c>
      <c r="P184" s="3" t="str">
        <f t="shared" si="10"/>
        <v/>
      </c>
      <c r="Q184" t="str">
        <f>IF(A184="","",IF(COUNTIF(tblBatidas[Início vinculado],"B"&amp;MID($A184,2,99))=0,"EM ABERTO",IF(OR(COUNTIF(tblBatidas[Início vinculado],"B"&amp;MID($A184,2,99))&gt;1,K184&lt;0,K184&gt;16,INT(INDEX(tblBatidas[Data e hora],MATCH("B"&amp;MID($A184,2,99),tblBatidas[Início vinculado],0)))&lt;&gt;B184,INDEX(tblBatidas[ID],MATCH("B"&amp;MID($A184,2,99),tblBatidas[Início vinculado],0))&lt;&gt;E184,INDEX(tblBatidas[Projeto],MATCH("B"&amp;MID($A184,2,99),tblBatidas[Início vinculado],0))&lt;&gt;G184,INDEX(tblBatidas[Atividade],MATCH("B"&amp;MID($A184,2,99),tblBatidas[Início vinculado],0))&lt;&gt;H184),"REVISAR","CONCLUÍDO")))</f>
        <v/>
      </c>
      <c r="R184">
        <f>IF(Q184&lt;&gt;"CONCLUÍDO",0,IF(COUNTIFS($E$5:E184,E184,$B$5:B184,B184,$Q$5:Q184,"CONCLUÍDO")=1,1,0))</f>
        <v>0</v>
      </c>
      <c r="S184" t="str">
        <f t="shared" si="11"/>
        <v/>
      </c>
      <c r="T184" t="str">
        <f>IF(E184="","",E184*100000+COUNTIFS(tblRegistros[ID],E184,tblRegistros[Data],"&lt;"&amp;B184)+COUNTIFS(tblRegistros[ID],E184,tblRegistros[Data],B184,tblRegistros[Início],"&lt;"&amp;I184)+COUNTIFS($E$5:E184,E184,$B$5:B184,B184,$I$5:I184,I184))</f>
        <v/>
      </c>
    </row>
    <row r="185" spans="2:20">
      <c r="B185" s="2" t="str">
        <f>IFERROR(INT(INDEX(tblBatidas[Data e hora],MATCH("B"&amp;MID($A185,2,99),tblBatidas[Batida ID],0))),"")</f>
        <v/>
      </c>
      <c r="C185" t="str">
        <f t="shared" si="8"/>
        <v/>
      </c>
      <c r="D185" t="str">
        <f t="shared" si="9"/>
        <v/>
      </c>
      <c r="E185" t="str">
        <f>IFERROR(INDEX(tblBatidas[ID],MATCH("B"&amp;MID($A185,2,99),tblBatidas[Batida ID],0)),"")</f>
        <v/>
      </c>
      <c r="F185" t="str">
        <f>IFERROR(INDEX(tblPessoas[Pessoa],MATCH(E185,tblPessoas[ID],0)),"")</f>
        <v/>
      </c>
      <c r="G185" t="str">
        <f>IFERROR(INDEX(tblBatidas[Projeto],MATCH("B"&amp;MID($A185,2,99),tblBatidas[Batida ID],0)),"")</f>
        <v/>
      </c>
      <c r="H185" t="str">
        <f>IFERROR(INDEX(tblBatidas[Atividade],MATCH("B"&amp;MID($A185,2,99),tblBatidas[Batida ID],0)),"")</f>
        <v/>
      </c>
      <c r="I185" s="4" t="str">
        <f>IFERROR(MOD(INDEX(tblBatidas[Data e hora],MATCH("B"&amp;MID($A185,2,99),tblBatidas[Batida ID],0)),1),"")</f>
        <v/>
      </c>
      <c r="J185" s="4" t="str">
        <f>IFERROR(MOD(INDEX(tblBatidas[Data e hora],MATCH("B"&amp;MID($A185,2,99),tblBatidas[Início vinculado],0)),1),"")</f>
        <v/>
      </c>
      <c r="K185" s="14" t="str">
        <f>IFERROR((INDEX(tblBatidas[Data e hora],MATCH("B"&amp;MID($A185,2,99),tblBatidas[Início vinculado],0))-INDEX(tblBatidas[Data e hora],MATCH("B"&amp;MID($A185,2,99),tblBatidas[Batida ID],0)))*24,"")</f>
        <v/>
      </c>
      <c r="L185" t="str">
        <f>IFERROR(INDEX(tblBatidas[Observação],MATCH("B"&amp;MID($A185,2,99),tblBatidas[Início vinculado],0)),"")</f>
        <v/>
      </c>
      <c r="M185" t="str">
        <f>IFERROR(INDEX(tblPessoas[Base],MATCH(E185,tblPessoas[ID],0)),"")</f>
        <v/>
      </c>
      <c r="N185" s="3">
        <f>IFERROR(IF(D185="DIA ÚTIL",INDEX(tblPessoas[R$/h útil],MATCH(E185,tblPessoas[ID],0)),INDEX(tblPessoas[R$/h FDS],MATCH(E185,tblPessoas[ID],0))),0)</f>
        <v>0</v>
      </c>
      <c r="O185" s="3">
        <f>IFERROR(INDEX(tblPessoas[R$/diária],MATCH(E185,tblPessoas[ID],0)),0)</f>
        <v>0</v>
      </c>
      <c r="P185" s="3" t="str">
        <f t="shared" si="10"/>
        <v/>
      </c>
      <c r="Q185" t="str">
        <f>IF(A185="","",IF(COUNTIF(tblBatidas[Início vinculado],"B"&amp;MID($A185,2,99))=0,"EM ABERTO",IF(OR(COUNTIF(tblBatidas[Início vinculado],"B"&amp;MID($A185,2,99))&gt;1,K185&lt;0,K185&gt;16,INT(INDEX(tblBatidas[Data e hora],MATCH("B"&amp;MID($A185,2,99),tblBatidas[Início vinculado],0)))&lt;&gt;B185,INDEX(tblBatidas[ID],MATCH("B"&amp;MID($A185,2,99),tblBatidas[Início vinculado],0))&lt;&gt;E185,INDEX(tblBatidas[Projeto],MATCH("B"&amp;MID($A185,2,99),tblBatidas[Início vinculado],0))&lt;&gt;G185,INDEX(tblBatidas[Atividade],MATCH("B"&amp;MID($A185,2,99),tblBatidas[Início vinculado],0))&lt;&gt;H185),"REVISAR","CONCLUÍDO")))</f>
        <v/>
      </c>
      <c r="R185">
        <f>IF(Q185&lt;&gt;"CONCLUÍDO",0,IF(COUNTIFS($E$5:E185,E185,$B$5:B185,B185,$Q$5:Q185,"CONCLUÍDO")=1,1,0))</f>
        <v>0</v>
      </c>
      <c r="S185" t="str">
        <f t="shared" si="11"/>
        <v/>
      </c>
      <c r="T185" t="str">
        <f>IF(E185="","",E185*100000+COUNTIFS(tblRegistros[ID],E185,tblRegistros[Data],"&lt;"&amp;B185)+COUNTIFS(tblRegistros[ID],E185,tblRegistros[Data],B185,tblRegistros[Início],"&lt;"&amp;I185)+COUNTIFS($E$5:E185,E185,$B$5:B185,B185,$I$5:I185,I185))</f>
        <v/>
      </c>
    </row>
    <row r="186" spans="2:20">
      <c r="B186" s="2" t="str">
        <f>IFERROR(INT(INDEX(tblBatidas[Data e hora],MATCH("B"&amp;MID($A186,2,99),tblBatidas[Batida ID],0))),"")</f>
        <v/>
      </c>
      <c r="C186" t="str">
        <f t="shared" si="8"/>
        <v/>
      </c>
      <c r="D186" t="str">
        <f t="shared" si="9"/>
        <v/>
      </c>
      <c r="E186" t="str">
        <f>IFERROR(INDEX(tblBatidas[ID],MATCH("B"&amp;MID($A186,2,99),tblBatidas[Batida ID],0)),"")</f>
        <v/>
      </c>
      <c r="F186" t="str">
        <f>IFERROR(INDEX(tblPessoas[Pessoa],MATCH(E186,tblPessoas[ID],0)),"")</f>
        <v/>
      </c>
      <c r="G186" t="str">
        <f>IFERROR(INDEX(tblBatidas[Projeto],MATCH("B"&amp;MID($A186,2,99),tblBatidas[Batida ID],0)),"")</f>
        <v/>
      </c>
      <c r="H186" t="str">
        <f>IFERROR(INDEX(tblBatidas[Atividade],MATCH("B"&amp;MID($A186,2,99),tblBatidas[Batida ID],0)),"")</f>
        <v/>
      </c>
      <c r="I186" s="4" t="str">
        <f>IFERROR(MOD(INDEX(tblBatidas[Data e hora],MATCH("B"&amp;MID($A186,2,99),tblBatidas[Batida ID],0)),1),"")</f>
        <v/>
      </c>
      <c r="J186" s="4" t="str">
        <f>IFERROR(MOD(INDEX(tblBatidas[Data e hora],MATCH("B"&amp;MID($A186,2,99),tblBatidas[Início vinculado],0)),1),"")</f>
        <v/>
      </c>
      <c r="K186" s="14" t="str">
        <f>IFERROR((INDEX(tblBatidas[Data e hora],MATCH("B"&amp;MID($A186,2,99),tblBatidas[Início vinculado],0))-INDEX(tblBatidas[Data e hora],MATCH("B"&amp;MID($A186,2,99),tblBatidas[Batida ID],0)))*24,"")</f>
        <v/>
      </c>
      <c r="L186" t="str">
        <f>IFERROR(INDEX(tblBatidas[Observação],MATCH("B"&amp;MID($A186,2,99),tblBatidas[Início vinculado],0)),"")</f>
        <v/>
      </c>
      <c r="M186" t="str">
        <f>IFERROR(INDEX(tblPessoas[Base],MATCH(E186,tblPessoas[ID],0)),"")</f>
        <v/>
      </c>
      <c r="N186" s="3">
        <f>IFERROR(IF(D186="DIA ÚTIL",INDEX(tblPessoas[R$/h útil],MATCH(E186,tblPessoas[ID],0)),INDEX(tblPessoas[R$/h FDS],MATCH(E186,tblPessoas[ID],0))),0)</f>
        <v>0</v>
      </c>
      <c r="O186" s="3">
        <f>IFERROR(INDEX(tblPessoas[R$/diária],MATCH(E186,tblPessoas[ID],0)),0)</f>
        <v>0</v>
      </c>
      <c r="P186" s="3" t="str">
        <f t="shared" si="10"/>
        <v/>
      </c>
      <c r="Q186" t="str">
        <f>IF(A186="","",IF(COUNTIF(tblBatidas[Início vinculado],"B"&amp;MID($A186,2,99))=0,"EM ABERTO",IF(OR(COUNTIF(tblBatidas[Início vinculado],"B"&amp;MID($A186,2,99))&gt;1,K186&lt;0,K186&gt;16,INT(INDEX(tblBatidas[Data e hora],MATCH("B"&amp;MID($A186,2,99),tblBatidas[Início vinculado],0)))&lt;&gt;B186,INDEX(tblBatidas[ID],MATCH("B"&amp;MID($A186,2,99),tblBatidas[Início vinculado],0))&lt;&gt;E186,INDEX(tblBatidas[Projeto],MATCH("B"&amp;MID($A186,2,99),tblBatidas[Início vinculado],0))&lt;&gt;G186,INDEX(tblBatidas[Atividade],MATCH("B"&amp;MID($A186,2,99),tblBatidas[Início vinculado],0))&lt;&gt;H186),"REVISAR","CONCLUÍDO")))</f>
        <v/>
      </c>
      <c r="R186">
        <f>IF(Q186&lt;&gt;"CONCLUÍDO",0,IF(COUNTIFS($E$5:E186,E186,$B$5:B186,B186,$Q$5:Q186,"CONCLUÍDO")=1,1,0))</f>
        <v>0</v>
      </c>
      <c r="S186" t="str">
        <f t="shared" si="11"/>
        <v/>
      </c>
      <c r="T186" t="str">
        <f>IF(E186="","",E186*100000+COUNTIFS(tblRegistros[ID],E186,tblRegistros[Data],"&lt;"&amp;B186)+COUNTIFS(tblRegistros[ID],E186,tblRegistros[Data],B186,tblRegistros[Início],"&lt;"&amp;I186)+COUNTIFS($E$5:E186,E186,$B$5:B186,B186,$I$5:I186,I186))</f>
        <v/>
      </c>
    </row>
    <row r="187" spans="2:20">
      <c r="B187" s="2" t="str">
        <f>IFERROR(INT(INDEX(tblBatidas[Data e hora],MATCH("B"&amp;MID($A187,2,99),tblBatidas[Batida ID],0))),"")</f>
        <v/>
      </c>
      <c r="C187" t="str">
        <f t="shared" si="8"/>
        <v/>
      </c>
      <c r="D187" t="str">
        <f t="shared" si="9"/>
        <v/>
      </c>
      <c r="E187" t="str">
        <f>IFERROR(INDEX(tblBatidas[ID],MATCH("B"&amp;MID($A187,2,99),tblBatidas[Batida ID],0)),"")</f>
        <v/>
      </c>
      <c r="F187" t="str">
        <f>IFERROR(INDEX(tblPessoas[Pessoa],MATCH(E187,tblPessoas[ID],0)),"")</f>
        <v/>
      </c>
      <c r="G187" t="str">
        <f>IFERROR(INDEX(tblBatidas[Projeto],MATCH("B"&amp;MID($A187,2,99),tblBatidas[Batida ID],0)),"")</f>
        <v/>
      </c>
      <c r="H187" t="str">
        <f>IFERROR(INDEX(tblBatidas[Atividade],MATCH("B"&amp;MID($A187,2,99),tblBatidas[Batida ID],0)),"")</f>
        <v/>
      </c>
      <c r="I187" s="4" t="str">
        <f>IFERROR(MOD(INDEX(tblBatidas[Data e hora],MATCH("B"&amp;MID($A187,2,99),tblBatidas[Batida ID],0)),1),"")</f>
        <v/>
      </c>
      <c r="J187" s="4" t="str">
        <f>IFERROR(MOD(INDEX(tblBatidas[Data e hora],MATCH("B"&amp;MID($A187,2,99),tblBatidas[Início vinculado],0)),1),"")</f>
        <v/>
      </c>
      <c r="K187" s="14" t="str">
        <f>IFERROR((INDEX(tblBatidas[Data e hora],MATCH("B"&amp;MID($A187,2,99),tblBatidas[Início vinculado],0))-INDEX(tblBatidas[Data e hora],MATCH("B"&amp;MID($A187,2,99),tblBatidas[Batida ID],0)))*24,"")</f>
        <v/>
      </c>
      <c r="L187" t="str">
        <f>IFERROR(INDEX(tblBatidas[Observação],MATCH("B"&amp;MID($A187,2,99),tblBatidas[Início vinculado],0)),"")</f>
        <v/>
      </c>
      <c r="M187" t="str">
        <f>IFERROR(INDEX(tblPessoas[Base],MATCH(E187,tblPessoas[ID],0)),"")</f>
        <v/>
      </c>
      <c r="N187" s="3">
        <f>IFERROR(IF(D187="DIA ÚTIL",INDEX(tblPessoas[R$/h útil],MATCH(E187,tblPessoas[ID],0)),INDEX(tblPessoas[R$/h FDS],MATCH(E187,tblPessoas[ID],0))),0)</f>
        <v>0</v>
      </c>
      <c r="O187" s="3">
        <f>IFERROR(INDEX(tblPessoas[R$/diária],MATCH(E187,tblPessoas[ID],0)),0)</f>
        <v>0</v>
      </c>
      <c r="P187" s="3" t="str">
        <f t="shared" si="10"/>
        <v/>
      </c>
      <c r="Q187" t="str">
        <f>IF(A187="","",IF(COUNTIF(tblBatidas[Início vinculado],"B"&amp;MID($A187,2,99))=0,"EM ABERTO",IF(OR(COUNTIF(tblBatidas[Início vinculado],"B"&amp;MID($A187,2,99))&gt;1,K187&lt;0,K187&gt;16,INT(INDEX(tblBatidas[Data e hora],MATCH("B"&amp;MID($A187,2,99),tblBatidas[Início vinculado],0)))&lt;&gt;B187,INDEX(tblBatidas[ID],MATCH("B"&amp;MID($A187,2,99),tblBatidas[Início vinculado],0))&lt;&gt;E187,INDEX(tblBatidas[Projeto],MATCH("B"&amp;MID($A187,2,99),tblBatidas[Início vinculado],0))&lt;&gt;G187,INDEX(tblBatidas[Atividade],MATCH("B"&amp;MID($A187,2,99),tblBatidas[Início vinculado],0))&lt;&gt;H187),"REVISAR","CONCLUÍDO")))</f>
        <v/>
      </c>
      <c r="R187">
        <f>IF(Q187&lt;&gt;"CONCLUÍDO",0,IF(COUNTIFS($E$5:E187,E187,$B$5:B187,B187,$Q$5:Q187,"CONCLUÍDO")=1,1,0))</f>
        <v>0</v>
      </c>
      <c r="S187" t="str">
        <f t="shared" si="11"/>
        <v/>
      </c>
      <c r="T187" t="str">
        <f>IF(E187="","",E187*100000+COUNTIFS(tblRegistros[ID],E187,tblRegistros[Data],"&lt;"&amp;B187)+COUNTIFS(tblRegistros[ID],E187,tblRegistros[Data],B187,tblRegistros[Início],"&lt;"&amp;I187)+COUNTIFS($E$5:E187,E187,$B$5:B187,B187,$I$5:I187,I187))</f>
        <v/>
      </c>
    </row>
    <row r="188" spans="2:20">
      <c r="B188" s="2" t="str">
        <f>IFERROR(INT(INDEX(tblBatidas[Data e hora],MATCH("B"&amp;MID($A188,2,99),tblBatidas[Batida ID],0))),"")</f>
        <v/>
      </c>
      <c r="C188" t="str">
        <f t="shared" si="8"/>
        <v/>
      </c>
      <c r="D188" t="str">
        <f t="shared" si="9"/>
        <v/>
      </c>
      <c r="E188" t="str">
        <f>IFERROR(INDEX(tblBatidas[ID],MATCH("B"&amp;MID($A188,2,99),tblBatidas[Batida ID],0)),"")</f>
        <v/>
      </c>
      <c r="F188" t="str">
        <f>IFERROR(INDEX(tblPessoas[Pessoa],MATCH(E188,tblPessoas[ID],0)),"")</f>
        <v/>
      </c>
      <c r="G188" t="str">
        <f>IFERROR(INDEX(tblBatidas[Projeto],MATCH("B"&amp;MID($A188,2,99),tblBatidas[Batida ID],0)),"")</f>
        <v/>
      </c>
      <c r="H188" t="str">
        <f>IFERROR(INDEX(tblBatidas[Atividade],MATCH("B"&amp;MID($A188,2,99),tblBatidas[Batida ID],0)),"")</f>
        <v/>
      </c>
      <c r="I188" s="4" t="str">
        <f>IFERROR(MOD(INDEX(tblBatidas[Data e hora],MATCH("B"&amp;MID($A188,2,99),tblBatidas[Batida ID],0)),1),"")</f>
        <v/>
      </c>
      <c r="J188" s="4" t="str">
        <f>IFERROR(MOD(INDEX(tblBatidas[Data e hora],MATCH("B"&amp;MID($A188,2,99),tblBatidas[Início vinculado],0)),1),"")</f>
        <v/>
      </c>
      <c r="K188" s="14" t="str">
        <f>IFERROR((INDEX(tblBatidas[Data e hora],MATCH("B"&amp;MID($A188,2,99),tblBatidas[Início vinculado],0))-INDEX(tblBatidas[Data e hora],MATCH("B"&amp;MID($A188,2,99),tblBatidas[Batida ID],0)))*24,"")</f>
        <v/>
      </c>
      <c r="L188" t="str">
        <f>IFERROR(INDEX(tblBatidas[Observação],MATCH("B"&amp;MID($A188,2,99),tblBatidas[Início vinculado],0)),"")</f>
        <v/>
      </c>
      <c r="M188" t="str">
        <f>IFERROR(INDEX(tblPessoas[Base],MATCH(E188,tblPessoas[ID],0)),"")</f>
        <v/>
      </c>
      <c r="N188" s="3">
        <f>IFERROR(IF(D188="DIA ÚTIL",INDEX(tblPessoas[R$/h útil],MATCH(E188,tblPessoas[ID],0)),INDEX(tblPessoas[R$/h FDS],MATCH(E188,tblPessoas[ID],0))),0)</f>
        <v>0</v>
      </c>
      <c r="O188" s="3">
        <f>IFERROR(INDEX(tblPessoas[R$/diária],MATCH(E188,tblPessoas[ID],0)),0)</f>
        <v>0</v>
      </c>
      <c r="P188" s="3" t="str">
        <f t="shared" si="10"/>
        <v/>
      </c>
      <c r="Q188" t="str">
        <f>IF(A188="","",IF(COUNTIF(tblBatidas[Início vinculado],"B"&amp;MID($A188,2,99))=0,"EM ABERTO",IF(OR(COUNTIF(tblBatidas[Início vinculado],"B"&amp;MID($A188,2,99))&gt;1,K188&lt;0,K188&gt;16,INT(INDEX(tblBatidas[Data e hora],MATCH("B"&amp;MID($A188,2,99),tblBatidas[Início vinculado],0)))&lt;&gt;B188,INDEX(tblBatidas[ID],MATCH("B"&amp;MID($A188,2,99),tblBatidas[Início vinculado],0))&lt;&gt;E188,INDEX(tblBatidas[Projeto],MATCH("B"&amp;MID($A188,2,99),tblBatidas[Início vinculado],0))&lt;&gt;G188,INDEX(tblBatidas[Atividade],MATCH("B"&amp;MID($A188,2,99),tblBatidas[Início vinculado],0))&lt;&gt;H188),"REVISAR","CONCLUÍDO")))</f>
        <v/>
      </c>
      <c r="R188">
        <f>IF(Q188&lt;&gt;"CONCLUÍDO",0,IF(COUNTIFS($E$5:E188,E188,$B$5:B188,B188,$Q$5:Q188,"CONCLUÍDO")=1,1,0))</f>
        <v>0</v>
      </c>
      <c r="S188" t="str">
        <f t="shared" si="11"/>
        <v/>
      </c>
      <c r="T188" t="str">
        <f>IF(E188="","",E188*100000+COUNTIFS(tblRegistros[ID],E188,tblRegistros[Data],"&lt;"&amp;B188)+COUNTIFS(tblRegistros[ID],E188,tblRegistros[Data],B188,tblRegistros[Início],"&lt;"&amp;I188)+COUNTIFS($E$5:E188,E188,$B$5:B188,B188,$I$5:I188,I188))</f>
        <v/>
      </c>
    </row>
    <row r="189" spans="2:20">
      <c r="B189" s="2" t="str">
        <f>IFERROR(INT(INDEX(tblBatidas[Data e hora],MATCH("B"&amp;MID($A189,2,99),tblBatidas[Batida ID],0))),"")</f>
        <v/>
      </c>
      <c r="C189" t="str">
        <f t="shared" si="8"/>
        <v/>
      </c>
      <c r="D189" t="str">
        <f t="shared" si="9"/>
        <v/>
      </c>
      <c r="E189" t="str">
        <f>IFERROR(INDEX(tblBatidas[ID],MATCH("B"&amp;MID($A189,2,99),tblBatidas[Batida ID],0)),"")</f>
        <v/>
      </c>
      <c r="F189" t="str">
        <f>IFERROR(INDEX(tblPessoas[Pessoa],MATCH(E189,tblPessoas[ID],0)),"")</f>
        <v/>
      </c>
      <c r="G189" t="str">
        <f>IFERROR(INDEX(tblBatidas[Projeto],MATCH("B"&amp;MID($A189,2,99),tblBatidas[Batida ID],0)),"")</f>
        <v/>
      </c>
      <c r="H189" t="str">
        <f>IFERROR(INDEX(tblBatidas[Atividade],MATCH("B"&amp;MID($A189,2,99),tblBatidas[Batida ID],0)),"")</f>
        <v/>
      </c>
      <c r="I189" s="4" t="str">
        <f>IFERROR(MOD(INDEX(tblBatidas[Data e hora],MATCH("B"&amp;MID($A189,2,99),tblBatidas[Batida ID],0)),1),"")</f>
        <v/>
      </c>
      <c r="J189" s="4" t="str">
        <f>IFERROR(MOD(INDEX(tblBatidas[Data e hora],MATCH("B"&amp;MID($A189,2,99),tblBatidas[Início vinculado],0)),1),"")</f>
        <v/>
      </c>
      <c r="K189" s="14" t="str">
        <f>IFERROR((INDEX(tblBatidas[Data e hora],MATCH("B"&amp;MID($A189,2,99),tblBatidas[Início vinculado],0))-INDEX(tblBatidas[Data e hora],MATCH("B"&amp;MID($A189,2,99),tblBatidas[Batida ID],0)))*24,"")</f>
        <v/>
      </c>
      <c r="L189" t="str">
        <f>IFERROR(INDEX(tblBatidas[Observação],MATCH("B"&amp;MID($A189,2,99),tblBatidas[Início vinculado],0)),"")</f>
        <v/>
      </c>
      <c r="M189" t="str">
        <f>IFERROR(INDEX(tblPessoas[Base],MATCH(E189,tblPessoas[ID],0)),"")</f>
        <v/>
      </c>
      <c r="N189" s="3">
        <f>IFERROR(IF(D189="DIA ÚTIL",INDEX(tblPessoas[R$/h útil],MATCH(E189,tblPessoas[ID],0)),INDEX(tblPessoas[R$/h FDS],MATCH(E189,tblPessoas[ID],0))),0)</f>
        <v>0</v>
      </c>
      <c r="O189" s="3">
        <f>IFERROR(INDEX(tblPessoas[R$/diária],MATCH(E189,tblPessoas[ID],0)),0)</f>
        <v>0</v>
      </c>
      <c r="P189" s="3" t="str">
        <f t="shared" si="10"/>
        <v/>
      </c>
      <c r="Q189" t="str">
        <f>IF(A189="","",IF(COUNTIF(tblBatidas[Início vinculado],"B"&amp;MID($A189,2,99))=0,"EM ABERTO",IF(OR(COUNTIF(tblBatidas[Início vinculado],"B"&amp;MID($A189,2,99))&gt;1,K189&lt;0,K189&gt;16,INT(INDEX(tblBatidas[Data e hora],MATCH("B"&amp;MID($A189,2,99),tblBatidas[Início vinculado],0)))&lt;&gt;B189,INDEX(tblBatidas[ID],MATCH("B"&amp;MID($A189,2,99),tblBatidas[Início vinculado],0))&lt;&gt;E189,INDEX(tblBatidas[Projeto],MATCH("B"&amp;MID($A189,2,99),tblBatidas[Início vinculado],0))&lt;&gt;G189,INDEX(tblBatidas[Atividade],MATCH("B"&amp;MID($A189,2,99),tblBatidas[Início vinculado],0))&lt;&gt;H189),"REVISAR","CONCLUÍDO")))</f>
        <v/>
      </c>
      <c r="R189">
        <f>IF(Q189&lt;&gt;"CONCLUÍDO",0,IF(COUNTIFS($E$5:E189,E189,$B$5:B189,B189,$Q$5:Q189,"CONCLUÍDO")=1,1,0))</f>
        <v>0</v>
      </c>
      <c r="S189" t="str">
        <f t="shared" si="11"/>
        <v/>
      </c>
      <c r="T189" t="str">
        <f>IF(E189="","",E189*100000+COUNTIFS(tblRegistros[ID],E189,tblRegistros[Data],"&lt;"&amp;B189)+COUNTIFS(tblRegistros[ID],E189,tblRegistros[Data],B189,tblRegistros[Início],"&lt;"&amp;I189)+COUNTIFS($E$5:E189,E189,$B$5:B189,B189,$I$5:I189,I189))</f>
        <v/>
      </c>
    </row>
    <row r="190" spans="2:20">
      <c r="B190" s="2" t="str">
        <f>IFERROR(INT(INDEX(tblBatidas[Data e hora],MATCH("B"&amp;MID($A190,2,99),tblBatidas[Batida ID],0))),"")</f>
        <v/>
      </c>
      <c r="C190" t="str">
        <f t="shared" si="8"/>
        <v/>
      </c>
      <c r="D190" t="str">
        <f t="shared" si="9"/>
        <v/>
      </c>
      <c r="E190" t="str">
        <f>IFERROR(INDEX(tblBatidas[ID],MATCH("B"&amp;MID($A190,2,99),tblBatidas[Batida ID],0)),"")</f>
        <v/>
      </c>
      <c r="F190" t="str">
        <f>IFERROR(INDEX(tblPessoas[Pessoa],MATCH(E190,tblPessoas[ID],0)),"")</f>
        <v/>
      </c>
      <c r="G190" t="str">
        <f>IFERROR(INDEX(tblBatidas[Projeto],MATCH("B"&amp;MID($A190,2,99),tblBatidas[Batida ID],0)),"")</f>
        <v/>
      </c>
      <c r="H190" t="str">
        <f>IFERROR(INDEX(tblBatidas[Atividade],MATCH("B"&amp;MID($A190,2,99),tblBatidas[Batida ID],0)),"")</f>
        <v/>
      </c>
      <c r="I190" s="4" t="str">
        <f>IFERROR(MOD(INDEX(tblBatidas[Data e hora],MATCH("B"&amp;MID($A190,2,99),tblBatidas[Batida ID],0)),1),"")</f>
        <v/>
      </c>
      <c r="J190" s="4" t="str">
        <f>IFERROR(MOD(INDEX(tblBatidas[Data e hora],MATCH("B"&amp;MID($A190,2,99),tblBatidas[Início vinculado],0)),1),"")</f>
        <v/>
      </c>
      <c r="K190" s="14" t="str">
        <f>IFERROR((INDEX(tblBatidas[Data e hora],MATCH("B"&amp;MID($A190,2,99),tblBatidas[Início vinculado],0))-INDEX(tblBatidas[Data e hora],MATCH("B"&amp;MID($A190,2,99),tblBatidas[Batida ID],0)))*24,"")</f>
        <v/>
      </c>
      <c r="L190" t="str">
        <f>IFERROR(INDEX(tblBatidas[Observação],MATCH("B"&amp;MID($A190,2,99),tblBatidas[Início vinculado],0)),"")</f>
        <v/>
      </c>
      <c r="M190" t="str">
        <f>IFERROR(INDEX(tblPessoas[Base],MATCH(E190,tblPessoas[ID],0)),"")</f>
        <v/>
      </c>
      <c r="N190" s="3">
        <f>IFERROR(IF(D190="DIA ÚTIL",INDEX(tblPessoas[R$/h útil],MATCH(E190,tblPessoas[ID],0)),INDEX(tblPessoas[R$/h FDS],MATCH(E190,tblPessoas[ID],0))),0)</f>
        <v>0</v>
      </c>
      <c r="O190" s="3">
        <f>IFERROR(INDEX(tblPessoas[R$/diária],MATCH(E190,tblPessoas[ID],0)),0)</f>
        <v>0</v>
      </c>
      <c r="P190" s="3" t="str">
        <f t="shared" si="10"/>
        <v/>
      </c>
      <c r="Q190" t="str">
        <f>IF(A190="","",IF(COUNTIF(tblBatidas[Início vinculado],"B"&amp;MID($A190,2,99))=0,"EM ABERTO",IF(OR(COUNTIF(tblBatidas[Início vinculado],"B"&amp;MID($A190,2,99))&gt;1,K190&lt;0,K190&gt;16,INT(INDEX(tblBatidas[Data e hora],MATCH("B"&amp;MID($A190,2,99),tblBatidas[Início vinculado],0)))&lt;&gt;B190,INDEX(tblBatidas[ID],MATCH("B"&amp;MID($A190,2,99),tblBatidas[Início vinculado],0))&lt;&gt;E190,INDEX(tblBatidas[Projeto],MATCH("B"&amp;MID($A190,2,99),tblBatidas[Início vinculado],0))&lt;&gt;G190,INDEX(tblBatidas[Atividade],MATCH("B"&amp;MID($A190,2,99),tblBatidas[Início vinculado],0))&lt;&gt;H190),"REVISAR","CONCLUÍDO")))</f>
        <v/>
      </c>
      <c r="R190">
        <f>IF(Q190&lt;&gt;"CONCLUÍDO",0,IF(COUNTIFS($E$5:E190,E190,$B$5:B190,B190,$Q$5:Q190,"CONCLUÍDO")=1,1,0))</f>
        <v>0</v>
      </c>
      <c r="S190" t="str">
        <f t="shared" si="11"/>
        <v/>
      </c>
      <c r="T190" t="str">
        <f>IF(E190="","",E190*100000+COUNTIFS(tblRegistros[ID],E190,tblRegistros[Data],"&lt;"&amp;B190)+COUNTIFS(tblRegistros[ID],E190,tblRegistros[Data],B190,tblRegistros[Início],"&lt;"&amp;I190)+COUNTIFS($E$5:E190,E190,$B$5:B190,B190,$I$5:I190,I190))</f>
        <v/>
      </c>
    </row>
    <row r="191" spans="2:20">
      <c r="B191" s="2" t="str">
        <f>IFERROR(INT(INDEX(tblBatidas[Data e hora],MATCH("B"&amp;MID($A191,2,99),tblBatidas[Batida ID],0))),"")</f>
        <v/>
      </c>
      <c r="C191" t="str">
        <f t="shared" si="8"/>
        <v/>
      </c>
      <c r="D191" t="str">
        <f t="shared" si="9"/>
        <v/>
      </c>
      <c r="E191" t="str">
        <f>IFERROR(INDEX(tblBatidas[ID],MATCH("B"&amp;MID($A191,2,99),tblBatidas[Batida ID],0)),"")</f>
        <v/>
      </c>
      <c r="F191" t="str">
        <f>IFERROR(INDEX(tblPessoas[Pessoa],MATCH(E191,tblPessoas[ID],0)),"")</f>
        <v/>
      </c>
      <c r="G191" t="str">
        <f>IFERROR(INDEX(tblBatidas[Projeto],MATCH("B"&amp;MID($A191,2,99),tblBatidas[Batida ID],0)),"")</f>
        <v/>
      </c>
      <c r="H191" t="str">
        <f>IFERROR(INDEX(tblBatidas[Atividade],MATCH("B"&amp;MID($A191,2,99),tblBatidas[Batida ID],0)),"")</f>
        <v/>
      </c>
      <c r="I191" s="4" t="str">
        <f>IFERROR(MOD(INDEX(tblBatidas[Data e hora],MATCH("B"&amp;MID($A191,2,99),tblBatidas[Batida ID],0)),1),"")</f>
        <v/>
      </c>
      <c r="J191" s="4" t="str">
        <f>IFERROR(MOD(INDEX(tblBatidas[Data e hora],MATCH("B"&amp;MID($A191,2,99),tblBatidas[Início vinculado],0)),1),"")</f>
        <v/>
      </c>
      <c r="K191" s="14" t="str">
        <f>IFERROR((INDEX(tblBatidas[Data e hora],MATCH("B"&amp;MID($A191,2,99),tblBatidas[Início vinculado],0))-INDEX(tblBatidas[Data e hora],MATCH("B"&amp;MID($A191,2,99),tblBatidas[Batida ID],0)))*24,"")</f>
        <v/>
      </c>
      <c r="L191" t="str">
        <f>IFERROR(INDEX(tblBatidas[Observação],MATCH("B"&amp;MID($A191,2,99),tblBatidas[Início vinculado],0)),"")</f>
        <v/>
      </c>
      <c r="M191" t="str">
        <f>IFERROR(INDEX(tblPessoas[Base],MATCH(E191,tblPessoas[ID],0)),"")</f>
        <v/>
      </c>
      <c r="N191" s="3">
        <f>IFERROR(IF(D191="DIA ÚTIL",INDEX(tblPessoas[R$/h útil],MATCH(E191,tblPessoas[ID],0)),INDEX(tblPessoas[R$/h FDS],MATCH(E191,tblPessoas[ID],0))),0)</f>
        <v>0</v>
      </c>
      <c r="O191" s="3">
        <f>IFERROR(INDEX(tblPessoas[R$/diária],MATCH(E191,tblPessoas[ID],0)),0)</f>
        <v>0</v>
      </c>
      <c r="P191" s="3" t="str">
        <f t="shared" si="10"/>
        <v/>
      </c>
      <c r="Q191" t="str">
        <f>IF(A191="","",IF(COUNTIF(tblBatidas[Início vinculado],"B"&amp;MID($A191,2,99))=0,"EM ABERTO",IF(OR(COUNTIF(tblBatidas[Início vinculado],"B"&amp;MID($A191,2,99))&gt;1,K191&lt;0,K191&gt;16,INT(INDEX(tblBatidas[Data e hora],MATCH("B"&amp;MID($A191,2,99),tblBatidas[Início vinculado],0)))&lt;&gt;B191,INDEX(tblBatidas[ID],MATCH("B"&amp;MID($A191,2,99),tblBatidas[Início vinculado],0))&lt;&gt;E191,INDEX(tblBatidas[Projeto],MATCH("B"&amp;MID($A191,2,99),tblBatidas[Início vinculado],0))&lt;&gt;G191,INDEX(tblBatidas[Atividade],MATCH("B"&amp;MID($A191,2,99),tblBatidas[Início vinculado],0))&lt;&gt;H191),"REVISAR","CONCLUÍDO")))</f>
        <v/>
      </c>
      <c r="R191">
        <f>IF(Q191&lt;&gt;"CONCLUÍDO",0,IF(COUNTIFS($E$5:E191,E191,$B$5:B191,B191,$Q$5:Q191,"CONCLUÍDO")=1,1,0))</f>
        <v>0</v>
      </c>
      <c r="S191" t="str">
        <f t="shared" si="11"/>
        <v/>
      </c>
      <c r="T191" t="str">
        <f>IF(E191="","",E191*100000+COUNTIFS(tblRegistros[ID],E191,tblRegistros[Data],"&lt;"&amp;B191)+COUNTIFS(tblRegistros[ID],E191,tblRegistros[Data],B191,tblRegistros[Início],"&lt;"&amp;I191)+COUNTIFS($E$5:E191,E191,$B$5:B191,B191,$I$5:I191,I191))</f>
        <v/>
      </c>
    </row>
    <row r="192" spans="2:20">
      <c r="B192" s="2" t="str">
        <f>IFERROR(INT(INDEX(tblBatidas[Data e hora],MATCH("B"&amp;MID($A192,2,99),tblBatidas[Batida ID],0))),"")</f>
        <v/>
      </c>
      <c r="C192" t="str">
        <f t="shared" si="8"/>
        <v/>
      </c>
      <c r="D192" t="str">
        <f t="shared" si="9"/>
        <v/>
      </c>
      <c r="E192" t="str">
        <f>IFERROR(INDEX(tblBatidas[ID],MATCH("B"&amp;MID($A192,2,99),tblBatidas[Batida ID],0)),"")</f>
        <v/>
      </c>
      <c r="F192" t="str">
        <f>IFERROR(INDEX(tblPessoas[Pessoa],MATCH(E192,tblPessoas[ID],0)),"")</f>
        <v/>
      </c>
      <c r="G192" t="str">
        <f>IFERROR(INDEX(tblBatidas[Projeto],MATCH("B"&amp;MID($A192,2,99),tblBatidas[Batida ID],0)),"")</f>
        <v/>
      </c>
      <c r="H192" t="str">
        <f>IFERROR(INDEX(tblBatidas[Atividade],MATCH("B"&amp;MID($A192,2,99),tblBatidas[Batida ID],0)),"")</f>
        <v/>
      </c>
      <c r="I192" s="4" t="str">
        <f>IFERROR(MOD(INDEX(tblBatidas[Data e hora],MATCH("B"&amp;MID($A192,2,99),tblBatidas[Batida ID],0)),1),"")</f>
        <v/>
      </c>
      <c r="J192" s="4" t="str">
        <f>IFERROR(MOD(INDEX(tblBatidas[Data e hora],MATCH("B"&amp;MID($A192,2,99),tblBatidas[Início vinculado],0)),1),"")</f>
        <v/>
      </c>
      <c r="K192" s="14" t="str">
        <f>IFERROR((INDEX(tblBatidas[Data e hora],MATCH("B"&amp;MID($A192,2,99),tblBatidas[Início vinculado],0))-INDEX(tblBatidas[Data e hora],MATCH("B"&amp;MID($A192,2,99),tblBatidas[Batida ID],0)))*24,"")</f>
        <v/>
      </c>
      <c r="L192" t="str">
        <f>IFERROR(INDEX(tblBatidas[Observação],MATCH("B"&amp;MID($A192,2,99),tblBatidas[Início vinculado],0)),"")</f>
        <v/>
      </c>
      <c r="M192" t="str">
        <f>IFERROR(INDEX(tblPessoas[Base],MATCH(E192,tblPessoas[ID],0)),"")</f>
        <v/>
      </c>
      <c r="N192" s="3">
        <f>IFERROR(IF(D192="DIA ÚTIL",INDEX(tblPessoas[R$/h útil],MATCH(E192,tblPessoas[ID],0)),INDEX(tblPessoas[R$/h FDS],MATCH(E192,tblPessoas[ID],0))),0)</f>
        <v>0</v>
      </c>
      <c r="O192" s="3">
        <f>IFERROR(INDEX(tblPessoas[R$/diária],MATCH(E192,tblPessoas[ID],0)),0)</f>
        <v>0</v>
      </c>
      <c r="P192" s="3" t="str">
        <f t="shared" si="10"/>
        <v/>
      </c>
      <c r="Q192" t="str">
        <f>IF(A192="","",IF(COUNTIF(tblBatidas[Início vinculado],"B"&amp;MID($A192,2,99))=0,"EM ABERTO",IF(OR(COUNTIF(tblBatidas[Início vinculado],"B"&amp;MID($A192,2,99))&gt;1,K192&lt;0,K192&gt;16,INT(INDEX(tblBatidas[Data e hora],MATCH("B"&amp;MID($A192,2,99),tblBatidas[Início vinculado],0)))&lt;&gt;B192,INDEX(tblBatidas[ID],MATCH("B"&amp;MID($A192,2,99),tblBatidas[Início vinculado],0))&lt;&gt;E192,INDEX(tblBatidas[Projeto],MATCH("B"&amp;MID($A192,2,99),tblBatidas[Início vinculado],0))&lt;&gt;G192,INDEX(tblBatidas[Atividade],MATCH("B"&amp;MID($A192,2,99),tblBatidas[Início vinculado],0))&lt;&gt;H192),"REVISAR","CONCLUÍDO")))</f>
        <v/>
      </c>
      <c r="R192">
        <f>IF(Q192&lt;&gt;"CONCLUÍDO",0,IF(COUNTIFS($E$5:E192,E192,$B$5:B192,B192,$Q$5:Q192,"CONCLUÍDO")=1,1,0))</f>
        <v>0</v>
      </c>
      <c r="S192" t="str">
        <f t="shared" si="11"/>
        <v/>
      </c>
      <c r="T192" t="str">
        <f>IF(E192="","",E192*100000+COUNTIFS(tblRegistros[ID],E192,tblRegistros[Data],"&lt;"&amp;B192)+COUNTIFS(tblRegistros[ID],E192,tblRegistros[Data],B192,tblRegistros[Início],"&lt;"&amp;I192)+COUNTIFS($E$5:E192,E192,$B$5:B192,B192,$I$5:I192,I192))</f>
        <v/>
      </c>
    </row>
    <row r="193" spans="2:20">
      <c r="B193" s="2" t="str">
        <f>IFERROR(INT(INDEX(tblBatidas[Data e hora],MATCH("B"&amp;MID($A193,2,99),tblBatidas[Batida ID],0))),"")</f>
        <v/>
      </c>
      <c r="C193" t="str">
        <f t="shared" si="8"/>
        <v/>
      </c>
      <c r="D193" t="str">
        <f t="shared" si="9"/>
        <v/>
      </c>
      <c r="E193" t="str">
        <f>IFERROR(INDEX(tblBatidas[ID],MATCH("B"&amp;MID($A193,2,99),tblBatidas[Batida ID],0)),"")</f>
        <v/>
      </c>
      <c r="F193" t="str">
        <f>IFERROR(INDEX(tblPessoas[Pessoa],MATCH(E193,tblPessoas[ID],0)),"")</f>
        <v/>
      </c>
      <c r="G193" t="str">
        <f>IFERROR(INDEX(tblBatidas[Projeto],MATCH("B"&amp;MID($A193,2,99),tblBatidas[Batida ID],0)),"")</f>
        <v/>
      </c>
      <c r="H193" t="str">
        <f>IFERROR(INDEX(tblBatidas[Atividade],MATCH("B"&amp;MID($A193,2,99),tblBatidas[Batida ID],0)),"")</f>
        <v/>
      </c>
      <c r="I193" s="4" t="str">
        <f>IFERROR(MOD(INDEX(tblBatidas[Data e hora],MATCH("B"&amp;MID($A193,2,99),tblBatidas[Batida ID],0)),1),"")</f>
        <v/>
      </c>
      <c r="J193" s="4" t="str">
        <f>IFERROR(MOD(INDEX(tblBatidas[Data e hora],MATCH("B"&amp;MID($A193,2,99),tblBatidas[Início vinculado],0)),1),"")</f>
        <v/>
      </c>
      <c r="K193" s="14" t="str">
        <f>IFERROR((INDEX(tblBatidas[Data e hora],MATCH("B"&amp;MID($A193,2,99),tblBatidas[Início vinculado],0))-INDEX(tblBatidas[Data e hora],MATCH("B"&amp;MID($A193,2,99),tblBatidas[Batida ID],0)))*24,"")</f>
        <v/>
      </c>
      <c r="L193" t="str">
        <f>IFERROR(INDEX(tblBatidas[Observação],MATCH("B"&amp;MID($A193,2,99),tblBatidas[Início vinculado],0)),"")</f>
        <v/>
      </c>
      <c r="M193" t="str">
        <f>IFERROR(INDEX(tblPessoas[Base],MATCH(E193,tblPessoas[ID],0)),"")</f>
        <v/>
      </c>
      <c r="N193" s="3">
        <f>IFERROR(IF(D193="DIA ÚTIL",INDEX(tblPessoas[R$/h útil],MATCH(E193,tblPessoas[ID],0)),INDEX(tblPessoas[R$/h FDS],MATCH(E193,tblPessoas[ID],0))),0)</f>
        <v>0</v>
      </c>
      <c r="O193" s="3">
        <f>IFERROR(INDEX(tblPessoas[R$/diária],MATCH(E193,tblPessoas[ID],0)),0)</f>
        <v>0</v>
      </c>
      <c r="P193" s="3" t="str">
        <f t="shared" si="10"/>
        <v/>
      </c>
      <c r="Q193" t="str">
        <f>IF(A193="","",IF(COUNTIF(tblBatidas[Início vinculado],"B"&amp;MID($A193,2,99))=0,"EM ABERTO",IF(OR(COUNTIF(tblBatidas[Início vinculado],"B"&amp;MID($A193,2,99))&gt;1,K193&lt;0,K193&gt;16,INT(INDEX(tblBatidas[Data e hora],MATCH("B"&amp;MID($A193,2,99),tblBatidas[Início vinculado],0)))&lt;&gt;B193,INDEX(tblBatidas[ID],MATCH("B"&amp;MID($A193,2,99),tblBatidas[Início vinculado],0))&lt;&gt;E193,INDEX(tblBatidas[Projeto],MATCH("B"&amp;MID($A193,2,99),tblBatidas[Início vinculado],0))&lt;&gt;G193,INDEX(tblBatidas[Atividade],MATCH("B"&amp;MID($A193,2,99),tblBatidas[Início vinculado],0))&lt;&gt;H193),"REVISAR","CONCLUÍDO")))</f>
        <v/>
      </c>
      <c r="R193">
        <f>IF(Q193&lt;&gt;"CONCLUÍDO",0,IF(COUNTIFS($E$5:E193,E193,$B$5:B193,B193,$Q$5:Q193,"CONCLUÍDO")=1,1,0))</f>
        <v>0</v>
      </c>
      <c r="S193" t="str">
        <f t="shared" si="11"/>
        <v/>
      </c>
      <c r="T193" t="str">
        <f>IF(E193="","",E193*100000+COUNTIFS(tblRegistros[ID],E193,tblRegistros[Data],"&lt;"&amp;B193)+COUNTIFS(tblRegistros[ID],E193,tblRegistros[Data],B193,tblRegistros[Início],"&lt;"&amp;I193)+COUNTIFS($E$5:E193,E193,$B$5:B193,B193,$I$5:I193,I193))</f>
        <v/>
      </c>
    </row>
    <row r="194" spans="2:20">
      <c r="B194" s="2" t="str">
        <f>IFERROR(INT(INDEX(tblBatidas[Data e hora],MATCH("B"&amp;MID($A194,2,99),tblBatidas[Batida ID],0))),"")</f>
        <v/>
      </c>
      <c r="C194" t="str">
        <f t="shared" si="8"/>
        <v/>
      </c>
      <c r="D194" t="str">
        <f t="shared" si="9"/>
        <v/>
      </c>
      <c r="E194" t="str">
        <f>IFERROR(INDEX(tblBatidas[ID],MATCH("B"&amp;MID($A194,2,99),tblBatidas[Batida ID],0)),"")</f>
        <v/>
      </c>
      <c r="F194" t="str">
        <f>IFERROR(INDEX(tblPessoas[Pessoa],MATCH(E194,tblPessoas[ID],0)),"")</f>
        <v/>
      </c>
      <c r="G194" t="str">
        <f>IFERROR(INDEX(tblBatidas[Projeto],MATCH("B"&amp;MID($A194,2,99),tblBatidas[Batida ID],0)),"")</f>
        <v/>
      </c>
      <c r="H194" t="str">
        <f>IFERROR(INDEX(tblBatidas[Atividade],MATCH("B"&amp;MID($A194,2,99),tblBatidas[Batida ID],0)),"")</f>
        <v/>
      </c>
      <c r="I194" s="4" t="str">
        <f>IFERROR(MOD(INDEX(tblBatidas[Data e hora],MATCH("B"&amp;MID($A194,2,99),tblBatidas[Batida ID],0)),1),"")</f>
        <v/>
      </c>
      <c r="J194" s="4" t="str">
        <f>IFERROR(MOD(INDEX(tblBatidas[Data e hora],MATCH("B"&amp;MID($A194,2,99),tblBatidas[Início vinculado],0)),1),"")</f>
        <v/>
      </c>
      <c r="K194" s="14" t="str">
        <f>IFERROR((INDEX(tblBatidas[Data e hora],MATCH("B"&amp;MID($A194,2,99),tblBatidas[Início vinculado],0))-INDEX(tblBatidas[Data e hora],MATCH("B"&amp;MID($A194,2,99),tblBatidas[Batida ID],0)))*24,"")</f>
        <v/>
      </c>
      <c r="L194" t="str">
        <f>IFERROR(INDEX(tblBatidas[Observação],MATCH("B"&amp;MID($A194,2,99),tblBatidas[Início vinculado],0)),"")</f>
        <v/>
      </c>
      <c r="M194" t="str">
        <f>IFERROR(INDEX(tblPessoas[Base],MATCH(E194,tblPessoas[ID],0)),"")</f>
        <v/>
      </c>
      <c r="N194" s="3">
        <f>IFERROR(IF(D194="DIA ÚTIL",INDEX(tblPessoas[R$/h útil],MATCH(E194,tblPessoas[ID],0)),INDEX(tblPessoas[R$/h FDS],MATCH(E194,tblPessoas[ID],0))),0)</f>
        <v>0</v>
      </c>
      <c r="O194" s="3">
        <f>IFERROR(INDEX(tblPessoas[R$/diária],MATCH(E194,tblPessoas[ID],0)),0)</f>
        <v>0</v>
      </c>
      <c r="P194" s="3" t="str">
        <f t="shared" si="10"/>
        <v/>
      </c>
      <c r="Q194" t="str">
        <f>IF(A194="","",IF(COUNTIF(tblBatidas[Início vinculado],"B"&amp;MID($A194,2,99))=0,"EM ABERTO",IF(OR(COUNTIF(tblBatidas[Início vinculado],"B"&amp;MID($A194,2,99))&gt;1,K194&lt;0,K194&gt;16,INT(INDEX(tblBatidas[Data e hora],MATCH("B"&amp;MID($A194,2,99),tblBatidas[Início vinculado],0)))&lt;&gt;B194,INDEX(tblBatidas[ID],MATCH("B"&amp;MID($A194,2,99),tblBatidas[Início vinculado],0))&lt;&gt;E194,INDEX(tblBatidas[Projeto],MATCH("B"&amp;MID($A194,2,99),tblBatidas[Início vinculado],0))&lt;&gt;G194,INDEX(tblBatidas[Atividade],MATCH("B"&amp;MID($A194,2,99),tblBatidas[Início vinculado],0))&lt;&gt;H194),"REVISAR","CONCLUÍDO")))</f>
        <v/>
      </c>
      <c r="R194">
        <f>IF(Q194&lt;&gt;"CONCLUÍDO",0,IF(COUNTIFS($E$5:E194,E194,$B$5:B194,B194,$Q$5:Q194,"CONCLUÍDO")=1,1,0))</f>
        <v>0</v>
      </c>
      <c r="S194" t="str">
        <f t="shared" si="11"/>
        <v/>
      </c>
      <c r="T194" t="str">
        <f>IF(E194="","",E194*100000+COUNTIFS(tblRegistros[ID],E194,tblRegistros[Data],"&lt;"&amp;B194)+COUNTIFS(tblRegistros[ID],E194,tblRegistros[Data],B194,tblRegistros[Início],"&lt;"&amp;I194)+COUNTIFS($E$5:E194,E194,$B$5:B194,B194,$I$5:I194,I194))</f>
        <v/>
      </c>
    </row>
    <row r="195" spans="2:20">
      <c r="B195" s="2" t="str">
        <f>IFERROR(INT(INDEX(tblBatidas[Data e hora],MATCH("B"&amp;MID($A195,2,99),tblBatidas[Batida ID],0))),"")</f>
        <v/>
      </c>
      <c r="C195" t="str">
        <f t="shared" si="8"/>
        <v/>
      </c>
      <c r="D195" t="str">
        <f t="shared" si="9"/>
        <v/>
      </c>
      <c r="E195" t="str">
        <f>IFERROR(INDEX(tblBatidas[ID],MATCH("B"&amp;MID($A195,2,99),tblBatidas[Batida ID],0)),"")</f>
        <v/>
      </c>
      <c r="F195" t="str">
        <f>IFERROR(INDEX(tblPessoas[Pessoa],MATCH(E195,tblPessoas[ID],0)),"")</f>
        <v/>
      </c>
      <c r="G195" t="str">
        <f>IFERROR(INDEX(tblBatidas[Projeto],MATCH("B"&amp;MID($A195,2,99),tblBatidas[Batida ID],0)),"")</f>
        <v/>
      </c>
      <c r="H195" t="str">
        <f>IFERROR(INDEX(tblBatidas[Atividade],MATCH("B"&amp;MID($A195,2,99),tblBatidas[Batida ID],0)),"")</f>
        <v/>
      </c>
      <c r="I195" s="4" t="str">
        <f>IFERROR(MOD(INDEX(tblBatidas[Data e hora],MATCH("B"&amp;MID($A195,2,99),tblBatidas[Batida ID],0)),1),"")</f>
        <v/>
      </c>
      <c r="J195" s="4" t="str">
        <f>IFERROR(MOD(INDEX(tblBatidas[Data e hora],MATCH("B"&amp;MID($A195,2,99),tblBatidas[Início vinculado],0)),1),"")</f>
        <v/>
      </c>
      <c r="K195" s="14" t="str">
        <f>IFERROR((INDEX(tblBatidas[Data e hora],MATCH("B"&amp;MID($A195,2,99),tblBatidas[Início vinculado],0))-INDEX(tblBatidas[Data e hora],MATCH("B"&amp;MID($A195,2,99),tblBatidas[Batida ID],0)))*24,"")</f>
        <v/>
      </c>
      <c r="L195" t="str">
        <f>IFERROR(INDEX(tblBatidas[Observação],MATCH("B"&amp;MID($A195,2,99),tblBatidas[Início vinculado],0)),"")</f>
        <v/>
      </c>
      <c r="M195" t="str">
        <f>IFERROR(INDEX(tblPessoas[Base],MATCH(E195,tblPessoas[ID],0)),"")</f>
        <v/>
      </c>
      <c r="N195" s="3">
        <f>IFERROR(IF(D195="DIA ÚTIL",INDEX(tblPessoas[R$/h útil],MATCH(E195,tblPessoas[ID],0)),INDEX(tblPessoas[R$/h FDS],MATCH(E195,tblPessoas[ID],0))),0)</f>
        <v>0</v>
      </c>
      <c r="O195" s="3">
        <f>IFERROR(INDEX(tblPessoas[R$/diária],MATCH(E195,tblPessoas[ID],0)),0)</f>
        <v>0</v>
      </c>
      <c r="P195" s="3" t="str">
        <f t="shared" si="10"/>
        <v/>
      </c>
      <c r="Q195" t="str">
        <f>IF(A195="","",IF(COUNTIF(tblBatidas[Início vinculado],"B"&amp;MID($A195,2,99))=0,"EM ABERTO",IF(OR(COUNTIF(tblBatidas[Início vinculado],"B"&amp;MID($A195,2,99))&gt;1,K195&lt;0,K195&gt;16,INT(INDEX(tblBatidas[Data e hora],MATCH("B"&amp;MID($A195,2,99),tblBatidas[Início vinculado],0)))&lt;&gt;B195,INDEX(tblBatidas[ID],MATCH("B"&amp;MID($A195,2,99),tblBatidas[Início vinculado],0))&lt;&gt;E195,INDEX(tblBatidas[Projeto],MATCH("B"&amp;MID($A195,2,99),tblBatidas[Início vinculado],0))&lt;&gt;G195,INDEX(tblBatidas[Atividade],MATCH("B"&amp;MID($A195,2,99),tblBatidas[Início vinculado],0))&lt;&gt;H195),"REVISAR","CONCLUÍDO")))</f>
        <v/>
      </c>
      <c r="R195">
        <f>IF(Q195&lt;&gt;"CONCLUÍDO",0,IF(COUNTIFS($E$5:E195,E195,$B$5:B195,B195,$Q$5:Q195,"CONCLUÍDO")=1,1,0))</f>
        <v>0</v>
      </c>
      <c r="S195" t="str">
        <f t="shared" si="11"/>
        <v/>
      </c>
      <c r="T195" t="str">
        <f>IF(E195="","",E195*100000+COUNTIFS(tblRegistros[ID],E195,tblRegistros[Data],"&lt;"&amp;B195)+COUNTIFS(tblRegistros[ID],E195,tblRegistros[Data],B195,tblRegistros[Início],"&lt;"&amp;I195)+COUNTIFS($E$5:E195,E195,$B$5:B195,B195,$I$5:I195,I195))</f>
        <v/>
      </c>
    </row>
    <row r="196" spans="2:20">
      <c r="B196" s="2" t="str">
        <f>IFERROR(INT(INDEX(tblBatidas[Data e hora],MATCH("B"&amp;MID($A196,2,99),tblBatidas[Batida ID],0))),"")</f>
        <v/>
      </c>
      <c r="C196" t="str">
        <f t="shared" si="8"/>
        <v/>
      </c>
      <c r="D196" t="str">
        <f t="shared" si="9"/>
        <v/>
      </c>
      <c r="E196" t="str">
        <f>IFERROR(INDEX(tblBatidas[ID],MATCH("B"&amp;MID($A196,2,99),tblBatidas[Batida ID],0)),"")</f>
        <v/>
      </c>
      <c r="F196" t="str">
        <f>IFERROR(INDEX(tblPessoas[Pessoa],MATCH(E196,tblPessoas[ID],0)),"")</f>
        <v/>
      </c>
      <c r="G196" t="str">
        <f>IFERROR(INDEX(tblBatidas[Projeto],MATCH("B"&amp;MID($A196,2,99),tblBatidas[Batida ID],0)),"")</f>
        <v/>
      </c>
      <c r="H196" t="str">
        <f>IFERROR(INDEX(tblBatidas[Atividade],MATCH("B"&amp;MID($A196,2,99),tblBatidas[Batida ID],0)),"")</f>
        <v/>
      </c>
      <c r="I196" s="4" t="str">
        <f>IFERROR(MOD(INDEX(tblBatidas[Data e hora],MATCH("B"&amp;MID($A196,2,99),tblBatidas[Batida ID],0)),1),"")</f>
        <v/>
      </c>
      <c r="J196" s="4" t="str">
        <f>IFERROR(MOD(INDEX(tblBatidas[Data e hora],MATCH("B"&amp;MID($A196,2,99),tblBatidas[Início vinculado],0)),1),"")</f>
        <v/>
      </c>
      <c r="K196" s="14" t="str">
        <f>IFERROR((INDEX(tblBatidas[Data e hora],MATCH("B"&amp;MID($A196,2,99),tblBatidas[Início vinculado],0))-INDEX(tblBatidas[Data e hora],MATCH("B"&amp;MID($A196,2,99),tblBatidas[Batida ID],0)))*24,"")</f>
        <v/>
      </c>
      <c r="L196" t="str">
        <f>IFERROR(INDEX(tblBatidas[Observação],MATCH("B"&amp;MID($A196,2,99),tblBatidas[Início vinculado],0)),"")</f>
        <v/>
      </c>
      <c r="M196" t="str">
        <f>IFERROR(INDEX(tblPessoas[Base],MATCH(E196,tblPessoas[ID],0)),"")</f>
        <v/>
      </c>
      <c r="N196" s="3">
        <f>IFERROR(IF(D196="DIA ÚTIL",INDEX(tblPessoas[R$/h útil],MATCH(E196,tblPessoas[ID],0)),INDEX(tblPessoas[R$/h FDS],MATCH(E196,tblPessoas[ID],0))),0)</f>
        <v>0</v>
      </c>
      <c r="O196" s="3">
        <f>IFERROR(INDEX(tblPessoas[R$/diária],MATCH(E196,tblPessoas[ID],0)),0)</f>
        <v>0</v>
      </c>
      <c r="P196" s="3" t="str">
        <f t="shared" si="10"/>
        <v/>
      </c>
      <c r="Q196" t="str">
        <f>IF(A196="","",IF(COUNTIF(tblBatidas[Início vinculado],"B"&amp;MID($A196,2,99))=0,"EM ABERTO",IF(OR(COUNTIF(tblBatidas[Início vinculado],"B"&amp;MID($A196,2,99))&gt;1,K196&lt;0,K196&gt;16,INT(INDEX(tblBatidas[Data e hora],MATCH("B"&amp;MID($A196,2,99),tblBatidas[Início vinculado],0)))&lt;&gt;B196,INDEX(tblBatidas[ID],MATCH("B"&amp;MID($A196,2,99),tblBatidas[Início vinculado],0))&lt;&gt;E196,INDEX(tblBatidas[Projeto],MATCH("B"&amp;MID($A196,2,99),tblBatidas[Início vinculado],0))&lt;&gt;G196,INDEX(tblBatidas[Atividade],MATCH("B"&amp;MID($A196,2,99),tblBatidas[Início vinculado],0))&lt;&gt;H196),"REVISAR","CONCLUÍDO")))</f>
        <v/>
      </c>
      <c r="R196">
        <f>IF(Q196&lt;&gt;"CONCLUÍDO",0,IF(COUNTIFS($E$5:E196,E196,$B$5:B196,B196,$Q$5:Q196,"CONCLUÍDO")=1,1,0))</f>
        <v>0</v>
      </c>
      <c r="S196" t="str">
        <f t="shared" si="11"/>
        <v/>
      </c>
      <c r="T196" t="str">
        <f>IF(E196="","",E196*100000+COUNTIFS(tblRegistros[ID],E196,tblRegistros[Data],"&lt;"&amp;B196)+COUNTIFS(tblRegistros[ID],E196,tblRegistros[Data],B196,tblRegistros[Início],"&lt;"&amp;I196)+COUNTIFS($E$5:E196,E196,$B$5:B196,B196,$I$5:I196,I196))</f>
        <v/>
      </c>
    </row>
    <row r="197" spans="2:20">
      <c r="B197" s="2" t="str">
        <f>IFERROR(INT(INDEX(tblBatidas[Data e hora],MATCH("B"&amp;MID($A197,2,99),tblBatidas[Batida ID],0))),"")</f>
        <v/>
      </c>
      <c r="C197" t="str">
        <f t="shared" ref="C197:C260" si="12">IF(B197="","",CHOOSE(WEEKDAY(B197,2),"SEGUNDA-FEIRA","TERÇA-FEIRA","QUARTA-FEIRA","QUINTA-FEIRA","SEXTA-FEIRA","SÁBADO","DOMINGO"))</f>
        <v/>
      </c>
      <c r="D197" t="str">
        <f t="shared" ref="D197:D260" si="13">IF(B197="","",IF(WEEKDAY(B197,2)&gt;5,"FDS/FERIADO","DIA ÚTIL"))</f>
        <v/>
      </c>
      <c r="E197" t="str">
        <f>IFERROR(INDEX(tblBatidas[ID],MATCH("B"&amp;MID($A197,2,99),tblBatidas[Batida ID],0)),"")</f>
        <v/>
      </c>
      <c r="F197" t="str">
        <f>IFERROR(INDEX(tblPessoas[Pessoa],MATCH(E197,tblPessoas[ID],0)),"")</f>
        <v/>
      </c>
      <c r="G197" t="str">
        <f>IFERROR(INDEX(tblBatidas[Projeto],MATCH("B"&amp;MID($A197,2,99),tblBatidas[Batida ID],0)),"")</f>
        <v/>
      </c>
      <c r="H197" t="str">
        <f>IFERROR(INDEX(tblBatidas[Atividade],MATCH("B"&amp;MID($A197,2,99),tblBatidas[Batida ID],0)),"")</f>
        <v/>
      </c>
      <c r="I197" s="4" t="str">
        <f>IFERROR(MOD(INDEX(tblBatidas[Data e hora],MATCH("B"&amp;MID($A197,2,99),tblBatidas[Batida ID],0)),1),"")</f>
        <v/>
      </c>
      <c r="J197" s="4" t="str">
        <f>IFERROR(MOD(INDEX(tblBatidas[Data e hora],MATCH("B"&amp;MID($A197,2,99),tblBatidas[Início vinculado],0)),1),"")</f>
        <v/>
      </c>
      <c r="K197" s="14" t="str">
        <f>IFERROR((INDEX(tblBatidas[Data e hora],MATCH("B"&amp;MID($A197,2,99),tblBatidas[Início vinculado],0))-INDEX(tblBatidas[Data e hora],MATCH("B"&amp;MID($A197,2,99),tblBatidas[Batida ID],0)))*24,"")</f>
        <v/>
      </c>
      <c r="L197" t="str">
        <f>IFERROR(INDEX(tblBatidas[Observação],MATCH("B"&amp;MID($A197,2,99),tblBatidas[Início vinculado],0)),"")</f>
        <v/>
      </c>
      <c r="M197" t="str">
        <f>IFERROR(INDEX(tblPessoas[Base],MATCH(E197,tblPessoas[ID],0)),"")</f>
        <v/>
      </c>
      <c r="N197" s="3">
        <f>IFERROR(IF(D197="DIA ÚTIL",INDEX(tblPessoas[R$/h útil],MATCH(E197,tblPessoas[ID],0)),INDEX(tblPessoas[R$/h FDS],MATCH(E197,tblPessoas[ID],0))),0)</f>
        <v>0</v>
      </c>
      <c r="O197" s="3">
        <f>IFERROR(INDEX(tblPessoas[R$/diária],MATCH(E197,tblPessoas[ID],0)),0)</f>
        <v>0</v>
      </c>
      <c r="P197" s="3" t="str">
        <f t="shared" ref="P197:P260" si="14">IF(Q197&lt;&gt;"CONCLUÍDO","",IF(M197="Diária",O197*R197,K197*N197))</f>
        <v/>
      </c>
      <c r="Q197" t="str">
        <f>IF(A197="","",IF(COUNTIF(tblBatidas[Início vinculado],"B"&amp;MID($A197,2,99))=0,"EM ABERTO",IF(OR(COUNTIF(tblBatidas[Início vinculado],"B"&amp;MID($A197,2,99))&gt;1,K197&lt;0,K197&gt;16,INT(INDEX(tblBatidas[Data e hora],MATCH("B"&amp;MID($A197,2,99),tblBatidas[Início vinculado],0)))&lt;&gt;B197,INDEX(tblBatidas[ID],MATCH("B"&amp;MID($A197,2,99),tblBatidas[Início vinculado],0))&lt;&gt;E197,INDEX(tblBatidas[Projeto],MATCH("B"&amp;MID($A197,2,99),tblBatidas[Início vinculado],0))&lt;&gt;G197,INDEX(tblBatidas[Atividade],MATCH("B"&amp;MID($A197,2,99),tblBatidas[Início vinculado],0))&lt;&gt;H197),"REVISAR","CONCLUÍDO")))</f>
        <v/>
      </c>
      <c r="R197">
        <f>IF(Q197&lt;&gt;"CONCLUÍDO",0,IF(COUNTIFS($E$5:E197,E197,$B$5:B197,B197,$Q$5:Q197,"CONCLUÍDO")=1,1,0))</f>
        <v>0</v>
      </c>
      <c r="S197" t="str">
        <f t="shared" ref="S197:S260" si="15">IF(B197="","",TEXT(B197,"yyyy-mm"))</f>
        <v/>
      </c>
      <c r="T197" t="str">
        <f>IF(E197="","",E197*100000+COUNTIFS(tblRegistros[ID],E197,tblRegistros[Data],"&lt;"&amp;B197)+COUNTIFS(tblRegistros[ID],E197,tblRegistros[Data],B197,tblRegistros[Início],"&lt;"&amp;I197)+COUNTIFS($E$5:E197,E197,$B$5:B197,B197,$I$5:I197,I197))</f>
        <v/>
      </c>
    </row>
    <row r="198" spans="2:20">
      <c r="B198" s="2" t="str">
        <f>IFERROR(INT(INDEX(tblBatidas[Data e hora],MATCH("B"&amp;MID($A198,2,99),tblBatidas[Batida ID],0))),"")</f>
        <v/>
      </c>
      <c r="C198" t="str">
        <f t="shared" si="12"/>
        <v/>
      </c>
      <c r="D198" t="str">
        <f t="shared" si="13"/>
        <v/>
      </c>
      <c r="E198" t="str">
        <f>IFERROR(INDEX(tblBatidas[ID],MATCH("B"&amp;MID($A198,2,99),tblBatidas[Batida ID],0)),"")</f>
        <v/>
      </c>
      <c r="F198" t="str">
        <f>IFERROR(INDEX(tblPessoas[Pessoa],MATCH(E198,tblPessoas[ID],0)),"")</f>
        <v/>
      </c>
      <c r="G198" t="str">
        <f>IFERROR(INDEX(tblBatidas[Projeto],MATCH("B"&amp;MID($A198,2,99),tblBatidas[Batida ID],0)),"")</f>
        <v/>
      </c>
      <c r="H198" t="str">
        <f>IFERROR(INDEX(tblBatidas[Atividade],MATCH("B"&amp;MID($A198,2,99),tblBatidas[Batida ID],0)),"")</f>
        <v/>
      </c>
      <c r="I198" s="4" t="str">
        <f>IFERROR(MOD(INDEX(tblBatidas[Data e hora],MATCH("B"&amp;MID($A198,2,99),tblBatidas[Batida ID],0)),1),"")</f>
        <v/>
      </c>
      <c r="J198" s="4" t="str">
        <f>IFERROR(MOD(INDEX(tblBatidas[Data e hora],MATCH("B"&amp;MID($A198,2,99),tblBatidas[Início vinculado],0)),1),"")</f>
        <v/>
      </c>
      <c r="K198" s="14" t="str">
        <f>IFERROR((INDEX(tblBatidas[Data e hora],MATCH("B"&amp;MID($A198,2,99),tblBatidas[Início vinculado],0))-INDEX(tblBatidas[Data e hora],MATCH("B"&amp;MID($A198,2,99),tblBatidas[Batida ID],0)))*24,"")</f>
        <v/>
      </c>
      <c r="L198" t="str">
        <f>IFERROR(INDEX(tblBatidas[Observação],MATCH("B"&amp;MID($A198,2,99),tblBatidas[Início vinculado],0)),"")</f>
        <v/>
      </c>
      <c r="M198" t="str">
        <f>IFERROR(INDEX(tblPessoas[Base],MATCH(E198,tblPessoas[ID],0)),"")</f>
        <v/>
      </c>
      <c r="N198" s="3">
        <f>IFERROR(IF(D198="DIA ÚTIL",INDEX(tblPessoas[R$/h útil],MATCH(E198,tblPessoas[ID],0)),INDEX(tblPessoas[R$/h FDS],MATCH(E198,tblPessoas[ID],0))),0)</f>
        <v>0</v>
      </c>
      <c r="O198" s="3">
        <f>IFERROR(INDEX(tblPessoas[R$/diária],MATCH(E198,tblPessoas[ID],0)),0)</f>
        <v>0</v>
      </c>
      <c r="P198" s="3" t="str">
        <f t="shared" si="14"/>
        <v/>
      </c>
      <c r="Q198" t="str">
        <f>IF(A198="","",IF(COUNTIF(tblBatidas[Início vinculado],"B"&amp;MID($A198,2,99))=0,"EM ABERTO",IF(OR(COUNTIF(tblBatidas[Início vinculado],"B"&amp;MID($A198,2,99))&gt;1,K198&lt;0,K198&gt;16,INT(INDEX(tblBatidas[Data e hora],MATCH("B"&amp;MID($A198,2,99),tblBatidas[Início vinculado],0)))&lt;&gt;B198,INDEX(tblBatidas[ID],MATCH("B"&amp;MID($A198,2,99),tblBatidas[Início vinculado],0))&lt;&gt;E198,INDEX(tblBatidas[Projeto],MATCH("B"&amp;MID($A198,2,99),tblBatidas[Início vinculado],0))&lt;&gt;G198,INDEX(tblBatidas[Atividade],MATCH("B"&amp;MID($A198,2,99),tblBatidas[Início vinculado],0))&lt;&gt;H198),"REVISAR","CONCLUÍDO")))</f>
        <v/>
      </c>
      <c r="R198">
        <f>IF(Q198&lt;&gt;"CONCLUÍDO",0,IF(COUNTIFS($E$5:E198,E198,$B$5:B198,B198,$Q$5:Q198,"CONCLUÍDO")=1,1,0))</f>
        <v>0</v>
      </c>
      <c r="S198" t="str">
        <f t="shared" si="15"/>
        <v/>
      </c>
      <c r="T198" t="str">
        <f>IF(E198="","",E198*100000+COUNTIFS(tblRegistros[ID],E198,tblRegistros[Data],"&lt;"&amp;B198)+COUNTIFS(tblRegistros[ID],E198,tblRegistros[Data],B198,tblRegistros[Início],"&lt;"&amp;I198)+COUNTIFS($E$5:E198,E198,$B$5:B198,B198,$I$5:I198,I198))</f>
        <v/>
      </c>
    </row>
    <row r="199" spans="2:20">
      <c r="B199" s="2" t="str">
        <f>IFERROR(INT(INDEX(tblBatidas[Data e hora],MATCH("B"&amp;MID($A199,2,99),tblBatidas[Batida ID],0))),"")</f>
        <v/>
      </c>
      <c r="C199" t="str">
        <f t="shared" si="12"/>
        <v/>
      </c>
      <c r="D199" t="str">
        <f t="shared" si="13"/>
        <v/>
      </c>
      <c r="E199" t="str">
        <f>IFERROR(INDEX(tblBatidas[ID],MATCH("B"&amp;MID($A199,2,99),tblBatidas[Batida ID],0)),"")</f>
        <v/>
      </c>
      <c r="F199" t="str">
        <f>IFERROR(INDEX(tblPessoas[Pessoa],MATCH(E199,tblPessoas[ID],0)),"")</f>
        <v/>
      </c>
      <c r="G199" t="str">
        <f>IFERROR(INDEX(tblBatidas[Projeto],MATCH("B"&amp;MID($A199,2,99),tblBatidas[Batida ID],0)),"")</f>
        <v/>
      </c>
      <c r="H199" t="str">
        <f>IFERROR(INDEX(tblBatidas[Atividade],MATCH("B"&amp;MID($A199,2,99),tblBatidas[Batida ID],0)),"")</f>
        <v/>
      </c>
      <c r="I199" s="4" t="str">
        <f>IFERROR(MOD(INDEX(tblBatidas[Data e hora],MATCH("B"&amp;MID($A199,2,99),tblBatidas[Batida ID],0)),1),"")</f>
        <v/>
      </c>
      <c r="J199" s="4" t="str">
        <f>IFERROR(MOD(INDEX(tblBatidas[Data e hora],MATCH("B"&amp;MID($A199,2,99),tblBatidas[Início vinculado],0)),1),"")</f>
        <v/>
      </c>
      <c r="K199" s="14" t="str">
        <f>IFERROR((INDEX(tblBatidas[Data e hora],MATCH("B"&amp;MID($A199,2,99),tblBatidas[Início vinculado],0))-INDEX(tblBatidas[Data e hora],MATCH("B"&amp;MID($A199,2,99),tblBatidas[Batida ID],0)))*24,"")</f>
        <v/>
      </c>
      <c r="L199" t="str">
        <f>IFERROR(INDEX(tblBatidas[Observação],MATCH("B"&amp;MID($A199,2,99),tblBatidas[Início vinculado],0)),"")</f>
        <v/>
      </c>
      <c r="M199" t="str">
        <f>IFERROR(INDEX(tblPessoas[Base],MATCH(E199,tblPessoas[ID],0)),"")</f>
        <v/>
      </c>
      <c r="N199" s="3">
        <f>IFERROR(IF(D199="DIA ÚTIL",INDEX(tblPessoas[R$/h útil],MATCH(E199,tblPessoas[ID],0)),INDEX(tblPessoas[R$/h FDS],MATCH(E199,tblPessoas[ID],0))),0)</f>
        <v>0</v>
      </c>
      <c r="O199" s="3">
        <f>IFERROR(INDEX(tblPessoas[R$/diária],MATCH(E199,tblPessoas[ID],0)),0)</f>
        <v>0</v>
      </c>
      <c r="P199" s="3" t="str">
        <f t="shared" si="14"/>
        <v/>
      </c>
      <c r="Q199" t="str">
        <f>IF(A199="","",IF(COUNTIF(tblBatidas[Início vinculado],"B"&amp;MID($A199,2,99))=0,"EM ABERTO",IF(OR(COUNTIF(tblBatidas[Início vinculado],"B"&amp;MID($A199,2,99))&gt;1,K199&lt;0,K199&gt;16,INT(INDEX(tblBatidas[Data e hora],MATCH("B"&amp;MID($A199,2,99),tblBatidas[Início vinculado],0)))&lt;&gt;B199,INDEX(tblBatidas[ID],MATCH("B"&amp;MID($A199,2,99),tblBatidas[Início vinculado],0))&lt;&gt;E199,INDEX(tblBatidas[Projeto],MATCH("B"&amp;MID($A199,2,99),tblBatidas[Início vinculado],0))&lt;&gt;G199,INDEX(tblBatidas[Atividade],MATCH("B"&amp;MID($A199,2,99),tblBatidas[Início vinculado],0))&lt;&gt;H199),"REVISAR","CONCLUÍDO")))</f>
        <v/>
      </c>
      <c r="R199">
        <f>IF(Q199&lt;&gt;"CONCLUÍDO",0,IF(COUNTIFS($E$5:E199,E199,$B$5:B199,B199,$Q$5:Q199,"CONCLUÍDO")=1,1,0))</f>
        <v>0</v>
      </c>
      <c r="S199" t="str">
        <f t="shared" si="15"/>
        <v/>
      </c>
      <c r="T199" t="str">
        <f>IF(E199="","",E199*100000+COUNTIFS(tblRegistros[ID],E199,tblRegistros[Data],"&lt;"&amp;B199)+COUNTIFS(tblRegistros[ID],E199,tblRegistros[Data],B199,tblRegistros[Início],"&lt;"&amp;I199)+COUNTIFS($E$5:E199,E199,$B$5:B199,B199,$I$5:I199,I199))</f>
        <v/>
      </c>
    </row>
    <row r="200" spans="2:20">
      <c r="B200" s="2" t="str">
        <f>IFERROR(INT(INDEX(tblBatidas[Data e hora],MATCH("B"&amp;MID($A200,2,99),tblBatidas[Batida ID],0))),"")</f>
        <v/>
      </c>
      <c r="C200" t="str">
        <f t="shared" si="12"/>
        <v/>
      </c>
      <c r="D200" t="str">
        <f t="shared" si="13"/>
        <v/>
      </c>
      <c r="E200" t="str">
        <f>IFERROR(INDEX(tblBatidas[ID],MATCH("B"&amp;MID($A200,2,99),tblBatidas[Batida ID],0)),"")</f>
        <v/>
      </c>
      <c r="F200" t="str">
        <f>IFERROR(INDEX(tblPessoas[Pessoa],MATCH(E200,tblPessoas[ID],0)),"")</f>
        <v/>
      </c>
      <c r="G200" t="str">
        <f>IFERROR(INDEX(tblBatidas[Projeto],MATCH("B"&amp;MID($A200,2,99),tblBatidas[Batida ID],0)),"")</f>
        <v/>
      </c>
      <c r="H200" t="str">
        <f>IFERROR(INDEX(tblBatidas[Atividade],MATCH("B"&amp;MID($A200,2,99),tblBatidas[Batida ID],0)),"")</f>
        <v/>
      </c>
      <c r="I200" s="4" t="str">
        <f>IFERROR(MOD(INDEX(tblBatidas[Data e hora],MATCH("B"&amp;MID($A200,2,99),tblBatidas[Batida ID],0)),1),"")</f>
        <v/>
      </c>
      <c r="J200" s="4" t="str">
        <f>IFERROR(MOD(INDEX(tblBatidas[Data e hora],MATCH("B"&amp;MID($A200,2,99),tblBatidas[Início vinculado],0)),1),"")</f>
        <v/>
      </c>
      <c r="K200" s="14" t="str">
        <f>IFERROR((INDEX(tblBatidas[Data e hora],MATCH("B"&amp;MID($A200,2,99),tblBatidas[Início vinculado],0))-INDEX(tblBatidas[Data e hora],MATCH("B"&amp;MID($A200,2,99),tblBatidas[Batida ID],0)))*24,"")</f>
        <v/>
      </c>
      <c r="L200" t="str">
        <f>IFERROR(INDEX(tblBatidas[Observação],MATCH("B"&amp;MID($A200,2,99),tblBatidas[Início vinculado],0)),"")</f>
        <v/>
      </c>
      <c r="M200" t="str">
        <f>IFERROR(INDEX(tblPessoas[Base],MATCH(E200,tblPessoas[ID],0)),"")</f>
        <v/>
      </c>
      <c r="N200" s="3">
        <f>IFERROR(IF(D200="DIA ÚTIL",INDEX(tblPessoas[R$/h útil],MATCH(E200,tblPessoas[ID],0)),INDEX(tblPessoas[R$/h FDS],MATCH(E200,tblPessoas[ID],0))),0)</f>
        <v>0</v>
      </c>
      <c r="O200" s="3">
        <f>IFERROR(INDEX(tblPessoas[R$/diária],MATCH(E200,tblPessoas[ID],0)),0)</f>
        <v>0</v>
      </c>
      <c r="P200" s="3" t="str">
        <f t="shared" si="14"/>
        <v/>
      </c>
      <c r="Q200" t="str">
        <f>IF(A200="","",IF(COUNTIF(tblBatidas[Início vinculado],"B"&amp;MID($A200,2,99))=0,"EM ABERTO",IF(OR(COUNTIF(tblBatidas[Início vinculado],"B"&amp;MID($A200,2,99))&gt;1,K200&lt;0,K200&gt;16,INT(INDEX(tblBatidas[Data e hora],MATCH("B"&amp;MID($A200,2,99),tblBatidas[Início vinculado],0)))&lt;&gt;B200,INDEX(tblBatidas[ID],MATCH("B"&amp;MID($A200,2,99),tblBatidas[Início vinculado],0))&lt;&gt;E200,INDEX(tblBatidas[Projeto],MATCH("B"&amp;MID($A200,2,99),tblBatidas[Início vinculado],0))&lt;&gt;G200,INDEX(tblBatidas[Atividade],MATCH("B"&amp;MID($A200,2,99),tblBatidas[Início vinculado],0))&lt;&gt;H200),"REVISAR","CONCLUÍDO")))</f>
        <v/>
      </c>
      <c r="R200">
        <f>IF(Q200&lt;&gt;"CONCLUÍDO",0,IF(COUNTIFS($E$5:E200,E200,$B$5:B200,B200,$Q$5:Q200,"CONCLUÍDO")=1,1,0))</f>
        <v>0</v>
      </c>
      <c r="S200" t="str">
        <f t="shared" si="15"/>
        <v/>
      </c>
      <c r="T200" t="str">
        <f>IF(E200="","",E200*100000+COUNTIFS(tblRegistros[ID],E200,tblRegistros[Data],"&lt;"&amp;B200)+COUNTIFS(tblRegistros[ID],E200,tblRegistros[Data],B200,tblRegistros[Início],"&lt;"&amp;I200)+COUNTIFS($E$5:E200,E200,$B$5:B200,B200,$I$5:I200,I200))</f>
        <v/>
      </c>
    </row>
    <row r="201" spans="2:20">
      <c r="B201" s="2" t="str">
        <f>IFERROR(INT(INDEX(tblBatidas[Data e hora],MATCH("B"&amp;MID($A201,2,99),tblBatidas[Batida ID],0))),"")</f>
        <v/>
      </c>
      <c r="C201" t="str">
        <f t="shared" si="12"/>
        <v/>
      </c>
      <c r="D201" t="str">
        <f t="shared" si="13"/>
        <v/>
      </c>
      <c r="E201" t="str">
        <f>IFERROR(INDEX(tblBatidas[ID],MATCH("B"&amp;MID($A201,2,99),tblBatidas[Batida ID],0)),"")</f>
        <v/>
      </c>
      <c r="F201" t="str">
        <f>IFERROR(INDEX(tblPessoas[Pessoa],MATCH(E201,tblPessoas[ID],0)),"")</f>
        <v/>
      </c>
      <c r="G201" t="str">
        <f>IFERROR(INDEX(tblBatidas[Projeto],MATCH("B"&amp;MID($A201,2,99),tblBatidas[Batida ID],0)),"")</f>
        <v/>
      </c>
      <c r="H201" t="str">
        <f>IFERROR(INDEX(tblBatidas[Atividade],MATCH("B"&amp;MID($A201,2,99),tblBatidas[Batida ID],0)),"")</f>
        <v/>
      </c>
      <c r="I201" s="4" t="str">
        <f>IFERROR(MOD(INDEX(tblBatidas[Data e hora],MATCH("B"&amp;MID($A201,2,99),tblBatidas[Batida ID],0)),1),"")</f>
        <v/>
      </c>
      <c r="J201" s="4" t="str">
        <f>IFERROR(MOD(INDEX(tblBatidas[Data e hora],MATCH("B"&amp;MID($A201,2,99),tblBatidas[Início vinculado],0)),1),"")</f>
        <v/>
      </c>
      <c r="K201" s="14" t="str">
        <f>IFERROR((INDEX(tblBatidas[Data e hora],MATCH("B"&amp;MID($A201,2,99),tblBatidas[Início vinculado],0))-INDEX(tblBatidas[Data e hora],MATCH("B"&amp;MID($A201,2,99),tblBatidas[Batida ID],0)))*24,"")</f>
        <v/>
      </c>
      <c r="L201" t="str">
        <f>IFERROR(INDEX(tblBatidas[Observação],MATCH("B"&amp;MID($A201,2,99),tblBatidas[Início vinculado],0)),"")</f>
        <v/>
      </c>
      <c r="M201" t="str">
        <f>IFERROR(INDEX(tblPessoas[Base],MATCH(E201,tblPessoas[ID],0)),"")</f>
        <v/>
      </c>
      <c r="N201" s="3">
        <f>IFERROR(IF(D201="DIA ÚTIL",INDEX(tblPessoas[R$/h útil],MATCH(E201,tblPessoas[ID],0)),INDEX(tblPessoas[R$/h FDS],MATCH(E201,tblPessoas[ID],0))),0)</f>
        <v>0</v>
      </c>
      <c r="O201" s="3">
        <f>IFERROR(INDEX(tblPessoas[R$/diária],MATCH(E201,tblPessoas[ID],0)),0)</f>
        <v>0</v>
      </c>
      <c r="P201" s="3" t="str">
        <f t="shared" si="14"/>
        <v/>
      </c>
      <c r="Q201" t="str">
        <f>IF(A201="","",IF(COUNTIF(tblBatidas[Início vinculado],"B"&amp;MID($A201,2,99))=0,"EM ABERTO",IF(OR(COUNTIF(tblBatidas[Início vinculado],"B"&amp;MID($A201,2,99))&gt;1,K201&lt;0,K201&gt;16,INT(INDEX(tblBatidas[Data e hora],MATCH("B"&amp;MID($A201,2,99),tblBatidas[Início vinculado],0)))&lt;&gt;B201,INDEX(tblBatidas[ID],MATCH("B"&amp;MID($A201,2,99),tblBatidas[Início vinculado],0))&lt;&gt;E201,INDEX(tblBatidas[Projeto],MATCH("B"&amp;MID($A201,2,99),tblBatidas[Início vinculado],0))&lt;&gt;G201,INDEX(tblBatidas[Atividade],MATCH("B"&amp;MID($A201,2,99),tblBatidas[Início vinculado],0))&lt;&gt;H201),"REVISAR","CONCLUÍDO")))</f>
        <v/>
      </c>
      <c r="R201">
        <f>IF(Q201&lt;&gt;"CONCLUÍDO",0,IF(COUNTIFS($E$5:E201,E201,$B$5:B201,B201,$Q$5:Q201,"CONCLUÍDO")=1,1,0))</f>
        <v>0</v>
      </c>
      <c r="S201" t="str">
        <f t="shared" si="15"/>
        <v/>
      </c>
      <c r="T201" t="str">
        <f>IF(E201="","",E201*100000+COUNTIFS(tblRegistros[ID],E201,tblRegistros[Data],"&lt;"&amp;B201)+COUNTIFS(tblRegistros[ID],E201,tblRegistros[Data],B201,tblRegistros[Início],"&lt;"&amp;I201)+COUNTIFS($E$5:E201,E201,$B$5:B201,B201,$I$5:I201,I201))</f>
        <v/>
      </c>
    </row>
    <row r="202" spans="2:20">
      <c r="B202" s="2" t="str">
        <f>IFERROR(INT(INDEX(tblBatidas[Data e hora],MATCH("B"&amp;MID($A202,2,99),tblBatidas[Batida ID],0))),"")</f>
        <v/>
      </c>
      <c r="C202" t="str">
        <f t="shared" si="12"/>
        <v/>
      </c>
      <c r="D202" t="str">
        <f t="shared" si="13"/>
        <v/>
      </c>
      <c r="E202" t="str">
        <f>IFERROR(INDEX(tblBatidas[ID],MATCH("B"&amp;MID($A202,2,99),tblBatidas[Batida ID],0)),"")</f>
        <v/>
      </c>
      <c r="F202" t="str">
        <f>IFERROR(INDEX(tblPessoas[Pessoa],MATCH(E202,tblPessoas[ID],0)),"")</f>
        <v/>
      </c>
      <c r="G202" t="str">
        <f>IFERROR(INDEX(tblBatidas[Projeto],MATCH("B"&amp;MID($A202,2,99),tblBatidas[Batida ID],0)),"")</f>
        <v/>
      </c>
      <c r="H202" t="str">
        <f>IFERROR(INDEX(tblBatidas[Atividade],MATCH("B"&amp;MID($A202,2,99),tblBatidas[Batida ID],0)),"")</f>
        <v/>
      </c>
      <c r="I202" s="4" t="str">
        <f>IFERROR(MOD(INDEX(tblBatidas[Data e hora],MATCH("B"&amp;MID($A202,2,99),tblBatidas[Batida ID],0)),1),"")</f>
        <v/>
      </c>
      <c r="J202" s="4" t="str">
        <f>IFERROR(MOD(INDEX(tblBatidas[Data e hora],MATCH("B"&amp;MID($A202,2,99),tblBatidas[Início vinculado],0)),1),"")</f>
        <v/>
      </c>
      <c r="K202" s="14" t="str">
        <f>IFERROR((INDEX(tblBatidas[Data e hora],MATCH("B"&amp;MID($A202,2,99),tblBatidas[Início vinculado],0))-INDEX(tblBatidas[Data e hora],MATCH("B"&amp;MID($A202,2,99),tblBatidas[Batida ID],0)))*24,"")</f>
        <v/>
      </c>
      <c r="L202" t="str">
        <f>IFERROR(INDEX(tblBatidas[Observação],MATCH("B"&amp;MID($A202,2,99),tblBatidas[Início vinculado],0)),"")</f>
        <v/>
      </c>
      <c r="M202" t="str">
        <f>IFERROR(INDEX(tblPessoas[Base],MATCH(E202,tblPessoas[ID],0)),"")</f>
        <v/>
      </c>
      <c r="N202" s="3">
        <f>IFERROR(IF(D202="DIA ÚTIL",INDEX(tblPessoas[R$/h útil],MATCH(E202,tblPessoas[ID],0)),INDEX(tblPessoas[R$/h FDS],MATCH(E202,tblPessoas[ID],0))),0)</f>
        <v>0</v>
      </c>
      <c r="O202" s="3">
        <f>IFERROR(INDEX(tblPessoas[R$/diária],MATCH(E202,tblPessoas[ID],0)),0)</f>
        <v>0</v>
      </c>
      <c r="P202" s="3" t="str">
        <f t="shared" si="14"/>
        <v/>
      </c>
      <c r="Q202" t="str">
        <f>IF(A202="","",IF(COUNTIF(tblBatidas[Início vinculado],"B"&amp;MID($A202,2,99))=0,"EM ABERTO",IF(OR(COUNTIF(tblBatidas[Início vinculado],"B"&amp;MID($A202,2,99))&gt;1,K202&lt;0,K202&gt;16,INT(INDEX(tblBatidas[Data e hora],MATCH("B"&amp;MID($A202,2,99),tblBatidas[Início vinculado],0)))&lt;&gt;B202,INDEX(tblBatidas[ID],MATCH("B"&amp;MID($A202,2,99),tblBatidas[Início vinculado],0))&lt;&gt;E202,INDEX(tblBatidas[Projeto],MATCH("B"&amp;MID($A202,2,99),tblBatidas[Início vinculado],0))&lt;&gt;G202,INDEX(tblBatidas[Atividade],MATCH("B"&amp;MID($A202,2,99),tblBatidas[Início vinculado],0))&lt;&gt;H202),"REVISAR","CONCLUÍDO")))</f>
        <v/>
      </c>
      <c r="R202">
        <f>IF(Q202&lt;&gt;"CONCLUÍDO",0,IF(COUNTIFS($E$5:E202,E202,$B$5:B202,B202,$Q$5:Q202,"CONCLUÍDO")=1,1,0))</f>
        <v>0</v>
      </c>
      <c r="S202" t="str">
        <f t="shared" si="15"/>
        <v/>
      </c>
      <c r="T202" t="str">
        <f>IF(E202="","",E202*100000+COUNTIFS(tblRegistros[ID],E202,tblRegistros[Data],"&lt;"&amp;B202)+COUNTIFS(tblRegistros[ID],E202,tblRegistros[Data],B202,tblRegistros[Início],"&lt;"&amp;I202)+COUNTIFS($E$5:E202,E202,$B$5:B202,B202,$I$5:I202,I202))</f>
        <v/>
      </c>
    </row>
    <row r="203" spans="2:20">
      <c r="B203" s="2" t="str">
        <f>IFERROR(INT(INDEX(tblBatidas[Data e hora],MATCH("B"&amp;MID($A203,2,99),tblBatidas[Batida ID],0))),"")</f>
        <v/>
      </c>
      <c r="C203" t="str">
        <f t="shared" si="12"/>
        <v/>
      </c>
      <c r="D203" t="str">
        <f t="shared" si="13"/>
        <v/>
      </c>
      <c r="E203" t="str">
        <f>IFERROR(INDEX(tblBatidas[ID],MATCH("B"&amp;MID($A203,2,99),tblBatidas[Batida ID],0)),"")</f>
        <v/>
      </c>
      <c r="F203" t="str">
        <f>IFERROR(INDEX(tblPessoas[Pessoa],MATCH(E203,tblPessoas[ID],0)),"")</f>
        <v/>
      </c>
      <c r="G203" t="str">
        <f>IFERROR(INDEX(tblBatidas[Projeto],MATCH("B"&amp;MID($A203,2,99),tblBatidas[Batida ID],0)),"")</f>
        <v/>
      </c>
      <c r="H203" t="str">
        <f>IFERROR(INDEX(tblBatidas[Atividade],MATCH("B"&amp;MID($A203,2,99),tblBatidas[Batida ID],0)),"")</f>
        <v/>
      </c>
      <c r="I203" s="4" t="str">
        <f>IFERROR(MOD(INDEX(tblBatidas[Data e hora],MATCH("B"&amp;MID($A203,2,99),tblBatidas[Batida ID],0)),1),"")</f>
        <v/>
      </c>
      <c r="J203" s="4" t="str">
        <f>IFERROR(MOD(INDEX(tblBatidas[Data e hora],MATCH("B"&amp;MID($A203,2,99),tblBatidas[Início vinculado],0)),1),"")</f>
        <v/>
      </c>
      <c r="K203" s="14" t="str">
        <f>IFERROR((INDEX(tblBatidas[Data e hora],MATCH("B"&amp;MID($A203,2,99),tblBatidas[Início vinculado],0))-INDEX(tblBatidas[Data e hora],MATCH("B"&amp;MID($A203,2,99),tblBatidas[Batida ID],0)))*24,"")</f>
        <v/>
      </c>
      <c r="L203" t="str">
        <f>IFERROR(INDEX(tblBatidas[Observação],MATCH("B"&amp;MID($A203,2,99),tblBatidas[Início vinculado],0)),"")</f>
        <v/>
      </c>
      <c r="M203" t="str">
        <f>IFERROR(INDEX(tblPessoas[Base],MATCH(E203,tblPessoas[ID],0)),"")</f>
        <v/>
      </c>
      <c r="N203" s="3">
        <f>IFERROR(IF(D203="DIA ÚTIL",INDEX(tblPessoas[R$/h útil],MATCH(E203,tblPessoas[ID],0)),INDEX(tblPessoas[R$/h FDS],MATCH(E203,tblPessoas[ID],0))),0)</f>
        <v>0</v>
      </c>
      <c r="O203" s="3">
        <f>IFERROR(INDEX(tblPessoas[R$/diária],MATCH(E203,tblPessoas[ID],0)),0)</f>
        <v>0</v>
      </c>
      <c r="P203" s="3" t="str">
        <f t="shared" si="14"/>
        <v/>
      </c>
      <c r="Q203" t="str">
        <f>IF(A203="","",IF(COUNTIF(tblBatidas[Início vinculado],"B"&amp;MID($A203,2,99))=0,"EM ABERTO",IF(OR(COUNTIF(tblBatidas[Início vinculado],"B"&amp;MID($A203,2,99))&gt;1,K203&lt;0,K203&gt;16,INT(INDEX(tblBatidas[Data e hora],MATCH("B"&amp;MID($A203,2,99),tblBatidas[Início vinculado],0)))&lt;&gt;B203,INDEX(tblBatidas[ID],MATCH("B"&amp;MID($A203,2,99),tblBatidas[Início vinculado],0))&lt;&gt;E203,INDEX(tblBatidas[Projeto],MATCH("B"&amp;MID($A203,2,99),tblBatidas[Início vinculado],0))&lt;&gt;G203,INDEX(tblBatidas[Atividade],MATCH("B"&amp;MID($A203,2,99),tblBatidas[Início vinculado],0))&lt;&gt;H203),"REVISAR","CONCLUÍDO")))</f>
        <v/>
      </c>
      <c r="R203">
        <f>IF(Q203&lt;&gt;"CONCLUÍDO",0,IF(COUNTIFS($E$5:E203,E203,$B$5:B203,B203,$Q$5:Q203,"CONCLUÍDO")=1,1,0))</f>
        <v>0</v>
      </c>
      <c r="S203" t="str">
        <f t="shared" si="15"/>
        <v/>
      </c>
      <c r="T203" t="str">
        <f>IF(E203="","",E203*100000+COUNTIFS(tblRegistros[ID],E203,tblRegistros[Data],"&lt;"&amp;B203)+COUNTIFS(tblRegistros[ID],E203,tblRegistros[Data],B203,tblRegistros[Início],"&lt;"&amp;I203)+COUNTIFS($E$5:E203,E203,$B$5:B203,B203,$I$5:I203,I203))</f>
        <v/>
      </c>
    </row>
    <row r="204" spans="2:20">
      <c r="B204" s="2" t="str">
        <f>IFERROR(INT(INDEX(tblBatidas[Data e hora],MATCH("B"&amp;MID($A204,2,99),tblBatidas[Batida ID],0))),"")</f>
        <v/>
      </c>
      <c r="C204" t="str">
        <f t="shared" si="12"/>
        <v/>
      </c>
      <c r="D204" t="str">
        <f t="shared" si="13"/>
        <v/>
      </c>
      <c r="E204" t="str">
        <f>IFERROR(INDEX(tblBatidas[ID],MATCH("B"&amp;MID($A204,2,99),tblBatidas[Batida ID],0)),"")</f>
        <v/>
      </c>
      <c r="F204" t="str">
        <f>IFERROR(INDEX(tblPessoas[Pessoa],MATCH(E204,tblPessoas[ID],0)),"")</f>
        <v/>
      </c>
      <c r="G204" t="str">
        <f>IFERROR(INDEX(tblBatidas[Projeto],MATCH("B"&amp;MID($A204,2,99),tblBatidas[Batida ID],0)),"")</f>
        <v/>
      </c>
      <c r="H204" t="str">
        <f>IFERROR(INDEX(tblBatidas[Atividade],MATCH("B"&amp;MID($A204,2,99),tblBatidas[Batida ID],0)),"")</f>
        <v/>
      </c>
      <c r="I204" s="4" t="str">
        <f>IFERROR(MOD(INDEX(tblBatidas[Data e hora],MATCH("B"&amp;MID($A204,2,99),tblBatidas[Batida ID],0)),1),"")</f>
        <v/>
      </c>
      <c r="J204" s="4" t="str">
        <f>IFERROR(MOD(INDEX(tblBatidas[Data e hora],MATCH("B"&amp;MID($A204,2,99),tblBatidas[Início vinculado],0)),1),"")</f>
        <v/>
      </c>
      <c r="K204" s="14" t="str">
        <f>IFERROR((INDEX(tblBatidas[Data e hora],MATCH("B"&amp;MID($A204,2,99),tblBatidas[Início vinculado],0))-INDEX(tblBatidas[Data e hora],MATCH("B"&amp;MID($A204,2,99),tblBatidas[Batida ID],0)))*24,"")</f>
        <v/>
      </c>
      <c r="L204" t="str">
        <f>IFERROR(INDEX(tblBatidas[Observação],MATCH("B"&amp;MID($A204,2,99),tblBatidas[Início vinculado],0)),"")</f>
        <v/>
      </c>
      <c r="M204" t="str">
        <f>IFERROR(INDEX(tblPessoas[Base],MATCH(E204,tblPessoas[ID],0)),"")</f>
        <v/>
      </c>
      <c r="N204" s="3">
        <f>IFERROR(IF(D204="DIA ÚTIL",INDEX(tblPessoas[R$/h útil],MATCH(E204,tblPessoas[ID],0)),INDEX(tblPessoas[R$/h FDS],MATCH(E204,tblPessoas[ID],0))),0)</f>
        <v>0</v>
      </c>
      <c r="O204" s="3">
        <f>IFERROR(INDEX(tblPessoas[R$/diária],MATCH(E204,tblPessoas[ID],0)),0)</f>
        <v>0</v>
      </c>
      <c r="P204" s="3" t="str">
        <f t="shared" si="14"/>
        <v/>
      </c>
      <c r="Q204" t="str">
        <f>IF(A204="","",IF(COUNTIF(tblBatidas[Início vinculado],"B"&amp;MID($A204,2,99))=0,"EM ABERTO",IF(OR(COUNTIF(tblBatidas[Início vinculado],"B"&amp;MID($A204,2,99))&gt;1,K204&lt;0,K204&gt;16,INT(INDEX(tblBatidas[Data e hora],MATCH("B"&amp;MID($A204,2,99),tblBatidas[Início vinculado],0)))&lt;&gt;B204,INDEX(tblBatidas[ID],MATCH("B"&amp;MID($A204,2,99),tblBatidas[Início vinculado],0))&lt;&gt;E204,INDEX(tblBatidas[Projeto],MATCH("B"&amp;MID($A204,2,99),tblBatidas[Início vinculado],0))&lt;&gt;G204,INDEX(tblBatidas[Atividade],MATCH("B"&amp;MID($A204,2,99),tblBatidas[Início vinculado],0))&lt;&gt;H204),"REVISAR","CONCLUÍDO")))</f>
        <v/>
      </c>
      <c r="R204">
        <f>IF(Q204&lt;&gt;"CONCLUÍDO",0,IF(COUNTIFS($E$5:E204,E204,$B$5:B204,B204,$Q$5:Q204,"CONCLUÍDO")=1,1,0))</f>
        <v>0</v>
      </c>
      <c r="S204" t="str">
        <f t="shared" si="15"/>
        <v/>
      </c>
      <c r="T204" t="str">
        <f>IF(E204="","",E204*100000+COUNTIFS(tblRegistros[ID],E204,tblRegistros[Data],"&lt;"&amp;B204)+COUNTIFS(tblRegistros[ID],E204,tblRegistros[Data],B204,tblRegistros[Início],"&lt;"&amp;I204)+COUNTIFS($E$5:E204,E204,$B$5:B204,B204,$I$5:I204,I204))</f>
        <v/>
      </c>
    </row>
    <row r="205" spans="2:20">
      <c r="B205" s="2" t="str">
        <f>IFERROR(INT(INDEX(tblBatidas[Data e hora],MATCH("B"&amp;MID($A205,2,99),tblBatidas[Batida ID],0))),"")</f>
        <v/>
      </c>
      <c r="C205" t="str">
        <f t="shared" si="12"/>
        <v/>
      </c>
      <c r="D205" t="str">
        <f t="shared" si="13"/>
        <v/>
      </c>
      <c r="E205" t="str">
        <f>IFERROR(INDEX(tblBatidas[ID],MATCH("B"&amp;MID($A205,2,99),tblBatidas[Batida ID],0)),"")</f>
        <v/>
      </c>
      <c r="F205" t="str">
        <f>IFERROR(INDEX(tblPessoas[Pessoa],MATCH(E205,tblPessoas[ID],0)),"")</f>
        <v/>
      </c>
      <c r="G205" t="str">
        <f>IFERROR(INDEX(tblBatidas[Projeto],MATCH("B"&amp;MID($A205,2,99),tblBatidas[Batida ID],0)),"")</f>
        <v/>
      </c>
      <c r="H205" t="str">
        <f>IFERROR(INDEX(tblBatidas[Atividade],MATCH("B"&amp;MID($A205,2,99),tblBatidas[Batida ID],0)),"")</f>
        <v/>
      </c>
      <c r="I205" s="4" t="str">
        <f>IFERROR(MOD(INDEX(tblBatidas[Data e hora],MATCH("B"&amp;MID($A205,2,99),tblBatidas[Batida ID],0)),1),"")</f>
        <v/>
      </c>
      <c r="J205" s="4" t="str">
        <f>IFERROR(MOD(INDEX(tblBatidas[Data e hora],MATCH("B"&amp;MID($A205,2,99),tblBatidas[Início vinculado],0)),1),"")</f>
        <v/>
      </c>
      <c r="K205" s="14" t="str">
        <f>IFERROR((INDEX(tblBatidas[Data e hora],MATCH("B"&amp;MID($A205,2,99),tblBatidas[Início vinculado],0))-INDEX(tblBatidas[Data e hora],MATCH("B"&amp;MID($A205,2,99),tblBatidas[Batida ID],0)))*24,"")</f>
        <v/>
      </c>
      <c r="L205" t="str">
        <f>IFERROR(INDEX(tblBatidas[Observação],MATCH("B"&amp;MID($A205,2,99),tblBatidas[Início vinculado],0)),"")</f>
        <v/>
      </c>
      <c r="M205" t="str">
        <f>IFERROR(INDEX(tblPessoas[Base],MATCH(E205,tblPessoas[ID],0)),"")</f>
        <v/>
      </c>
      <c r="N205" s="3">
        <f>IFERROR(IF(D205="DIA ÚTIL",INDEX(tblPessoas[R$/h útil],MATCH(E205,tblPessoas[ID],0)),INDEX(tblPessoas[R$/h FDS],MATCH(E205,tblPessoas[ID],0))),0)</f>
        <v>0</v>
      </c>
      <c r="O205" s="3">
        <f>IFERROR(INDEX(tblPessoas[R$/diária],MATCH(E205,tblPessoas[ID],0)),0)</f>
        <v>0</v>
      </c>
      <c r="P205" s="3" t="str">
        <f t="shared" si="14"/>
        <v/>
      </c>
      <c r="Q205" t="str">
        <f>IF(A205="","",IF(COUNTIF(tblBatidas[Início vinculado],"B"&amp;MID($A205,2,99))=0,"EM ABERTO",IF(OR(COUNTIF(tblBatidas[Início vinculado],"B"&amp;MID($A205,2,99))&gt;1,K205&lt;0,K205&gt;16,INT(INDEX(tblBatidas[Data e hora],MATCH("B"&amp;MID($A205,2,99),tblBatidas[Início vinculado],0)))&lt;&gt;B205,INDEX(tblBatidas[ID],MATCH("B"&amp;MID($A205,2,99),tblBatidas[Início vinculado],0))&lt;&gt;E205,INDEX(tblBatidas[Projeto],MATCH("B"&amp;MID($A205,2,99),tblBatidas[Início vinculado],0))&lt;&gt;G205,INDEX(tblBatidas[Atividade],MATCH("B"&amp;MID($A205,2,99),tblBatidas[Início vinculado],0))&lt;&gt;H205),"REVISAR","CONCLUÍDO")))</f>
        <v/>
      </c>
      <c r="R205">
        <f>IF(Q205&lt;&gt;"CONCLUÍDO",0,IF(COUNTIFS($E$5:E205,E205,$B$5:B205,B205,$Q$5:Q205,"CONCLUÍDO")=1,1,0))</f>
        <v>0</v>
      </c>
      <c r="S205" t="str">
        <f t="shared" si="15"/>
        <v/>
      </c>
      <c r="T205" t="str">
        <f>IF(E205="","",E205*100000+COUNTIFS(tblRegistros[ID],E205,tblRegistros[Data],"&lt;"&amp;B205)+COUNTIFS(tblRegistros[ID],E205,tblRegistros[Data],B205,tblRegistros[Início],"&lt;"&amp;I205)+COUNTIFS($E$5:E205,E205,$B$5:B205,B205,$I$5:I205,I205))</f>
        <v/>
      </c>
    </row>
    <row r="206" spans="2:20">
      <c r="B206" s="2" t="str">
        <f>IFERROR(INT(INDEX(tblBatidas[Data e hora],MATCH("B"&amp;MID($A206,2,99),tblBatidas[Batida ID],0))),"")</f>
        <v/>
      </c>
      <c r="C206" t="str">
        <f t="shared" si="12"/>
        <v/>
      </c>
      <c r="D206" t="str">
        <f t="shared" si="13"/>
        <v/>
      </c>
      <c r="E206" t="str">
        <f>IFERROR(INDEX(tblBatidas[ID],MATCH("B"&amp;MID($A206,2,99),tblBatidas[Batida ID],0)),"")</f>
        <v/>
      </c>
      <c r="F206" t="str">
        <f>IFERROR(INDEX(tblPessoas[Pessoa],MATCH(E206,tblPessoas[ID],0)),"")</f>
        <v/>
      </c>
      <c r="G206" t="str">
        <f>IFERROR(INDEX(tblBatidas[Projeto],MATCH("B"&amp;MID($A206,2,99),tblBatidas[Batida ID],0)),"")</f>
        <v/>
      </c>
      <c r="H206" t="str">
        <f>IFERROR(INDEX(tblBatidas[Atividade],MATCH("B"&amp;MID($A206,2,99),tblBatidas[Batida ID],0)),"")</f>
        <v/>
      </c>
      <c r="I206" s="4" t="str">
        <f>IFERROR(MOD(INDEX(tblBatidas[Data e hora],MATCH("B"&amp;MID($A206,2,99),tblBatidas[Batida ID],0)),1),"")</f>
        <v/>
      </c>
      <c r="J206" s="4" t="str">
        <f>IFERROR(MOD(INDEX(tblBatidas[Data e hora],MATCH("B"&amp;MID($A206,2,99),tblBatidas[Início vinculado],0)),1),"")</f>
        <v/>
      </c>
      <c r="K206" s="14" t="str">
        <f>IFERROR((INDEX(tblBatidas[Data e hora],MATCH("B"&amp;MID($A206,2,99),tblBatidas[Início vinculado],0))-INDEX(tblBatidas[Data e hora],MATCH("B"&amp;MID($A206,2,99),tblBatidas[Batida ID],0)))*24,"")</f>
        <v/>
      </c>
      <c r="L206" t="str">
        <f>IFERROR(INDEX(tblBatidas[Observação],MATCH("B"&amp;MID($A206,2,99),tblBatidas[Início vinculado],0)),"")</f>
        <v/>
      </c>
      <c r="M206" t="str">
        <f>IFERROR(INDEX(tblPessoas[Base],MATCH(E206,tblPessoas[ID],0)),"")</f>
        <v/>
      </c>
      <c r="N206" s="3">
        <f>IFERROR(IF(D206="DIA ÚTIL",INDEX(tblPessoas[R$/h útil],MATCH(E206,tblPessoas[ID],0)),INDEX(tblPessoas[R$/h FDS],MATCH(E206,tblPessoas[ID],0))),0)</f>
        <v>0</v>
      </c>
      <c r="O206" s="3">
        <f>IFERROR(INDEX(tblPessoas[R$/diária],MATCH(E206,tblPessoas[ID],0)),0)</f>
        <v>0</v>
      </c>
      <c r="P206" s="3" t="str">
        <f t="shared" si="14"/>
        <v/>
      </c>
      <c r="Q206" t="str">
        <f>IF(A206="","",IF(COUNTIF(tblBatidas[Início vinculado],"B"&amp;MID($A206,2,99))=0,"EM ABERTO",IF(OR(COUNTIF(tblBatidas[Início vinculado],"B"&amp;MID($A206,2,99))&gt;1,K206&lt;0,K206&gt;16,INT(INDEX(tblBatidas[Data e hora],MATCH("B"&amp;MID($A206,2,99),tblBatidas[Início vinculado],0)))&lt;&gt;B206,INDEX(tblBatidas[ID],MATCH("B"&amp;MID($A206,2,99),tblBatidas[Início vinculado],0))&lt;&gt;E206,INDEX(tblBatidas[Projeto],MATCH("B"&amp;MID($A206,2,99),tblBatidas[Início vinculado],0))&lt;&gt;G206,INDEX(tblBatidas[Atividade],MATCH("B"&amp;MID($A206,2,99),tblBatidas[Início vinculado],0))&lt;&gt;H206),"REVISAR","CONCLUÍDO")))</f>
        <v/>
      </c>
      <c r="R206">
        <f>IF(Q206&lt;&gt;"CONCLUÍDO",0,IF(COUNTIFS($E$5:E206,E206,$B$5:B206,B206,$Q$5:Q206,"CONCLUÍDO")=1,1,0))</f>
        <v>0</v>
      </c>
      <c r="S206" t="str">
        <f t="shared" si="15"/>
        <v/>
      </c>
      <c r="T206" t="str">
        <f>IF(E206="","",E206*100000+COUNTIFS(tblRegistros[ID],E206,tblRegistros[Data],"&lt;"&amp;B206)+COUNTIFS(tblRegistros[ID],E206,tblRegistros[Data],B206,tblRegistros[Início],"&lt;"&amp;I206)+COUNTIFS($E$5:E206,E206,$B$5:B206,B206,$I$5:I206,I206))</f>
        <v/>
      </c>
    </row>
    <row r="207" spans="2:20">
      <c r="B207" s="2" t="str">
        <f>IFERROR(INT(INDEX(tblBatidas[Data e hora],MATCH("B"&amp;MID($A207,2,99),tblBatidas[Batida ID],0))),"")</f>
        <v/>
      </c>
      <c r="C207" t="str">
        <f t="shared" si="12"/>
        <v/>
      </c>
      <c r="D207" t="str">
        <f t="shared" si="13"/>
        <v/>
      </c>
      <c r="E207" t="str">
        <f>IFERROR(INDEX(tblBatidas[ID],MATCH("B"&amp;MID($A207,2,99),tblBatidas[Batida ID],0)),"")</f>
        <v/>
      </c>
      <c r="F207" t="str">
        <f>IFERROR(INDEX(tblPessoas[Pessoa],MATCH(E207,tblPessoas[ID],0)),"")</f>
        <v/>
      </c>
      <c r="G207" t="str">
        <f>IFERROR(INDEX(tblBatidas[Projeto],MATCH("B"&amp;MID($A207,2,99),tblBatidas[Batida ID],0)),"")</f>
        <v/>
      </c>
      <c r="H207" t="str">
        <f>IFERROR(INDEX(tblBatidas[Atividade],MATCH("B"&amp;MID($A207,2,99),tblBatidas[Batida ID],0)),"")</f>
        <v/>
      </c>
      <c r="I207" s="4" t="str">
        <f>IFERROR(MOD(INDEX(tblBatidas[Data e hora],MATCH("B"&amp;MID($A207,2,99),tblBatidas[Batida ID],0)),1),"")</f>
        <v/>
      </c>
      <c r="J207" s="4" t="str">
        <f>IFERROR(MOD(INDEX(tblBatidas[Data e hora],MATCH("B"&amp;MID($A207,2,99),tblBatidas[Início vinculado],0)),1),"")</f>
        <v/>
      </c>
      <c r="K207" s="14" t="str">
        <f>IFERROR((INDEX(tblBatidas[Data e hora],MATCH("B"&amp;MID($A207,2,99),tblBatidas[Início vinculado],0))-INDEX(tblBatidas[Data e hora],MATCH("B"&amp;MID($A207,2,99),tblBatidas[Batida ID],0)))*24,"")</f>
        <v/>
      </c>
      <c r="L207" t="str">
        <f>IFERROR(INDEX(tblBatidas[Observação],MATCH("B"&amp;MID($A207,2,99),tblBatidas[Início vinculado],0)),"")</f>
        <v/>
      </c>
      <c r="M207" t="str">
        <f>IFERROR(INDEX(tblPessoas[Base],MATCH(E207,tblPessoas[ID],0)),"")</f>
        <v/>
      </c>
      <c r="N207" s="3">
        <f>IFERROR(IF(D207="DIA ÚTIL",INDEX(tblPessoas[R$/h útil],MATCH(E207,tblPessoas[ID],0)),INDEX(tblPessoas[R$/h FDS],MATCH(E207,tblPessoas[ID],0))),0)</f>
        <v>0</v>
      </c>
      <c r="O207" s="3">
        <f>IFERROR(INDEX(tblPessoas[R$/diária],MATCH(E207,tblPessoas[ID],0)),0)</f>
        <v>0</v>
      </c>
      <c r="P207" s="3" t="str">
        <f t="shared" si="14"/>
        <v/>
      </c>
      <c r="Q207" t="str">
        <f>IF(A207="","",IF(COUNTIF(tblBatidas[Início vinculado],"B"&amp;MID($A207,2,99))=0,"EM ABERTO",IF(OR(COUNTIF(tblBatidas[Início vinculado],"B"&amp;MID($A207,2,99))&gt;1,K207&lt;0,K207&gt;16,INT(INDEX(tblBatidas[Data e hora],MATCH("B"&amp;MID($A207,2,99),tblBatidas[Início vinculado],0)))&lt;&gt;B207,INDEX(tblBatidas[ID],MATCH("B"&amp;MID($A207,2,99),tblBatidas[Início vinculado],0))&lt;&gt;E207,INDEX(tblBatidas[Projeto],MATCH("B"&amp;MID($A207,2,99),tblBatidas[Início vinculado],0))&lt;&gt;G207,INDEX(tblBatidas[Atividade],MATCH("B"&amp;MID($A207,2,99),tblBatidas[Início vinculado],0))&lt;&gt;H207),"REVISAR","CONCLUÍDO")))</f>
        <v/>
      </c>
      <c r="R207">
        <f>IF(Q207&lt;&gt;"CONCLUÍDO",0,IF(COUNTIFS($E$5:E207,E207,$B$5:B207,B207,$Q$5:Q207,"CONCLUÍDO")=1,1,0))</f>
        <v>0</v>
      </c>
      <c r="S207" t="str">
        <f t="shared" si="15"/>
        <v/>
      </c>
      <c r="T207" t="str">
        <f>IF(E207="","",E207*100000+COUNTIFS(tblRegistros[ID],E207,tblRegistros[Data],"&lt;"&amp;B207)+COUNTIFS(tblRegistros[ID],E207,tblRegistros[Data],B207,tblRegistros[Início],"&lt;"&amp;I207)+COUNTIFS($E$5:E207,E207,$B$5:B207,B207,$I$5:I207,I207))</f>
        <v/>
      </c>
    </row>
    <row r="208" spans="2:20">
      <c r="B208" s="2" t="str">
        <f>IFERROR(INT(INDEX(tblBatidas[Data e hora],MATCH("B"&amp;MID($A208,2,99),tblBatidas[Batida ID],0))),"")</f>
        <v/>
      </c>
      <c r="C208" t="str">
        <f t="shared" si="12"/>
        <v/>
      </c>
      <c r="D208" t="str">
        <f t="shared" si="13"/>
        <v/>
      </c>
      <c r="E208" t="str">
        <f>IFERROR(INDEX(tblBatidas[ID],MATCH("B"&amp;MID($A208,2,99),tblBatidas[Batida ID],0)),"")</f>
        <v/>
      </c>
      <c r="F208" t="str">
        <f>IFERROR(INDEX(tblPessoas[Pessoa],MATCH(E208,tblPessoas[ID],0)),"")</f>
        <v/>
      </c>
      <c r="G208" t="str">
        <f>IFERROR(INDEX(tblBatidas[Projeto],MATCH("B"&amp;MID($A208,2,99),tblBatidas[Batida ID],0)),"")</f>
        <v/>
      </c>
      <c r="H208" t="str">
        <f>IFERROR(INDEX(tblBatidas[Atividade],MATCH("B"&amp;MID($A208,2,99),tblBatidas[Batida ID],0)),"")</f>
        <v/>
      </c>
      <c r="I208" s="4" t="str">
        <f>IFERROR(MOD(INDEX(tblBatidas[Data e hora],MATCH("B"&amp;MID($A208,2,99),tblBatidas[Batida ID],0)),1),"")</f>
        <v/>
      </c>
      <c r="J208" s="4" t="str">
        <f>IFERROR(MOD(INDEX(tblBatidas[Data e hora],MATCH("B"&amp;MID($A208,2,99),tblBatidas[Início vinculado],0)),1),"")</f>
        <v/>
      </c>
      <c r="K208" s="14" t="str">
        <f>IFERROR((INDEX(tblBatidas[Data e hora],MATCH("B"&amp;MID($A208,2,99),tblBatidas[Início vinculado],0))-INDEX(tblBatidas[Data e hora],MATCH("B"&amp;MID($A208,2,99),tblBatidas[Batida ID],0)))*24,"")</f>
        <v/>
      </c>
      <c r="L208" t="str">
        <f>IFERROR(INDEX(tblBatidas[Observação],MATCH("B"&amp;MID($A208,2,99),tblBatidas[Início vinculado],0)),"")</f>
        <v/>
      </c>
      <c r="M208" t="str">
        <f>IFERROR(INDEX(tblPessoas[Base],MATCH(E208,tblPessoas[ID],0)),"")</f>
        <v/>
      </c>
      <c r="N208" s="3">
        <f>IFERROR(IF(D208="DIA ÚTIL",INDEX(tblPessoas[R$/h útil],MATCH(E208,tblPessoas[ID],0)),INDEX(tblPessoas[R$/h FDS],MATCH(E208,tblPessoas[ID],0))),0)</f>
        <v>0</v>
      </c>
      <c r="O208" s="3">
        <f>IFERROR(INDEX(tblPessoas[R$/diária],MATCH(E208,tblPessoas[ID],0)),0)</f>
        <v>0</v>
      </c>
      <c r="P208" s="3" t="str">
        <f t="shared" si="14"/>
        <v/>
      </c>
      <c r="Q208" t="str">
        <f>IF(A208="","",IF(COUNTIF(tblBatidas[Início vinculado],"B"&amp;MID($A208,2,99))=0,"EM ABERTO",IF(OR(COUNTIF(tblBatidas[Início vinculado],"B"&amp;MID($A208,2,99))&gt;1,K208&lt;0,K208&gt;16,INT(INDEX(tblBatidas[Data e hora],MATCH("B"&amp;MID($A208,2,99),tblBatidas[Início vinculado],0)))&lt;&gt;B208,INDEX(tblBatidas[ID],MATCH("B"&amp;MID($A208,2,99),tblBatidas[Início vinculado],0))&lt;&gt;E208,INDEX(tblBatidas[Projeto],MATCH("B"&amp;MID($A208,2,99),tblBatidas[Início vinculado],0))&lt;&gt;G208,INDEX(tblBatidas[Atividade],MATCH("B"&amp;MID($A208,2,99),tblBatidas[Início vinculado],0))&lt;&gt;H208),"REVISAR","CONCLUÍDO")))</f>
        <v/>
      </c>
      <c r="R208">
        <f>IF(Q208&lt;&gt;"CONCLUÍDO",0,IF(COUNTIFS($E$5:E208,E208,$B$5:B208,B208,$Q$5:Q208,"CONCLUÍDO")=1,1,0))</f>
        <v>0</v>
      </c>
      <c r="S208" t="str">
        <f t="shared" si="15"/>
        <v/>
      </c>
      <c r="T208" t="str">
        <f>IF(E208="","",E208*100000+COUNTIFS(tblRegistros[ID],E208,tblRegistros[Data],"&lt;"&amp;B208)+COUNTIFS(tblRegistros[ID],E208,tblRegistros[Data],B208,tblRegistros[Início],"&lt;"&amp;I208)+COUNTIFS($E$5:E208,E208,$B$5:B208,B208,$I$5:I208,I208))</f>
        <v/>
      </c>
    </row>
    <row r="209" spans="2:20">
      <c r="B209" s="2" t="str">
        <f>IFERROR(INT(INDEX(tblBatidas[Data e hora],MATCH("B"&amp;MID($A209,2,99),tblBatidas[Batida ID],0))),"")</f>
        <v/>
      </c>
      <c r="C209" t="str">
        <f t="shared" si="12"/>
        <v/>
      </c>
      <c r="D209" t="str">
        <f t="shared" si="13"/>
        <v/>
      </c>
      <c r="E209" t="str">
        <f>IFERROR(INDEX(tblBatidas[ID],MATCH("B"&amp;MID($A209,2,99),tblBatidas[Batida ID],0)),"")</f>
        <v/>
      </c>
      <c r="F209" t="str">
        <f>IFERROR(INDEX(tblPessoas[Pessoa],MATCH(E209,tblPessoas[ID],0)),"")</f>
        <v/>
      </c>
      <c r="G209" t="str">
        <f>IFERROR(INDEX(tblBatidas[Projeto],MATCH("B"&amp;MID($A209,2,99),tblBatidas[Batida ID],0)),"")</f>
        <v/>
      </c>
      <c r="H209" t="str">
        <f>IFERROR(INDEX(tblBatidas[Atividade],MATCH("B"&amp;MID($A209,2,99),tblBatidas[Batida ID],0)),"")</f>
        <v/>
      </c>
      <c r="I209" s="4" t="str">
        <f>IFERROR(MOD(INDEX(tblBatidas[Data e hora],MATCH("B"&amp;MID($A209,2,99),tblBatidas[Batida ID],0)),1),"")</f>
        <v/>
      </c>
      <c r="J209" s="4" t="str">
        <f>IFERROR(MOD(INDEX(tblBatidas[Data e hora],MATCH("B"&amp;MID($A209,2,99),tblBatidas[Início vinculado],0)),1),"")</f>
        <v/>
      </c>
      <c r="K209" s="14" t="str">
        <f>IFERROR((INDEX(tblBatidas[Data e hora],MATCH("B"&amp;MID($A209,2,99),tblBatidas[Início vinculado],0))-INDEX(tblBatidas[Data e hora],MATCH("B"&amp;MID($A209,2,99),tblBatidas[Batida ID],0)))*24,"")</f>
        <v/>
      </c>
      <c r="L209" t="str">
        <f>IFERROR(INDEX(tblBatidas[Observação],MATCH("B"&amp;MID($A209,2,99),tblBatidas[Início vinculado],0)),"")</f>
        <v/>
      </c>
      <c r="M209" t="str">
        <f>IFERROR(INDEX(tblPessoas[Base],MATCH(E209,tblPessoas[ID],0)),"")</f>
        <v/>
      </c>
      <c r="N209" s="3">
        <f>IFERROR(IF(D209="DIA ÚTIL",INDEX(tblPessoas[R$/h útil],MATCH(E209,tblPessoas[ID],0)),INDEX(tblPessoas[R$/h FDS],MATCH(E209,tblPessoas[ID],0))),0)</f>
        <v>0</v>
      </c>
      <c r="O209" s="3">
        <f>IFERROR(INDEX(tblPessoas[R$/diária],MATCH(E209,tblPessoas[ID],0)),0)</f>
        <v>0</v>
      </c>
      <c r="P209" s="3" t="str">
        <f t="shared" si="14"/>
        <v/>
      </c>
      <c r="Q209" t="str">
        <f>IF(A209="","",IF(COUNTIF(tblBatidas[Início vinculado],"B"&amp;MID($A209,2,99))=0,"EM ABERTO",IF(OR(COUNTIF(tblBatidas[Início vinculado],"B"&amp;MID($A209,2,99))&gt;1,K209&lt;0,K209&gt;16,INT(INDEX(tblBatidas[Data e hora],MATCH("B"&amp;MID($A209,2,99),tblBatidas[Início vinculado],0)))&lt;&gt;B209,INDEX(tblBatidas[ID],MATCH("B"&amp;MID($A209,2,99),tblBatidas[Início vinculado],0))&lt;&gt;E209,INDEX(tblBatidas[Projeto],MATCH("B"&amp;MID($A209,2,99),tblBatidas[Início vinculado],0))&lt;&gt;G209,INDEX(tblBatidas[Atividade],MATCH("B"&amp;MID($A209,2,99),tblBatidas[Início vinculado],0))&lt;&gt;H209),"REVISAR","CONCLUÍDO")))</f>
        <v/>
      </c>
      <c r="R209">
        <f>IF(Q209&lt;&gt;"CONCLUÍDO",0,IF(COUNTIFS($E$5:E209,E209,$B$5:B209,B209,$Q$5:Q209,"CONCLUÍDO")=1,1,0))</f>
        <v>0</v>
      </c>
      <c r="S209" t="str">
        <f t="shared" si="15"/>
        <v/>
      </c>
      <c r="T209" t="str">
        <f>IF(E209="","",E209*100000+COUNTIFS(tblRegistros[ID],E209,tblRegistros[Data],"&lt;"&amp;B209)+COUNTIFS(tblRegistros[ID],E209,tblRegistros[Data],B209,tblRegistros[Início],"&lt;"&amp;I209)+COUNTIFS($E$5:E209,E209,$B$5:B209,B209,$I$5:I209,I209))</f>
        <v/>
      </c>
    </row>
    <row r="210" spans="2:20">
      <c r="B210" s="2" t="str">
        <f>IFERROR(INT(INDEX(tblBatidas[Data e hora],MATCH("B"&amp;MID($A210,2,99),tblBatidas[Batida ID],0))),"")</f>
        <v/>
      </c>
      <c r="C210" t="str">
        <f t="shared" si="12"/>
        <v/>
      </c>
      <c r="D210" t="str">
        <f t="shared" si="13"/>
        <v/>
      </c>
      <c r="E210" t="str">
        <f>IFERROR(INDEX(tblBatidas[ID],MATCH("B"&amp;MID($A210,2,99),tblBatidas[Batida ID],0)),"")</f>
        <v/>
      </c>
      <c r="F210" t="str">
        <f>IFERROR(INDEX(tblPessoas[Pessoa],MATCH(E210,tblPessoas[ID],0)),"")</f>
        <v/>
      </c>
      <c r="G210" t="str">
        <f>IFERROR(INDEX(tblBatidas[Projeto],MATCH("B"&amp;MID($A210,2,99),tblBatidas[Batida ID],0)),"")</f>
        <v/>
      </c>
      <c r="H210" t="str">
        <f>IFERROR(INDEX(tblBatidas[Atividade],MATCH("B"&amp;MID($A210,2,99),tblBatidas[Batida ID],0)),"")</f>
        <v/>
      </c>
      <c r="I210" s="4" t="str">
        <f>IFERROR(MOD(INDEX(tblBatidas[Data e hora],MATCH("B"&amp;MID($A210,2,99),tblBatidas[Batida ID],0)),1),"")</f>
        <v/>
      </c>
      <c r="J210" s="4" t="str">
        <f>IFERROR(MOD(INDEX(tblBatidas[Data e hora],MATCH("B"&amp;MID($A210,2,99),tblBatidas[Início vinculado],0)),1),"")</f>
        <v/>
      </c>
      <c r="K210" s="14" t="str">
        <f>IFERROR((INDEX(tblBatidas[Data e hora],MATCH("B"&amp;MID($A210,2,99),tblBatidas[Início vinculado],0))-INDEX(tblBatidas[Data e hora],MATCH("B"&amp;MID($A210,2,99),tblBatidas[Batida ID],0)))*24,"")</f>
        <v/>
      </c>
      <c r="L210" t="str">
        <f>IFERROR(INDEX(tblBatidas[Observação],MATCH("B"&amp;MID($A210,2,99),tblBatidas[Início vinculado],0)),"")</f>
        <v/>
      </c>
      <c r="M210" t="str">
        <f>IFERROR(INDEX(tblPessoas[Base],MATCH(E210,tblPessoas[ID],0)),"")</f>
        <v/>
      </c>
      <c r="N210" s="3">
        <f>IFERROR(IF(D210="DIA ÚTIL",INDEX(tblPessoas[R$/h útil],MATCH(E210,tblPessoas[ID],0)),INDEX(tblPessoas[R$/h FDS],MATCH(E210,tblPessoas[ID],0))),0)</f>
        <v>0</v>
      </c>
      <c r="O210" s="3">
        <f>IFERROR(INDEX(tblPessoas[R$/diária],MATCH(E210,tblPessoas[ID],0)),0)</f>
        <v>0</v>
      </c>
      <c r="P210" s="3" t="str">
        <f t="shared" si="14"/>
        <v/>
      </c>
      <c r="Q210" t="str">
        <f>IF(A210="","",IF(COUNTIF(tblBatidas[Início vinculado],"B"&amp;MID($A210,2,99))=0,"EM ABERTO",IF(OR(COUNTIF(tblBatidas[Início vinculado],"B"&amp;MID($A210,2,99))&gt;1,K210&lt;0,K210&gt;16,INT(INDEX(tblBatidas[Data e hora],MATCH("B"&amp;MID($A210,2,99),tblBatidas[Início vinculado],0)))&lt;&gt;B210,INDEX(tblBatidas[ID],MATCH("B"&amp;MID($A210,2,99),tblBatidas[Início vinculado],0))&lt;&gt;E210,INDEX(tblBatidas[Projeto],MATCH("B"&amp;MID($A210,2,99),tblBatidas[Início vinculado],0))&lt;&gt;G210,INDEX(tblBatidas[Atividade],MATCH("B"&amp;MID($A210,2,99),tblBatidas[Início vinculado],0))&lt;&gt;H210),"REVISAR","CONCLUÍDO")))</f>
        <v/>
      </c>
      <c r="R210">
        <f>IF(Q210&lt;&gt;"CONCLUÍDO",0,IF(COUNTIFS($E$5:E210,E210,$B$5:B210,B210,$Q$5:Q210,"CONCLUÍDO")=1,1,0))</f>
        <v>0</v>
      </c>
      <c r="S210" t="str">
        <f t="shared" si="15"/>
        <v/>
      </c>
      <c r="T210" t="str">
        <f>IF(E210="","",E210*100000+COUNTIFS(tblRegistros[ID],E210,tblRegistros[Data],"&lt;"&amp;B210)+COUNTIFS(tblRegistros[ID],E210,tblRegistros[Data],B210,tblRegistros[Início],"&lt;"&amp;I210)+COUNTIFS($E$5:E210,E210,$B$5:B210,B210,$I$5:I210,I210))</f>
        <v/>
      </c>
    </row>
    <row r="211" spans="2:20">
      <c r="B211" s="2" t="str">
        <f>IFERROR(INT(INDEX(tblBatidas[Data e hora],MATCH("B"&amp;MID($A211,2,99),tblBatidas[Batida ID],0))),"")</f>
        <v/>
      </c>
      <c r="C211" t="str">
        <f t="shared" si="12"/>
        <v/>
      </c>
      <c r="D211" t="str">
        <f t="shared" si="13"/>
        <v/>
      </c>
      <c r="E211" t="str">
        <f>IFERROR(INDEX(tblBatidas[ID],MATCH("B"&amp;MID($A211,2,99),tblBatidas[Batida ID],0)),"")</f>
        <v/>
      </c>
      <c r="F211" t="str">
        <f>IFERROR(INDEX(tblPessoas[Pessoa],MATCH(E211,tblPessoas[ID],0)),"")</f>
        <v/>
      </c>
      <c r="G211" t="str">
        <f>IFERROR(INDEX(tblBatidas[Projeto],MATCH("B"&amp;MID($A211,2,99),tblBatidas[Batida ID],0)),"")</f>
        <v/>
      </c>
      <c r="H211" t="str">
        <f>IFERROR(INDEX(tblBatidas[Atividade],MATCH("B"&amp;MID($A211,2,99),tblBatidas[Batida ID],0)),"")</f>
        <v/>
      </c>
      <c r="I211" s="4" t="str">
        <f>IFERROR(MOD(INDEX(tblBatidas[Data e hora],MATCH("B"&amp;MID($A211,2,99),tblBatidas[Batida ID],0)),1),"")</f>
        <v/>
      </c>
      <c r="J211" s="4" t="str">
        <f>IFERROR(MOD(INDEX(tblBatidas[Data e hora],MATCH("B"&amp;MID($A211,2,99),tblBatidas[Início vinculado],0)),1),"")</f>
        <v/>
      </c>
      <c r="K211" s="14" t="str">
        <f>IFERROR((INDEX(tblBatidas[Data e hora],MATCH("B"&amp;MID($A211,2,99),tblBatidas[Início vinculado],0))-INDEX(tblBatidas[Data e hora],MATCH("B"&amp;MID($A211,2,99),tblBatidas[Batida ID],0)))*24,"")</f>
        <v/>
      </c>
      <c r="L211" t="str">
        <f>IFERROR(INDEX(tblBatidas[Observação],MATCH("B"&amp;MID($A211,2,99),tblBatidas[Início vinculado],0)),"")</f>
        <v/>
      </c>
      <c r="M211" t="str">
        <f>IFERROR(INDEX(tblPessoas[Base],MATCH(E211,tblPessoas[ID],0)),"")</f>
        <v/>
      </c>
      <c r="N211" s="3">
        <f>IFERROR(IF(D211="DIA ÚTIL",INDEX(tblPessoas[R$/h útil],MATCH(E211,tblPessoas[ID],0)),INDEX(tblPessoas[R$/h FDS],MATCH(E211,tblPessoas[ID],0))),0)</f>
        <v>0</v>
      </c>
      <c r="O211" s="3">
        <f>IFERROR(INDEX(tblPessoas[R$/diária],MATCH(E211,tblPessoas[ID],0)),0)</f>
        <v>0</v>
      </c>
      <c r="P211" s="3" t="str">
        <f t="shared" si="14"/>
        <v/>
      </c>
      <c r="Q211" t="str">
        <f>IF(A211="","",IF(COUNTIF(tblBatidas[Início vinculado],"B"&amp;MID($A211,2,99))=0,"EM ABERTO",IF(OR(COUNTIF(tblBatidas[Início vinculado],"B"&amp;MID($A211,2,99))&gt;1,K211&lt;0,K211&gt;16,INT(INDEX(tblBatidas[Data e hora],MATCH("B"&amp;MID($A211,2,99),tblBatidas[Início vinculado],0)))&lt;&gt;B211,INDEX(tblBatidas[ID],MATCH("B"&amp;MID($A211,2,99),tblBatidas[Início vinculado],0))&lt;&gt;E211,INDEX(tblBatidas[Projeto],MATCH("B"&amp;MID($A211,2,99),tblBatidas[Início vinculado],0))&lt;&gt;G211,INDEX(tblBatidas[Atividade],MATCH("B"&amp;MID($A211,2,99),tblBatidas[Início vinculado],0))&lt;&gt;H211),"REVISAR","CONCLUÍDO")))</f>
        <v/>
      </c>
      <c r="R211">
        <f>IF(Q211&lt;&gt;"CONCLUÍDO",0,IF(COUNTIFS($E$5:E211,E211,$B$5:B211,B211,$Q$5:Q211,"CONCLUÍDO")=1,1,0))</f>
        <v>0</v>
      </c>
      <c r="S211" t="str">
        <f t="shared" si="15"/>
        <v/>
      </c>
      <c r="T211" t="str">
        <f>IF(E211="","",E211*100000+COUNTIFS(tblRegistros[ID],E211,tblRegistros[Data],"&lt;"&amp;B211)+COUNTIFS(tblRegistros[ID],E211,tblRegistros[Data],B211,tblRegistros[Início],"&lt;"&amp;I211)+COUNTIFS($E$5:E211,E211,$B$5:B211,B211,$I$5:I211,I211))</f>
        <v/>
      </c>
    </row>
    <row r="212" spans="2:20">
      <c r="B212" s="2" t="str">
        <f>IFERROR(INT(INDEX(tblBatidas[Data e hora],MATCH("B"&amp;MID($A212,2,99),tblBatidas[Batida ID],0))),"")</f>
        <v/>
      </c>
      <c r="C212" t="str">
        <f t="shared" si="12"/>
        <v/>
      </c>
      <c r="D212" t="str">
        <f t="shared" si="13"/>
        <v/>
      </c>
      <c r="E212" t="str">
        <f>IFERROR(INDEX(tblBatidas[ID],MATCH("B"&amp;MID($A212,2,99),tblBatidas[Batida ID],0)),"")</f>
        <v/>
      </c>
      <c r="F212" t="str">
        <f>IFERROR(INDEX(tblPessoas[Pessoa],MATCH(E212,tblPessoas[ID],0)),"")</f>
        <v/>
      </c>
      <c r="G212" t="str">
        <f>IFERROR(INDEX(tblBatidas[Projeto],MATCH("B"&amp;MID($A212,2,99),tblBatidas[Batida ID],0)),"")</f>
        <v/>
      </c>
      <c r="H212" t="str">
        <f>IFERROR(INDEX(tblBatidas[Atividade],MATCH("B"&amp;MID($A212,2,99),tblBatidas[Batida ID],0)),"")</f>
        <v/>
      </c>
      <c r="I212" s="4" t="str">
        <f>IFERROR(MOD(INDEX(tblBatidas[Data e hora],MATCH("B"&amp;MID($A212,2,99),tblBatidas[Batida ID],0)),1),"")</f>
        <v/>
      </c>
      <c r="J212" s="4" t="str">
        <f>IFERROR(MOD(INDEX(tblBatidas[Data e hora],MATCH("B"&amp;MID($A212,2,99),tblBatidas[Início vinculado],0)),1),"")</f>
        <v/>
      </c>
      <c r="K212" s="14" t="str">
        <f>IFERROR((INDEX(tblBatidas[Data e hora],MATCH("B"&amp;MID($A212,2,99),tblBatidas[Início vinculado],0))-INDEX(tblBatidas[Data e hora],MATCH("B"&amp;MID($A212,2,99),tblBatidas[Batida ID],0)))*24,"")</f>
        <v/>
      </c>
      <c r="L212" t="str">
        <f>IFERROR(INDEX(tblBatidas[Observação],MATCH("B"&amp;MID($A212,2,99),tblBatidas[Início vinculado],0)),"")</f>
        <v/>
      </c>
      <c r="M212" t="str">
        <f>IFERROR(INDEX(tblPessoas[Base],MATCH(E212,tblPessoas[ID],0)),"")</f>
        <v/>
      </c>
      <c r="N212" s="3">
        <f>IFERROR(IF(D212="DIA ÚTIL",INDEX(tblPessoas[R$/h útil],MATCH(E212,tblPessoas[ID],0)),INDEX(tblPessoas[R$/h FDS],MATCH(E212,tblPessoas[ID],0))),0)</f>
        <v>0</v>
      </c>
      <c r="O212" s="3">
        <f>IFERROR(INDEX(tblPessoas[R$/diária],MATCH(E212,tblPessoas[ID],0)),0)</f>
        <v>0</v>
      </c>
      <c r="P212" s="3" t="str">
        <f t="shared" si="14"/>
        <v/>
      </c>
      <c r="Q212" t="str">
        <f>IF(A212="","",IF(COUNTIF(tblBatidas[Início vinculado],"B"&amp;MID($A212,2,99))=0,"EM ABERTO",IF(OR(COUNTIF(tblBatidas[Início vinculado],"B"&amp;MID($A212,2,99))&gt;1,K212&lt;0,K212&gt;16,INT(INDEX(tblBatidas[Data e hora],MATCH("B"&amp;MID($A212,2,99),tblBatidas[Início vinculado],0)))&lt;&gt;B212,INDEX(tblBatidas[ID],MATCH("B"&amp;MID($A212,2,99),tblBatidas[Início vinculado],0))&lt;&gt;E212,INDEX(tblBatidas[Projeto],MATCH("B"&amp;MID($A212,2,99),tblBatidas[Início vinculado],0))&lt;&gt;G212,INDEX(tblBatidas[Atividade],MATCH("B"&amp;MID($A212,2,99),tblBatidas[Início vinculado],0))&lt;&gt;H212),"REVISAR","CONCLUÍDO")))</f>
        <v/>
      </c>
      <c r="R212">
        <f>IF(Q212&lt;&gt;"CONCLUÍDO",0,IF(COUNTIFS($E$5:E212,E212,$B$5:B212,B212,$Q$5:Q212,"CONCLUÍDO")=1,1,0))</f>
        <v>0</v>
      </c>
      <c r="S212" t="str">
        <f t="shared" si="15"/>
        <v/>
      </c>
      <c r="T212" t="str">
        <f>IF(E212="","",E212*100000+COUNTIFS(tblRegistros[ID],E212,tblRegistros[Data],"&lt;"&amp;B212)+COUNTIFS(tblRegistros[ID],E212,tblRegistros[Data],B212,tblRegistros[Início],"&lt;"&amp;I212)+COUNTIFS($E$5:E212,E212,$B$5:B212,B212,$I$5:I212,I212))</f>
        <v/>
      </c>
    </row>
    <row r="213" spans="2:20">
      <c r="B213" s="2" t="str">
        <f>IFERROR(INT(INDEX(tblBatidas[Data e hora],MATCH("B"&amp;MID($A213,2,99),tblBatidas[Batida ID],0))),"")</f>
        <v/>
      </c>
      <c r="C213" t="str">
        <f t="shared" si="12"/>
        <v/>
      </c>
      <c r="D213" t="str">
        <f t="shared" si="13"/>
        <v/>
      </c>
      <c r="E213" t="str">
        <f>IFERROR(INDEX(tblBatidas[ID],MATCH("B"&amp;MID($A213,2,99),tblBatidas[Batida ID],0)),"")</f>
        <v/>
      </c>
      <c r="F213" t="str">
        <f>IFERROR(INDEX(tblPessoas[Pessoa],MATCH(E213,tblPessoas[ID],0)),"")</f>
        <v/>
      </c>
      <c r="G213" t="str">
        <f>IFERROR(INDEX(tblBatidas[Projeto],MATCH("B"&amp;MID($A213,2,99),tblBatidas[Batida ID],0)),"")</f>
        <v/>
      </c>
      <c r="H213" t="str">
        <f>IFERROR(INDEX(tblBatidas[Atividade],MATCH("B"&amp;MID($A213,2,99),tblBatidas[Batida ID],0)),"")</f>
        <v/>
      </c>
      <c r="I213" s="4" t="str">
        <f>IFERROR(MOD(INDEX(tblBatidas[Data e hora],MATCH("B"&amp;MID($A213,2,99),tblBatidas[Batida ID],0)),1),"")</f>
        <v/>
      </c>
      <c r="J213" s="4" t="str">
        <f>IFERROR(MOD(INDEX(tblBatidas[Data e hora],MATCH("B"&amp;MID($A213,2,99),tblBatidas[Início vinculado],0)),1),"")</f>
        <v/>
      </c>
      <c r="K213" s="14" t="str">
        <f>IFERROR((INDEX(tblBatidas[Data e hora],MATCH("B"&amp;MID($A213,2,99),tblBatidas[Início vinculado],0))-INDEX(tblBatidas[Data e hora],MATCH("B"&amp;MID($A213,2,99),tblBatidas[Batida ID],0)))*24,"")</f>
        <v/>
      </c>
      <c r="L213" t="str">
        <f>IFERROR(INDEX(tblBatidas[Observação],MATCH("B"&amp;MID($A213,2,99),tblBatidas[Início vinculado],0)),"")</f>
        <v/>
      </c>
      <c r="M213" t="str">
        <f>IFERROR(INDEX(tblPessoas[Base],MATCH(E213,tblPessoas[ID],0)),"")</f>
        <v/>
      </c>
      <c r="N213" s="3">
        <f>IFERROR(IF(D213="DIA ÚTIL",INDEX(tblPessoas[R$/h útil],MATCH(E213,tblPessoas[ID],0)),INDEX(tblPessoas[R$/h FDS],MATCH(E213,tblPessoas[ID],0))),0)</f>
        <v>0</v>
      </c>
      <c r="O213" s="3">
        <f>IFERROR(INDEX(tblPessoas[R$/diária],MATCH(E213,tblPessoas[ID],0)),0)</f>
        <v>0</v>
      </c>
      <c r="P213" s="3" t="str">
        <f t="shared" si="14"/>
        <v/>
      </c>
      <c r="Q213" t="str">
        <f>IF(A213="","",IF(COUNTIF(tblBatidas[Início vinculado],"B"&amp;MID($A213,2,99))=0,"EM ABERTO",IF(OR(COUNTIF(tblBatidas[Início vinculado],"B"&amp;MID($A213,2,99))&gt;1,K213&lt;0,K213&gt;16,INT(INDEX(tblBatidas[Data e hora],MATCH("B"&amp;MID($A213,2,99),tblBatidas[Início vinculado],0)))&lt;&gt;B213,INDEX(tblBatidas[ID],MATCH("B"&amp;MID($A213,2,99),tblBatidas[Início vinculado],0))&lt;&gt;E213,INDEX(tblBatidas[Projeto],MATCH("B"&amp;MID($A213,2,99),tblBatidas[Início vinculado],0))&lt;&gt;G213,INDEX(tblBatidas[Atividade],MATCH("B"&amp;MID($A213,2,99),tblBatidas[Início vinculado],0))&lt;&gt;H213),"REVISAR","CONCLUÍDO")))</f>
        <v/>
      </c>
      <c r="R213">
        <f>IF(Q213&lt;&gt;"CONCLUÍDO",0,IF(COUNTIFS($E$5:E213,E213,$B$5:B213,B213,$Q$5:Q213,"CONCLUÍDO")=1,1,0))</f>
        <v>0</v>
      </c>
      <c r="S213" t="str">
        <f t="shared" si="15"/>
        <v/>
      </c>
      <c r="T213" t="str">
        <f>IF(E213="","",E213*100000+COUNTIFS(tblRegistros[ID],E213,tblRegistros[Data],"&lt;"&amp;B213)+COUNTIFS(tblRegistros[ID],E213,tblRegistros[Data],B213,tblRegistros[Início],"&lt;"&amp;I213)+COUNTIFS($E$5:E213,E213,$B$5:B213,B213,$I$5:I213,I213))</f>
        <v/>
      </c>
    </row>
    <row r="214" spans="2:20">
      <c r="B214" s="2" t="str">
        <f>IFERROR(INT(INDEX(tblBatidas[Data e hora],MATCH("B"&amp;MID($A214,2,99),tblBatidas[Batida ID],0))),"")</f>
        <v/>
      </c>
      <c r="C214" t="str">
        <f t="shared" si="12"/>
        <v/>
      </c>
      <c r="D214" t="str">
        <f t="shared" si="13"/>
        <v/>
      </c>
      <c r="E214" t="str">
        <f>IFERROR(INDEX(tblBatidas[ID],MATCH("B"&amp;MID($A214,2,99),tblBatidas[Batida ID],0)),"")</f>
        <v/>
      </c>
      <c r="F214" t="str">
        <f>IFERROR(INDEX(tblPessoas[Pessoa],MATCH(E214,tblPessoas[ID],0)),"")</f>
        <v/>
      </c>
      <c r="G214" t="str">
        <f>IFERROR(INDEX(tblBatidas[Projeto],MATCH("B"&amp;MID($A214,2,99),tblBatidas[Batida ID],0)),"")</f>
        <v/>
      </c>
      <c r="H214" t="str">
        <f>IFERROR(INDEX(tblBatidas[Atividade],MATCH("B"&amp;MID($A214,2,99),tblBatidas[Batida ID],0)),"")</f>
        <v/>
      </c>
      <c r="I214" s="4" t="str">
        <f>IFERROR(MOD(INDEX(tblBatidas[Data e hora],MATCH("B"&amp;MID($A214,2,99),tblBatidas[Batida ID],0)),1),"")</f>
        <v/>
      </c>
      <c r="J214" s="4" t="str">
        <f>IFERROR(MOD(INDEX(tblBatidas[Data e hora],MATCH("B"&amp;MID($A214,2,99),tblBatidas[Início vinculado],0)),1),"")</f>
        <v/>
      </c>
      <c r="K214" s="14" t="str">
        <f>IFERROR((INDEX(tblBatidas[Data e hora],MATCH("B"&amp;MID($A214,2,99),tblBatidas[Início vinculado],0))-INDEX(tblBatidas[Data e hora],MATCH("B"&amp;MID($A214,2,99),tblBatidas[Batida ID],0)))*24,"")</f>
        <v/>
      </c>
      <c r="L214" t="str">
        <f>IFERROR(INDEX(tblBatidas[Observação],MATCH("B"&amp;MID($A214,2,99),tblBatidas[Início vinculado],0)),"")</f>
        <v/>
      </c>
      <c r="M214" t="str">
        <f>IFERROR(INDEX(tblPessoas[Base],MATCH(E214,tblPessoas[ID],0)),"")</f>
        <v/>
      </c>
      <c r="N214" s="3">
        <f>IFERROR(IF(D214="DIA ÚTIL",INDEX(tblPessoas[R$/h útil],MATCH(E214,tblPessoas[ID],0)),INDEX(tblPessoas[R$/h FDS],MATCH(E214,tblPessoas[ID],0))),0)</f>
        <v>0</v>
      </c>
      <c r="O214" s="3">
        <f>IFERROR(INDEX(tblPessoas[R$/diária],MATCH(E214,tblPessoas[ID],0)),0)</f>
        <v>0</v>
      </c>
      <c r="P214" s="3" t="str">
        <f t="shared" si="14"/>
        <v/>
      </c>
      <c r="Q214" t="str">
        <f>IF(A214="","",IF(COUNTIF(tblBatidas[Início vinculado],"B"&amp;MID($A214,2,99))=0,"EM ABERTO",IF(OR(COUNTIF(tblBatidas[Início vinculado],"B"&amp;MID($A214,2,99))&gt;1,K214&lt;0,K214&gt;16,INT(INDEX(tblBatidas[Data e hora],MATCH("B"&amp;MID($A214,2,99),tblBatidas[Início vinculado],0)))&lt;&gt;B214,INDEX(tblBatidas[ID],MATCH("B"&amp;MID($A214,2,99),tblBatidas[Início vinculado],0))&lt;&gt;E214,INDEX(tblBatidas[Projeto],MATCH("B"&amp;MID($A214,2,99),tblBatidas[Início vinculado],0))&lt;&gt;G214,INDEX(tblBatidas[Atividade],MATCH("B"&amp;MID($A214,2,99),tblBatidas[Início vinculado],0))&lt;&gt;H214),"REVISAR","CONCLUÍDO")))</f>
        <v/>
      </c>
      <c r="R214">
        <f>IF(Q214&lt;&gt;"CONCLUÍDO",0,IF(COUNTIFS($E$5:E214,E214,$B$5:B214,B214,$Q$5:Q214,"CONCLUÍDO")=1,1,0))</f>
        <v>0</v>
      </c>
      <c r="S214" t="str">
        <f t="shared" si="15"/>
        <v/>
      </c>
      <c r="T214" t="str">
        <f>IF(E214="","",E214*100000+COUNTIFS(tblRegistros[ID],E214,tblRegistros[Data],"&lt;"&amp;B214)+COUNTIFS(tblRegistros[ID],E214,tblRegistros[Data],B214,tblRegistros[Início],"&lt;"&amp;I214)+COUNTIFS($E$5:E214,E214,$B$5:B214,B214,$I$5:I214,I214))</f>
        <v/>
      </c>
    </row>
    <row r="215" spans="2:20">
      <c r="B215" s="2" t="str">
        <f>IFERROR(INT(INDEX(tblBatidas[Data e hora],MATCH("B"&amp;MID($A215,2,99),tblBatidas[Batida ID],0))),"")</f>
        <v/>
      </c>
      <c r="C215" t="str">
        <f t="shared" si="12"/>
        <v/>
      </c>
      <c r="D215" t="str">
        <f t="shared" si="13"/>
        <v/>
      </c>
      <c r="E215" t="str">
        <f>IFERROR(INDEX(tblBatidas[ID],MATCH("B"&amp;MID($A215,2,99),tblBatidas[Batida ID],0)),"")</f>
        <v/>
      </c>
      <c r="F215" t="str">
        <f>IFERROR(INDEX(tblPessoas[Pessoa],MATCH(E215,tblPessoas[ID],0)),"")</f>
        <v/>
      </c>
      <c r="G215" t="str">
        <f>IFERROR(INDEX(tblBatidas[Projeto],MATCH("B"&amp;MID($A215,2,99),tblBatidas[Batida ID],0)),"")</f>
        <v/>
      </c>
      <c r="H215" t="str">
        <f>IFERROR(INDEX(tblBatidas[Atividade],MATCH("B"&amp;MID($A215,2,99),tblBatidas[Batida ID],0)),"")</f>
        <v/>
      </c>
      <c r="I215" s="4" t="str">
        <f>IFERROR(MOD(INDEX(tblBatidas[Data e hora],MATCH("B"&amp;MID($A215,2,99),tblBatidas[Batida ID],0)),1),"")</f>
        <v/>
      </c>
      <c r="J215" s="4" t="str">
        <f>IFERROR(MOD(INDEX(tblBatidas[Data e hora],MATCH("B"&amp;MID($A215,2,99),tblBatidas[Início vinculado],0)),1),"")</f>
        <v/>
      </c>
      <c r="K215" s="14" t="str">
        <f>IFERROR((INDEX(tblBatidas[Data e hora],MATCH("B"&amp;MID($A215,2,99),tblBatidas[Início vinculado],0))-INDEX(tblBatidas[Data e hora],MATCH("B"&amp;MID($A215,2,99),tblBatidas[Batida ID],0)))*24,"")</f>
        <v/>
      </c>
      <c r="L215" t="str">
        <f>IFERROR(INDEX(tblBatidas[Observação],MATCH("B"&amp;MID($A215,2,99),tblBatidas[Início vinculado],0)),"")</f>
        <v/>
      </c>
      <c r="M215" t="str">
        <f>IFERROR(INDEX(tblPessoas[Base],MATCH(E215,tblPessoas[ID],0)),"")</f>
        <v/>
      </c>
      <c r="N215" s="3">
        <f>IFERROR(IF(D215="DIA ÚTIL",INDEX(tblPessoas[R$/h útil],MATCH(E215,tblPessoas[ID],0)),INDEX(tblPessoas[R$/h FDS],MATCH(E215,tblPessoas[ID],0))),0)</f>
        <v>0</v>
      </c>
      <c r="O215" s="3">
        <f>IFERROR(INDEX(tblPessoas[R$/diária],MATCH(E215,tblPessoas[ID],0)),0)</f>
        <v>0</v>
      </c>
      <c r="P215" s="3" t="str">
        <f t="shared" si="14"/>
        <v/>
      </c>
      <c r="Q215" t="str">
        <f>IF(A215="","",IF(COUNTIF(tblBatidas[Início vinculado],"B"&amp;MID($A215,2,99))=0,"EM ABERTO",IF(OR(COUNTIF(tblBatidas[Início vinculado],"B"&amp;MID($A215,2,99))&gt;1,K215&lt;0,K215&gt;16,INT(INDEX(tblBatidas[Data e hora],MATCH("B"&amp;MID($A215,2,99),tblBatidas[Início vinculado],0)))&lt;&gt;B215,INDEX(tblBatidas[ID],MATCH("B"&amp;MID($A215,2,99),tblBatidas[Início vinculado],0))&lt;&gt;E215,INDEX(tblBatidas[Projeto],MATCH("B"&amp;MID($A215,2,99),tblBatidas[Início vinculado],0))&lt;&gt;G215,INDEX(tblBatidas[Atividade],MATCH("B"&amp;MID($A215,2,99),tblBatidas[Início vinculado],0))&lt;&gt;H215),"REVISAR","CONCLUÍDO")))</f>
        <v/>
      </c>
      <c r="R215">
        <f>IF(Q215&lt;&gt;"CONCLUÍDO",0,IF(COUNTIFS($E$5:E215,E215,$B$5:B215,B215,$Q$5:Q215,"CONCLUÍDO")=1,1,0))</f>
        <v>0</v>
      </c>
      <c r="S215" t="str">
        <f t="shared" si="15"/>
        <v/>
      </c>
      <c r="T215" t="str">
        <f>IF(E215="","",E215*100000+COUNTIFS(tblRegistros[ID],E215,tblRegistros[Data],"&lt;"&amp;B215)+COUNTIFS(tblRegistros[ID],E215,tblRegistros[Data],B215,tblRegistros[Início],"&lt;"&amp;I215)+COUNTIFS($E$5:E215,E215,$B$5:B215,B215,$I$5:I215,I215))</f>
        <v/>
      </c>
    </row>
    <row r="216" spans="2:20">
      <c r="B216" s="2" t="str">
        <f>IFERROR(INT(INDEX(tblBatidas[Data e hora],MATCH("B"&amp;MID($A216,2,99),tblBatidas[Batida ID],0))),"")</f>
        <v/>
      </c>
      <c r="C216" t="str">
        <f t="shared" si="12"/>
        <v/>
      </c>
      <c r="D216" t="str">
        <f t="shared" si="13"/>
        <v/>
      </c>
      <c r="E216" t="str">
        <f>IFERROR(INDEX(tblBatidas[ID],MATCH("B"&amp;MID($A216,2,99),tblBatidas[Batida ID],0)),"")</f>
        <v/>
      </c>
      <c r="F216" t="str">
        <f>IFERROR(INDEX(tblPessoas[Pessoa],MATCH(E216,tblPessoas[ID],0)),"")</f>
        <v/>
      </c>
      <c r="G216" t="str">
        <f>IFERROR(INDEX(tblBatidas[Projeto],MATCH("B"&amp;MID($A216,2,99),tblBatidas[Batida ID],0)),"")</f>
        <v/>
      </c>
      <c r="H216" t="str">
        <f>IFERROR(INDEX(tblBatidas[Atividade],MATCH("B"&amp;MID($A216,2,99),tblBatidas[Batida ID],0)),"")</f>
        <v/>
      </c>
      <c r="I216" s="4" t="str">
        <f>IFERROR(MOD(INDEX(tblBatidas[Data e hora],MATCH("B"&amp;MID($A216,2,99),tblBatidas[Batida ID],0)),1),"")</f>
        <v/>
      </c>
      <c r="J216" s="4" t="str">
        <f>IFERROR(MOD(INDEX(tblBatidas[Data e hora],MATCH("B"&amp;MID($A216,2,99),tblBatidas[Início vinculado],0)),1),"")</f>
        <v/>
      </c>
      <c r="K216" s="14" t="str">
        <f>IFERROR((INDEX(tblBatidas[Data e hora],MATCH("B"&amp;MID($A216,2,99),tblBatidas[Início vinculado],0))-INDEX(tblBatidas[Data e hora],MATCH("B"&amp;MID($A216,2,99),tblBatidas[Batida ID],0)))*24,"")</f>
        <v/>
      </c>
      <c r="L216" t="str">
        <f>IFERROR(INDEX(tblBatidas[Observação],MATCH("B"&amp;MID($A216,2,99),tblBatidas[Início vinculado],0)),"")</f>
        <v/>
      </c>
      <c r="M216" t="str">
        <f>IFERROR(INDEX(tblPessoas[Base],MATCH(E216,tblPessoas[ID],0)),"")</f>
        <v/>
      </c>
      <c r="N216" s="3">
        <f>IFERROR(IF(D216="DIA ÚTIL",INDEX(tblPessoas[R$/h útil],MATCH(E216,tblPessoas[ID],0)),INDEX(tblPessoas[R$/h FDS],MATCH(E216,tblPessoas[ID],0))),0)</f>
        <v>0</v>
      </c>
      <c r="O216" s="3">
        <f>IFERROR(INDEX(tblPessoas[R$/diária],MATCH(E216,tblPessoas[ID],0)),0)</f>
        <v>0</v>
      </c>
      <c r="P216" s="3" t="str">
        <f t="shared" si="14"/>
        <v/>
      </c>
      <c r="Q216" t="str">
        <f>IF(A216="","",IF(COUNTIF(tblBatidas[Início vinculado],"B"&amp;MID($A216,2,99))=0,"EM ABERTO",IF(OR(COUNTIF(tblBatidas[Início vinculado],"B"&amp;MID($A216,2,99))&gt;1,K216&lt;0,K216&gt;16,INT(INDEX(tblBatidas[Data e hora],MATCH("B"&amp;MID($A216,2,99),tblBatidas[Início vinculado],0)))&lt;&gt;B216,INDEX(tblBatidas[ID],MATCH("B"&amp;MID($A216,2,99),tblBatidas[Início vinculado],0))&lt;&gt;E216,INDEX(tblBatidas[Projeto],MATCH("B"&amp;MID($A216,2,99),tblBatidas[Início vinculado],0))&lt;&gt;G216,INDEX(tblBatidas[Atividade],MATCH("B"&amp;MID($A216,2,99),tblBatidas[Início vinculado],0))&lt;&gt;H216),"REVISAR","CONCLUÍDO")))</f>
        <v/>
      </c>
      <c r="R216">
        <f>IF(Q216&lt;&gt;"CONCLUÍDO",0,IF(COUNTIFS($E$5:E216,E216,$B$5:B216,B216,$Q$5:Q216,"CONCLUÍDO")=1,1,0))</f>
        <v>0</v>
      </c>
      <c r="S216" t="str">
        <f t="shared" si="15"/>
        <v/>
      </c>
      <c r="T216" t="str">
        <f>IF(E216="","",E216*100000+COUNTIFS(tblRegistros[ID],E216,tblRegistros[Data],"&lt;"&amp;B216)+COUNTIFS(tblRegistros[ID],E216,tblRegistros[Data],B216,tblRegistros[Início],"&lt;"&amp;I216)+COUNTIFS($E$5:E216,E216,$B$5:B216,B216,$I$5:I216,I216))</f>
        <v/>
      </c>
    </row>
    <row r="217" spans="2:20">
      <c r="B217" s="2" t="str">
        <f>IFERROR(INT(INDEX(tblBatidas[Data e hora],MATCH("B"&amp;MID($A217,2,99),tblBatidas[Batida ID],0))),"")</f>
        <v/>
      </c>
      <c r="C217" t="str">
        <f t="shared" si="12"/>
        <v/>
      </c>
      <c r="D217" t="str">
        <f t="shared" si="13"/>
        <v/>
      </c>
      <c r="E217" t="str">
        <f>IFERROR(INDEX(tblBatidas[ID],MATCH("B"&amp;MID($A217,2,99),tblBatidas[Batida ID],0)),"")</f>
        <v/>
      </c>
      <c r="F217" t="str">
        <f>IFERROR(INDEX(tblPessoas[Pessoa],MATCH(E217,tblPessoas[ID],0)),"")</f>
        <v/>
      </c>
      <c r="G217" t="str">
        <f>IFERROR(INDEX(tblBatidas[Projeto],MATCH("B"&amp;MID($A217,2,99),tblBatidas[Batida ID],0)),"")</f>
        <v/>
      </c>
      <c r="H217" t="str">
        <f>IFERROR(INDEX(tblBatidas[Atividade],MATCH("B"&amp;MID($A217,2,99),tblBatidas[Batida ID],0)),"")</f>
        <v/>
      </c>
      <c r="I217" s="4" t="str">
        <f>IFERROR(MOD(INDEX(tblBatidas[Data e hora],MATCH("B"&amp;MID($A217,2,99),tblBatidas[Batida ID],0)),1),"")</f>
        <v/>
      </c>
      <c r="J217" s="4" t="str">
        <f>IFERROR(MOD(INDEX(tblBatidas[Data e hora],MATCH("B"&amp;MID($A217,2,99),tblBatidas[Início vinculado],0)),1),"")</f>
        <v/>
      </c>
      <c r="K217" s="14" t="str">
        <f>IFERROR((INDEX(tblBatidas[Data e hora],MATCH("B"&amp;MID($A217,2,99),tblBatidas[Início vinculado],0))-INDEX(tblBatidas[Data e hora],MATCH("B"&amp;MID($A217,2,99),tblBatidas[Batida ID],0)))*24,"")</f>
        <v/>
      </c>
      <c r="L217" t="str">
        <f>IFERROR(INDEX(tblBatidas[Observação],MATCH("B"&amp;MID($A217,2,99),tblBatidas[Início vinculado],0)),"")</f>
        <v/>
      </c>
      <c r="M217" t="str">
        <f>IFERROR(INDEX(tblPessoas[Base],MATCH(E217,tblPessoas[ID],0)),"")</f>
        <v/>
      </c>
      <c r="N217" s="3">
        <f>IFERROR(IF(D217="DIA ÚTIL",INDEX(tblPessoas[R$/h útil],MATCH(E217,tblPessoas[ID],0)),INDEX(tblPessoas[R$/h FDS],MATCH(E217,tblPessoas[ID],0))),0)</f>
        <v>0</v>
      </c>
      <c r="O217" s="3">
        <f>IFERROR(INDEX(tblPessoas[R$/diária],MATCH(E217,tblPessoas[ID],0)),0)</f>
        <v>0</v>
      </c>
      <c r="P217" s="3" t="str">
        <f t="shared" si="14"/>
        <v/>
      </c>
      <c r="Q217" t="str">
        <f>IF(A217="","",IF(COUNTIF(tblBatidas[Início vinculado],"B"&amp;MID($A217,2,99))=0,"EM ABERTO",IF(OR(COUNTIF(tblBatidas[Início vinculado],"B"&amp;MID($A217,2,99))&gt;1,K217&lt;0,K217&gt;16,INT(INDEX(tblBatidas[Data e hora],MATCH("B"&amp;MID($A217,2,99),tblBatidas[Início vinculado],0)))&lt;&gt;B217,INDEX(tblBatidas[ID],MATCH("B"&amp;MID($A217,2,99),tblBatidas[Início vinculado],0))&lt;&gt;E217,INDEX(tblBatidas[Projeto],MATCH("B"&amp;MID($A217,2,99),tblBatidas[Início vinculado],0))&lt;&gt;G217,INDEX(tblBatidas[Atividade],MATCH("B"&amp;MID($A217,2,99),tblBatidas[Início vinculado],0))&lt;&gt;H217),"REVISAR","CONCLUÍDO")))</f>
        <v/>
      </c>
      <c r="R217">
        <f>IF(Q217&lt;&gt;"CONCLUÍDO",0,IF(COUNTIFS($E$5:E217,E217,$B$5:B217,B217,$Q$5:Q217,"CONCLUÍDO")=1,1,0))</f>
        <v>0</v>
      </c>
      <c r="S217" t="str">
        <f t="shared" si="15"/>
        <v/>
      </c>
      <c r="T217" t="str">
        <f>IF(E217="","",E217*100000+COUNTIFS(tblRegistros[ID],E217,tblRegistros[Data],"&lt;"&amp;B217)+COUNTIFS(tblRegistros[ID],E217,tblRegistros[Data],B217,tblRegistros[Início],"&lt;"&amp;I217)+COUNTIFS($E$5:E217,E217,$B$5:B217,B217,$I$5:I217,I217))</f>
        <v/>
      </c>
    </row>
    <row r="218" spans="2:20">
      <c r="B218" s="2" t="str">
        <f>IFERROR(INT(INDEX(tblBatidas[Data e hora],MATCH("B"&amp;MID($A218,2,99),tblBatidas[Batida ID],0))),"")</f>
        <v/>
      </c>
      <c r="C218" t="str">
        <f t="shared" si="12"/>
        <v/>
      </c>
      <c r="D218" t="str">
        <f t="shared" si="13"/>
        <v/>
      </c>
      <c r="E218" t="str">
        <f>IFERROR(INDEX(tblBatidas[ID],MATCH("B"&amp;MID($A218,2,99),tblBatidas[Batida ID],0)),"")</f>
        <v/>
      </c>
      <c r="F218" t="str">
        <f>IFERROR(INDEX(tblPessoas[Pessoa],MATCH(E218,tblPessoas[ID],0)),"")</f>
        <v/>
      </c>
      <c r="G218" t="str">
        <f>IFERROR(INDEX(tblBatidas[Projeto],MATCH("B"&amp;MID($A218,2,99),tblBatidas[Batida ID],0)),"")</f>
        <v/>
      </c>
      <c r="H218" t="str">
        <f>IFERROR(INDEX(tblBatidas[Atividade],MATCH("B"&amp;MID($A218,2,99),tblBatidas[Batida ID],0)),"")</f>
        <v/>
      </c>
      <c r="I218" s="4" t="str">
        <f>IFERROR(MOD(INDEX(tblBatidas[Data e hora],MATCH("B"&amp;MID($A218,2,99),tblBatidas[Batida ID],0)),1),"")</f>
        <v/>
      </c>
      <c r="J218" s="4" t="str">
        <f>IFERROR(MOD(INDEX(tblBatidas[Data e hora],MATCH("B"&amp;MID($A218,2,99),tblBatidas[Início vinculado],0)),1),"")</f>
        <v/>
      </c>
      <c r="K218" s="14" t="str">
        <f>IFERROR((INDEX(tblBatidas[Data e hora],MATCH("B"&amp;MID($A218,2,99),tblBatidas[Início vinculado],0))-INDEX(tblBatidas[Data e hora],MATCH("B"&amp;MID($A218,2,99),tblBatidas[Batida ID],0)))*24,"")</f>
        <v/>
      </c>
      <c r="L218" t="str">
        <f>IFERROR(INDEX(tblBatidas[Observação],MATCH("B"&amp;MID($A218,2,99),tblBatidas[Início vinculado],0)),"")</f>
        <v/>
      </c>
      <c r="M218" t="str">
        <f>IFERROR(INDEX(tblPessoas[Base],MATCH(E218,tblPessoas[ID],0)),"")</f>
        <v/>
      </c>
      <c r="N218" s="3">
        <f>IFERROR(IF(D218="DIA ÚTIL",INDEX(tblPessoas[R$/h útil],MATCH(E218,tblPessoas[ID],0)),INDEX(tblPessoas[R$/h FDS],MATCH(E218,tblPessoas[ID],0))),0)</f>
        <v>0</v>
      </c>
      <c r="O218" s="3">
        <f>IFERROR(INDEX(tblPessoas[R$/diária],MATCH(E218,tblPessoas[ID],0)),0)</f>
        <v>0</v>
      </c>
      <c r="P218" s="3" t="str">
        <f t="shared" si="14"/>
        <v/>
      </c>
      <c r="Q218" t="str">
        <f>IF(A218="","",IF(COUNTIF(tblBatidas[Início vinculado],"B"&amp;MID($A218,2,99))=0,"EM ABERTO",IF(OR(COUNTIF(tblBatidas[Início vinculado],"B"&amp;MID($A218,2,99))&gt;1,K218&lt;0,K218&gt;16,INT(INDEX(tblBatidas[Data e hora],MATCH("B"&amp;MID($A218,2,99),tblBatidas[Início vinculado],0)))&lt;&gt;B218,INDEX(tblBatidas[ID],MATCH("B"&amp;MID($A218,2,99),tblBatidas[Início vinculado],0))&lt;&gt;E218,INDEX(tblBatidas[Projeto],MATCH("B"&amp;MID($A218,2,99),tblBatidas[Início vinculado],0))&lt;&gt;G218,INDEX(tblBatidas[Atividade],MATCH("B"&amp;MID($A218,2,99),tblBatidas[Início vinculado],0))&lt;&gt;H218),"REVISAR","CONCLUÍDO")))</f>
        <v/>
      </c>
      <c r="R218">
        <f>IF(Q218&lt;&gt;"CONCLUÍDO",0,IF(COUNTIFS($E$5:E218,E218,$B$5:B218,B218,$Q$5:Q218,"CONCLUÍDO")=1,1,0))</f>
        <v>0</v>
      </c>
      <c r="S218" t="str">
        <f t="shared" si="15"/>
        <v/>
      </c>
      <c r="T218" t="str">
        <f>IF(E218="","",E218*100000+COUNTIFS(tblRegistros[ID],E218,tblRegistros[Data],"&lt;"&amp;B218)+COUNTIFS(tblRegistros[ID],E218,tblRegistros[Data],B218,tblRegistros[Início],"&lt;"&amp;I218)+COUNTIFS($E$5:E218,E218,$B$5:B218,B218,$I$5:I218,I218))</f>
        <v/>
      </c>
    </row>
    <row r="219" spans="2:20">
      <c r="B219" s="2" t="str">
        <f>IFERROR(INT(INDEX(tblBatidas[Data e hora],MATCH("B"&amp;MID($A219,2,99),tblBatidas[Batida ID],0))),"")</f>
        <v/>
      </c>
      <c r="C219" t="str">
        <f t="shared" si="12"/>
        <v/>
      </c>
      <c r="D219" t="str">
        <f t="shared" si="13"/>
        <v/>
      </c>
      <c r="E219" t="str">
        <f>IFERROR(INDEX(tblBatidas[ID],MATCH("B"&amp;MID($A219,2,99),tblBatidas[Batida ID],0)),"")</f>
        <v/>
      </c>
      <c r="F219" t="str">
        <f>IFERROR(INDEX(tblPessoas[Pessoa],MATCH(E219,tblPessoas[ID],0)),"")</f>
        <v/>
      </c>
      <c r="G219" t="str">
        <f>IFERROR(INDEX(tblBatidas[Projeto],MATCH("B"&amp;MID($A219,2,99),tblBatidas[Batida ID],0)),"")</f>
        <v/>
      </c>
      <c r="H219" t="str">
        <f>IFERROR(INDEX(tblBatidas[Atividade],MATCH("B"&amp;MID($A219,2,99),tblBatidas[Batida ID],0)),"")</f>
        <v/>
      </c>
      <c r="I219" s="4" t="str">
        <f>IFERROR(MOD(INDEX(tblBatidas[Data e hora],MATCH("B"&amp;MID($A219,2,99),tblBatidas[Batida ID],0)),1),"")</f>
        <v/>
      </c>
      <c r="J219" s="4" t="str">
        <f>IFERROR(MOD(INDEX(tblBatidas[Data e hora],MATCH("B"&amp;MID($A219,2,99),tblBatidas[Início vinculado],0)),1),"")</f>
        <v/>
      </c>
      <c r="K219" s="14" t="str">
        <f>IFERROR((INDEX(tblBatidas[Data e hora],MATCH("B"&amp;MID($A219,2,99),tblBatidas[Início vinculado],0))-INDEX(tblBatidas[Data e hora],MATCH("B"&amp;MID($A219,2,99),tblBatidas[Batida ID],0)))*24,"")</f>
        <v/>
      </c>
      <c r="L219" t="str">
        <f>IFERROR(INDEX(tblBatidas[Observação],MATCH("B"&amp;MID($A219,2,99),tblBatidas[Início vinculado],0)),"")</f>
        <v/>
      </c>
      <c r="M219" t="str">
        <f>IFERROR(INDEX(tblPessoas[Base],MATCH(E219,tblPessoas[ID],0)),"")</f>
        <v/>
      </c>
      <c r="N219" s="3">
        <f>IFERROR(IF(D219="DIA ÚTIL",INDEX(tblPessoas[R$/h útil],MATCH(E219,tblPessoas[ID],0)),INDEX(tblPessoas[R$/h FDS],MATCH(E219,tblPessoas[ID],0))),0)</f>
        <v>0</v>
      </c>
      <c r="O219" s="3">
        <f>IFERROR(INDEX(tblPessoas[R$/diária],MATCH(E219,tblPessoas[ID],0)),0)</f>
        <v>0</v>
      </c>
      <c r="P219" s="3" t="str">
        <f t="shared" si="14"/>
        <v/>
      </c>
      <c r="Q219" t="str">
        <f>IF(A219="","",IF(COUNTIF(tblBatidas[Início vinculado],"B"&amp;MID($A219,2,99))=0,"EM ABERTO",IF(OR(COUNTIF(tblBatidas[Início vinculado],"B"&amp;MID($A219,2,99))&gt;1,K219&lt;0,K219&gt;16,INT(INDEX(tblBatidas[Data e hora],MATCH("B"&amp;MID($A219,2,99),tblBatidas[Início vinculado],0)))&lt;&gt;B219,INDEX(tblBatidas[ID],MATCH("B"&amp;MID($A219,2,99),tblBatidas[Início vinculado],0))&lt;&gt;E219,INDEX(tblBatidas[Projeto],MATCH("B"&amp;MID($A219,2,99),tblBatidas[Início vinculado],0))&lt;&gt;G219,INDEX(tblBatidas[Atividade],MATCH("B"&amp;MID($A219,2,99),tblBatidas[Início vinculado],0))&lt;&gt;H219),"REVISAR","CONCLUÍDO")))</f>
        <v/>
      </c>
      <c r="R219">
        <f>IF(Q219&lt;&gt;"CONCLUÍDO",0,IF(COUNTIFS($E$5:E219,E219,$B$5:B219,B219,$Q$5:Q219,"CONCLUÍDO")=1,1,0))</f>
        <v>0</v>
      </c>
      <c r="S219" t="str">
        <f t="shared" si="15"/>
        <v/>
      </c>
      <c r="T219" t="str">
        <f>IF(E219="","",E219*100000+COUNTIFS(tblRegistros[ID],E219,tblRegistros[Data],"&lt;"&amp;B219)+COUNTIFS(tblRegistros[ID],E219,tblRegistros[Data],B219,tblRegistros[Início],"&lt;"&amp;I219)+COUNTIFS($E$5:E219,E219,$B$5:B219,B219,$I$5:I219,I219))</f>
        <v/>
      </c>
    </row>
    <row r="220" spans="2:20">
      <c r="B220" s="2" t="str">
        <f>IFERROR(INT(INDEX(tblBatidas[Data e hora],MATCH("B"&amp;MID($A220,2,99),tblBatidas[Batida ID],0))),"")</f>
        <v/>
      </c>
      <c r="C220" t="str">
        <f t="shared" si="12"/>
        <v/>
      </c>
      <c r="D220" t="str">
        <f t="shared" si="13"/>
        <v/>
      </c>
      <c r="E220" t="str">
        <f>IFERROR(INDEX(tblBatidas[ID],MATCH("B"&amp;MID($A220,2,99),tblBatidas[Batida ID],0)),"")</f>
        <v/>
      </c>
      <c r="F220" t="str">
        <f>IFERROR(INDEX(tblPessoas[Pessoa],MATCH(E220,tblPessoas[ID],0)),"")</f>
        <v/>
      </c>
      <c r="G220" t="str">
        <f>IFERROR(INDEX(tblBatidas[Projeto],MATCH("B"&amp;MID($A220,2,99),tblBatidas[Batida ID],0)),"")</f>
        <v/>
      </c>
      <c r="H220" t="str">
        <f>IFERROR(INDEX(tblBatidas[Atividade],MATCH("B"&amp;MID($A220,2,99),tblBatidas[Batida ID],0)),"")</f>
        <v/>
      </c>
      <c r="I220" s="4" t="str">
        <f>IFERROR(MOD(INDEX(tblBatidas[Data e hora],MATCH("B"&amp;MID($A220,2,99),tblBatidas[Batida ID],0)),1),"")</f>
        <v/>
      </c>
      <c r="J220" s="4" t="str">
        <f>IFERROR(MOD(INDEX(tblBatidas[Data e hora],MATCH("B"&amp;MID($A220,2,99),tblBatidas[Início vinculado],0)),1),"")</f>
        <v/>
      </c>
      <c r="K220" s="14" t="str">
        <f>IFERROR((INDEX(tblBatidas[Data e hora],MATCH("B"&amp;MID($A220,2,99),tblBatidas[Início vinculado],0))-INDEX(tblBatidas[Data e hora],MATCH("B"&amp;MID($A220,2,99),tblBatidas[Batida ID],0)))*24,"")</f>
        <v/>
      </c>
      <c r="L220" t="str">
        <f>IFERROR(INDEX(tblBatidas[Observação],MATCH("B"&amp;MID($A220,2,99),tblBatidas[Início vinculado],0)),"")</f>
        <v/>
      </c>
      <c r="M220" t="str">
        <f>IFERROR(INDEX(tblPessoas[Base],MATCH(E220,tblPessoas[ID],0)),"")</f>
        <v/>
      </c>
      <c r="N220" s="3">
        <f>IFERROR(IF(D220="DIA ÚTIL",INDEX(tblPessoas[R$/h útil],MATCH(E220,tblPessoas[ID],0)),INDEX(tblPessoas[R$/h FDS],MATCH(E220,tblPessoas[ID],0))),0)</f>
        <v>0</v>
      </c>
      <c r="O220" s="3">
        <f>IFERROR(INDEX(tblPessoas[R$/diária],MATCH(E220,tblPessoas[ID],0)),0)</f>
        <v>0</v>
      </c>
      <c r="P220" s="3" t="str">
        <f t="shared" si="14"/>
        <v/>
      </c>
      <c r="Q220" t="str">
        <f>IF(A220="","",IF(COUNTIF(tblBatidas[Início vinculado],"B"&amp;MID($A220,2,99))=0,"EM ABERTO",IF(OR(COUNTIF(tblBatidas[Início vinculado],"B"&amp;MID($A220,2,99))&gt;1,K220&lt;0,K220&gt;16,INT(INDEX(tblBatidas[Data e hora],MATCH("B"&amp;MID($A220,2,99),tblBatidas[Início vinculado],0)))&lt;&gt;B220,INDEX(tblBatidas[ID],MATCH("B"&amp;MID($A220,2,99),tblBatidas[Início vinculado],0))&lt;&gt;E220,INDEX(tblBatidas[Projeto],MATCH("B"&amp;MID($A220,2,99),tblBatidas[Início vinculado],0))&lt;&gt;G220,INDEX(tblBatidas[Atividade],MATCH("B"&amp;MID($A220,2,99),tblBatidas[Início vinculado],0))&lt;&gt;H220),"REVISAR","CONCLUÍDO")))</f>
        <v/>
      </c>
      <c r="R220">
        <f>IF(Q220&lt;&gt;"CONCLUÍDO",0,IF(COUNTIFS($E$5:E220,E220,$B$5:B220,B220,$Q$5:Q220,"CONCLUÍDO")=1,1,0))</f>
        <v>0</v>
      </c>
      <c r="S220" t="str">
        <f t="shared" si="15"/>
        <v/>
      </c>
      <c r="T220" t="str">
        <f>IF(E220="","",E220*100000+COUNTIFS(tblRegistros[ID],E220,tblRegistros[Data],"&lt;"&amp;B220)+COUNTIFS(tblRegistros[ID],E220,tblRegistros[Data],B220,tblRegistros[Início],"&lt;"&amp;I220)+COUNTIFS($E$5:E220,E220,$B$5:B220,B220,$I$5:I220,I220))</f>
        <v/>
      </c>
    </row>
    <row r="221" spans="2:20">
      <c r="B221" s="2" t="str">
        <f>IFERROR(INT(INDEX(tblBatidas[Data e hora],MATCH("B"&amp;MID($A221,2,99),tblBatidas[Batida ID],0))),"")</f>
        <v/>
      </c>
      <c r="C221" t="str">
        <f t="shared" si="12"/>
        <v/>
      </c>
      <c r="D221" t="str">
        <f t="shared" si="13"/>
        <v/>
      </c>
      <c r="E221" t="str">
        <f>IFERROR(INDEX(tblBatidas[ID],MATCH("B"&amp;MID($A221,2,99),tblBatidas[Batida ID],0)),"")</f>
        <v/>
      </c>
      <c r="F221" t="str">
        <f>IFERROR(INDEX(tblPessoas[Pessoa],MATCH(E221,tblPessoas[ID],0)),"")</f>
        <v/>
      </c>
      <c r="G221" t="str">
        <f>IFERROR(INDEX(tblBatidas[Projeto],MATCH("B"&amp;MID($A221,2,99),tblBatidas[Batida ID],0)),"")</f>
        <v/>
      </c>
      <c r="H221" t="str">
        <f>IFERROR(INDEX(tblBatidas[Atividade],MATCH("B"&amp;MID($A221,2,99),tblBatidas[Batida ID],0)),"")</f>
        <v/>
      </c>
      <c r="I221" s="4" t="str">
        <f>IFERROR(MOD(INDEX(tblBatidas[Data e hora],MATCH("B"&amp;MID($A221,2,99),tblBatidas[Batida ID],0)),1),"")</f>
        <v/>
      </c>
      <c r="J221" s="4" t="str">
        <f>IFERROR(MOD(INDEX(tblBatidas[Data e hora],MATCH("B"&amp;MID($A221,2,99),tblBatidas[Início vinculado],0)),1),"")</f>
        <v/>
      </c>
      <c r="K221" s="14" t="str">
        <f>IFERROR((INDEX(tblBatidas[Data e hora],MATCH("B"&amp;MID($A221,2,99),tblBatidas[Início vinculado],0))-INDEX(tblBatidas[Data e hora],MATCH("B"&amp;MID($A221,2,99),tblBatidas[Batida ID],0)))*24,"")</f>
        <v/>
      </c>
      <c r="L221" t="str">
        <f>IFERROR(INDEX(tblBatidas[Observação],MATCH("B"&amp;MID($A221,2,99),tblBatidas[Início vinculado],0)),"")</f>
        <v/>
      </c>
      <c r="M221" t="str">
        <f>IFERROR(INDEX(tblPessoas[Base],MATCH(E221,tblPessoas[ID],0)),"")</f>
        <v/>
      </c>
      <c r="N221" s="3">
        <f>IFERROR(IF(D221="DIA ÚTIL",INDEX(tblPessoas[R$/h útil],MATCH(E221,tblPessoas[ID],0)),INDEX(tblPessoas[R$/h FDS],MATCH(E221,tblPessoas[ID],0))),0)</f>
        <v>0</v>
      </c>
      <c r="O221" s="3">
        <f>IFERROR(INDEX(tblPessoas[R$/diária],MATCH(E221,tblPessoas[ID],0)),0)</f>
        <v>0</v>
      </c>
      <c r="P221" s="3" t="str">
        <f t="shared" si="14"/>
        <v/>
      </c>
      <c r="Q221" t="str">
        <f>IF(A221="","",IF(COUNTIF(tblBatidas[Início vinculado],"B"&amp;MID($A221,2,99))=0,"EM ABERTO",IF(OR(COUNTIF(tblBatidas[Início vinculado],"B"&amp;MID($A221,2,99))&gt;1,K221&lt;0,K221&gt;16,INT(INDEX(tblBatidas[Data e hora],MATCH("B"&amp;MID($A221,2,99),tblBatidas[Início vinculado],0)))&lt;&gt;B221,INDEX(tblBatidas[ID],MATCH("B"&amp;MID($A221,2,99),tblBatidas[Início vinculado],0))&lt;&gt;E221,INDEX(tblBatidas[Projeto],MATCH("B"&amp;MID($A221,2,99),tblBatidas[Início vinculado],0))&lt;&gt;G221,INDEX(tblBatidas[Atividade],MATCH("B"&amp;MID($A221,2,99),tblBatidas[Início vinculado],0))&lt;&gt;H221),"REVISAR","CONCLUÍDO")))</f>
        <v/>
      </c>
      <c r="R221">
        <f>IF(Q221&lt;&gt;"CONCLUÍDO",0,IF(COUNTIFS($E$5:E221,E221,$B$5:B221,B221,$Q$5:Q221,"CONCLUÍDO")=1,1,0))</f>
        <v>0</v>
      </c>
      <c r="S221" t="str">
        <f t="shared" si="15"/>
        <v/>
      </c>
      <c r="T221" t="str">
        <f>IF(E221="","",E221*100000+COUNTIFS(tblRegistros[ID],E221,tblRegistros[Data],"&lt;"&amp;B221)+COUNTIFS(tblRegistros[ID],E221,tblRegistros[Data],B221,tblRegistros[Início],"&lt;"&amp;I221)+COUNTIFS($E$5:E221,E221,$B$5:B221,B221,$I$5:I221,I221))</f>
        <v/>
      </c>
    </row>
    <row r="222" spans="2:20">
      <c r="B222" s="2" t="str">
        <f>IFERROR(INT(INDEX(tblBatidas[Data e hora],MATCH("B"&amp;MID($A222,2,99),tblBatidas[Batida ID],0))),"")</f>
        <v/>
      </c>
      <c r="C222" t="str">
        <f t="shared" si="12"/>
        <v/>
      </c>
      <c r="D222" t="str">
        <f t="shared" si="13"/>
        <v/>
      </c>
      <c r="E222" t="str">
        <f>IFERROR(INDEX(tblBatidas[ID],MATCH("B"&amp;MID($A222,2,99),tblBatidas[Batida ID],0)),"")</f>
        <v/>
      </c>
      <c r="F222" t="str">
        <f>IFERROR(INDEX(tblPessoas[Pessoa],MATCH(E222,tblPessoas[ID],0)),"")</f>
        <v/>
      </c>
      <c r="G222" t="str">
        <f>IFERROR(INDEX(tblBatidas[Projeto],MATCH("B"&amp;MID($A222,2,99),tblBatidas[Batida ID],0)),"")</f>
        <v/>
      </c>
      <c r="H222" t="str">
        <f>IFERROR(INDEX(tblBatidas[Atividade],MATCH("B"&amp;MID($A222,2,99),tblBatidas[Batida ID],0)),"")</f>
        <v/>
      </c>
      <c r="I222" s="4" t="str">
        <f>IFERROR(MOD(INDEX(tblBatidas[Data e hora],MATCH("B"&amp;MID($A222,2,99),tblBatidas[Batida ID],0)),1),"")</f>
        <v/>
      </c>
      <c r="J222" s="4" t="str">
        <f>IFERROR(MOD(INDEX(tblBatidas[Data e hora],MATCH("B"&amp;MID($A222,2,99),tblBatidas[Início vinculado],0)),1),"")</f>
        <v/>
      </c>
      <c r="K222" s="14" t="str">
        <f>IFERROR((INDEX(tblBatidas[Data e hora],MATCH("B"&amp;MID($A222,2,99),tblBatidas[Início vinculado],0))-INDEX(tblBatidas[Data e hora],MATCH("B"&amp;MID($A222,2,99),tblBatidas[Batida ID],0)))*24,"")</f>
        <v/>
      </c>
      <c r="L222" t="str">
        <f>IFERROR(INDEX(tblBatidas[Observação],MATCH("B"&amp;MID($A222,2,99),tblBatidas[Início vinculado],0)),"")</f>
        <v/>
      </c>
      <c r="M222" t="str">
        <f>IFERROR(INDEX(tblPessoas[Base],MATCH(E222,tblPessoas[ID],0)),"")</f>
        <v/>
      </c>
      <c r="N222" s="3">
        <f>IFERROR(IF(D222="DIA ÚTIL",INDEX(tblPessoas[R$/h útil],MATCH(E222,tblPessoas[ID],0)),INDEX(tblPessoas[R$/h FDS],MATCH(E222,tblPessoas[ID],0))),0)</f>
        <v>0</v>
      </c>
      <c r="O222" s="3">
        <f>IFERROR(INDEX(tblPessoas[R$/diária],MATCH(E222,tblPessoas[ID],0)),0)</f>
        <v>0</v>
      </c>
      <c r="P222" s="3" t="str">
        <f t="shared" si="14"/>
        <v/>
      </c>
      <c r="Q222" t="str">
        <f>IF(A222="","",IF(COUNTIF(tblBatidas[Início vinculado],"B"&amp;MID($A222,2,99))=0,"EM ABERTO",IF(OR(COUNTIF(tblBatidas[Início vinculado],"B"&amp;MID($A222,2,99))&gt;1,K222&lt;0,K222&gt;16,INT(INDEX(tblBatidas[Data e hora],MATCH("B"&amp;MID($A222,2,99),tblBatidas[Início vinculado],0)))&lt;&gt;B222,INDEX(tblBatidas[ID],MATCH("B"&amp;MID($A222,2,99),tblBatidas[Início vinculado],0))&lt;&gt;E222,INDEX(tblBatidas[Projeto],MATCH("B"&amp;MID($A222,2,99),tblBatidas[Início vinculado],0))&lt;&gt;G222,INDEX(tblBatidas[Atividade],MATCH("B"&amp;MID($A222,2,99),tblBatidas[Início vinculado],0))&lt;&gt;H222),"REVISAR","CONCLUÍDO")))</f>
        <v/>
      </c>
      <c r="R222">
        <f>IF(Q222&lt;&gt;"CONCLUÍDO",0,IF(COUNTIFS($E$5:E222,E222,$B$5:B222,B222,$Q$5:Q222,"CONCLUÍDO")=1,1,0))</f>
        <v>0</v>
      </c>
      <c r="S222" t="str">
        <f t="shared" si="15"/>
        <v/>
      </c>
      <c r="T222" t="str">
        <f>IF(E222="","",E222*100000+COUNTIFS(tblRegistros[ID],E222,tblRegistros[Data],"&lt;"&amp;B222)+COUNTIFS(tblRegistros[ID],E222,tblRegistros[Data],B222,tblRegistros[Início],"&lt;"&amp;I222)+COUNTIFS($E$5:E222,E222,$B$5:B222,B222,$I$5:I222,I222))</f>
        <v/>
      </c>
    </row>
    <row r="223" spans="2:20">
      <c r="B223" s="2" t="str">
        <f>IFERROR(INT(INDEX(tblBatidas[Data e hora],MATCH("B"&amp;MID($A223,2,99),tblBatidas[Batida ID],0))),"")</f>
        <v/>
      </c>
      <c r="C223" t="str">
        <f t="shared" si="12"/>
        <v/>
      </c>
      <c r="D223" t="str">
        <f t="shared" si="13"/>
        <v/>
      </c>
      <c r="E223" t="str">
        <f>IFERROR(INDEX(tblBatidas[ID],MATCH("B"&amp;MID($A223,2,99),tblBatidas[Batida ID],0)),"")</f>
        <v/>
      </c>
      <c r="F223" t="str">
        <f>IFERROR(INDEX(tblPessoas[Pessoa],MATCH(E223,tblPessoas[ID],0)),"")</f>
        <v/>
      </c>
      <c r="G223" t="str">
        <f>IFERROR(INDEX(tblBatidas[Projeto],MATCH("B"&amp;MID($A223,2,99),tblBatidas[Batida ID],0)),"")</f>
        <v/>
      </c>
      <c r="H223" t="str">
        <f>IFERROR(INDEX(tblBatidas[Atividade],MATCH("B"&amp;MID($A223,2,99),tblBatidas[Batida ID],0)),"")</f>
        <v/>
      </c>
      <c r="I223" s="4" t="str">
        <f>IFERROR(MOD(INDEX(tblBatidas[Data e hora],MATCH("B"&amp;MID($A223,2,99),tblBatidas[Batida ID],0)),1),"")</f>
        <v/>
      </c>
      <c r="J223" s="4" t="str">
        <f>IFERROR(MOD(INDEX(tblBatidas[Data e hora],MATCH("B"&amp;MID($A223,2,99),tblBatidas[Início vinculado],0)),1),"")</f>
        <v/>
      </c>
      <c r="K223" s="14" t="str">
        <f>IFERROR((INDEX(tblBatidas[Data e hora],MATCH("B"&amp;MID($A223,2,99),tblBatidas[Início vinculado],0))-INDEX(tblBatidas[Data e hora],MATCH("B"&amp;MID($A223,2,99),tblBatidas[Batida ID],0)))*24,"")</f>
        <v/>
      </c>
      <c r="L223" t="str">
        <f>IFERROR(INDEX(tblBatidas[Observação],MATCH("B"&amp;MID($A223,2,99),tblBatidas[Início vinculado],0)),"")</f>
        <v/>
      </c>
      <c r="M223" t="str">
        <f>IFERROR(INDEX(tblPessoas[Base],MATCH(E223,tblPessoas[ID],0)),"")</f>
        <v/>
      </c>
      <c r="N223" s="3">
        <f>IFERROR(IF(D223="DIA ÚTIL",INDEX(tblPessoas[R$/h útil],MATCH(E223,tblPessoas[ID],0)),INDEX(tblPessoas[R$/h FDS],MATCH(E223,tblPessoas[ID],0))),0)</f>
        <v>0</v>
      </c>
      <c r="O223" s="3">
        <f>IFERROR(INDEX(tblPessoas[R$/diária],MATCH(E223,tblPessoas[ID],0)),0)</f>
        <v>0</v>
      </c>
      <c r="P223" s="3" t="str">
        <f t="shared" si="14"/>
        <v/>
      </c>
      <c r="Q223" t="str">
        <f>IF(A223="","",IF(COUNTIF(tblBatidas[Início vinculado],"B"&amp;MID($A223,2,99))=0,"EM ABERTO",IF(OR(COUNTIF(tblBatidas[Início vinculado],"B"&amp;MID($A223,2,99))&gt;1,K223&lt;0,K223&gt;16,INT(INDEX(tblBatidas[Data e hora],MATCH("B"&amp;MID($A223,2,99),tblBatidas[Início vinculado],0)))&lt;&gt;B223,INDEX(tblBatidas[ID],MATCH("B"&amp;MID($A223,2,99),tblBatidas[Início vinculado],0))&lt;&gt;E223,INDEX(tblBatidas[Projeto],MATCH("B"&amp;MID($A223,2,99),tblBatidas[Início vinculado],0))&lt;&gt;G223,INDEX(tblBatidas[Atividade],MATCH("B"&amp;MID($A223,2,99),tblBatidas[Início vinculado],0))&lt;&gt;H223),"REVISAR","CONCLUÍDO")))</f>
        <v/>
      </c>
      <c r="R223">
        <f>IF(Q223&lt;&gt;"CONCLUÍDO",0,IF(COUNTIFS($E$5:E223,E223,$B$5:B223,B223,$Q$5:Q223,"CONCLUÍDO")=1,1,0))</f>
        <v>0</v>
      </c>
      <c r="S223" t="str">
        <f t="shared" si="15"/>
        <v/>
      </c>
      <c r="T223" t="str">
        <f>IF(E223="","",E223*100000+COUNTIFS(tblRegistros[ID],E223,tblRegistros[Data],"&lt;"&amp;B223)+COUNTIFS(tblRegistros[ID],E223,tblRegistros[Data],B223,tblRegistros[Início],"&lt;"&amp;I223)+COUNTIFS($E$5:E223,E223,$B$5:B223,B223,$I$5:I223,I223))</f>
        <v/>
      </c>
    </row>
    <row r="224" spans="2:20">
      <c r="B224" s="2" t="str">
        <f>IFERROR(INT(INDEX(tblBatidas[Data e hora],MATCH("B"&amp;MID($A224,2,99),tblBatidas[Batida ID],0))),"")</f>
        <v/>
      </c>
      <c r="C224" t="str">
        <f t="shared" si="12"/>
        <v/>
      </c>
      <c r="D224" t="str">
        <f t="shared" si="13"/>
        <v/>
      </c>
      <c r="E224" t="str">
        <f>IFERROR(INDEX(tblBatidas[ID],MATCH("B"&amp;MID($A224,2,99),tblBatidas[Batida ID],0)),"")</f>
        <v/>
      </c>
      <c r="F224" t="str">
        <f>IFERROR(INDEX(tblPessoas[Pessoa],MATCH(E224,tblPessoas[ID],0)),"")</f>
        <v/>
      </c>
      <c r="G224" t="str">
        <f>IFERROR(INDEX(tblBatidas[Projeto],MATCH("B"&amp;MID($A224,2,99),tblBatidas[Batida ID],0)),"")</f>
        <v/>
      </c>
      <c r="H224" t="str">
        <f>IFERROR(INDEX(tblBatidas[Atividade],MATCH("B"&amp;MID($A224,2,99),tblBatidas[Batida ID],0)),"")</f>
        <v/>
      </c>
      <c r="I224" s="4" t="str">
        <f>IFERROR(MOD(INDEX(tblBatidas[Data e hora],MATCH("B"&amp;MID($A224,2,99),tblBatidas[Batida ID],0)),1),"")</f>
        <v/>
      </c>
      <c r="J224" s="4" t="str">
        <f>IFERROR(MOD(INDEX(tblBatidas[Data e hora],MATCH("B"&amp;MID($A224,2,99),tblBatidas[Início vinculado],0)),1),"")</f>
        <v/>
      </c>
      <c r="K224" s="14" t="str">
        <f>IFERROR((INDEX(tblBatidas[Data e hora],MATCH("B"&amp;MID($A224,2,99),tblBatidas[Início vinculado],0))-INDEX(tblBatidas[Data e hora],MATCH("B"&amp;MID($A224,2,99),tblBatidas[Batida ID],0)))*24,"")</f>
        <v/>
      </c>
      <c r="L224" t="str">
        <f>IFERROR(INDEX(tblBatidas[Observação],MATCH("B"&amp;MID($A224,2,99),tblBatidas[Início vinculado],0)),"")</f>
        <v/>
      </c>
      <c r="M224" t="str">
        <f>IFERROR(INDEX(tblPessoas[Base],MATCH(E224,tblPessoas[ID],0)),"")</f>
        <v/>
      </c>
      <c r="N224" s="3">
        <f>IFERROR(IF(D224="DIA ÚTIL",INDEX(tblPessoas[R$/h útil],MATCH(E224,tblPessoas[ID],0)),INDEX(tblPessoas[R$/h FDS],MATCH(E224,tblPessoas[ID],0))),0)</f>
        <v>0</v>
      </c>
      <c r="O224" s="3">
        <f>IFERROR(INDEX(tblPessoas[R$/diária],MATCH(E224,tblPessoas[ID],0)),0)</f>
        <v>0</v>
      </c>
      <c r="P224" s="3" t="str">
        <f t="shared" si="14"/>
        <v/>
      </c>
      <c r="Q224" t="str">
        <f>IF(A224="","",IF(COUNTIF(tblBatidas[Início vinculado],"B"&amp;MID($A224,2,99))=0,"EM ABERTO",IF(OR(COUNTIF(tblBatidas[Início vinculado],"B"&amp;MID($A224,2,99))&gt;1,K224&lt;0,K224&gt;16,INT(INDEX(tblBatidas[Data e hora],MATCH("B"&amp;MID($A224,2,99),tblBatidas[Início vinculado],0)))&lt;&gt;B224,INDEX(tblBatidas[ID],MATCH("B"&amp;MID($A224,2,99),tblBatidas[Início vinculado],0))&lt;&gt;E224,INDEX(tblBatidas[Projeto],MATCH("B"&amp;MID($A224,2,99),tblBatidas[Início vinculado],0))&lt;&gt;G224,INDEX(tblBatidas[Atividade],MATCH("B"&amp;MID($A224,2,99),tblBatidas[Início vinculado],0))&lt;&gt;H224),"REVISAR","CONCLUÍDO")))</f>
        <v/>
      </c>
      <c r="R224">
        <f>IF(Q224&lt;&gt;"CONCLUÍDO",0,IF(COUNTIFS($E$5:E224,E224,$B$5:B224,B224,$Q$5:Q224,"CONCLUÍDO")=1,1,0))</f>
        <v>0</v>
      </c>
      <c r="S224" t="str">
        <f t="shared" si="15"/>
        <v/>
      </c>
      <c r="T224" t="str">
        <f>IF(E224="","",E224*100000+COUNTIFS(tblRegistros[ID],E224,tblRegistros[Data],"&lt;"&amp;B224)+COUNTIFS(tblRegistros[ID],E224,tblRegistros[Data],B224,tblRegistros[Início],"&lt;"&amp;I224)+COUNTIFS($E$5:E224,E224,$B$5:B224,B224,$I$5:I224,I224))</f>
        <v/>
      </c>
    </row>
    <row r="225" spans="2:20">
      <c r="B225" s="2" t="str">
        <f>IFERROR(INT(INDEX(tblBatidas[Data e hora],MATCH("B"&amp;MID($A225,2,99),tblBatidas[Batida ID],0))),"")</f>
        <v/>
      </c>
      <c r="C225" t="str">
        <f t="shared" si="12"/>
        <v/>
      </c>
      <c r="D225" t="str">
        <f t="shared" si="13"/>
        <v/>
      </c>
      <c r="E225" t="str">
        <f>IFERROR(INDEX(tblBatidas[ID],MATCH("B"&amp;MID($A225,2,99),tblBatidas[Batida ID],0)),"")</f>
        <v/>
      </c>
      <c r="F225" t="str">
        <f>IFERROR(INDEX(tblPessoas[Pessoa],MATCH(E225,tblPessoas[ID],0)),"")</f>
        <v/>
      </c>
      <c r="G225" t="str">
        <f>IFERROR(INDEX(tblBatidas[Projeto],MATCH("B"&amp;MID($A225,2,99),tblBatidas[Batida ID],0)),"")</f>
        <v/>
      </c>
      <c r="H225" t="str">
        <f>IFERROR(INDEX(tblBatidas[Atividade],MATCH("B"&amp;MID($A225,2,99),tblBatidas[Batida ID],0)),"")</f>
        <v/>
      </c>
      <c r="I225" s="4" t="str">
        <f>IFERROR(MOD(INDEX(tblBatidas[Data e hora],MATCH("B"&amp;MID($A225,2,99),tblBatidas[Batida ID],0)),1),"")</f>
        <v/>
      </c>
      <c r="J225" s="4" t="str">
        <f>IFERROR(MOD(INDEX(tblBatidas[Data e hora],MATCH("B"&amp;MID($A225,2,99),tblBatidas[Início vinculado],0)),1),"")</f>
        <v/>
      </c>
      <c r="K225" s="14" t="str">
        <f>IFERROR((INDEX(tblBatidas[Data e hora],MATCH("B"&amp;MID($A225,2,99),tblBatidas[Início vinculado],0))-INDEX(tblBatidas[Data e hora],MATCH("B"&amp;MID($A225,2,99),tblBatidas[Batida ID],0)))*24,"")</f>
        <v/>
      </c>
      <c r="L225" t="str">
        <f>IFERROR(INDEX(tblBatidas[Observação],MATCH("B"&amp;MID($A225,2,99),tblBatidas[Início vinculado],0)),"")</f>
        <v/>
      </c>
      <c r="M225" t="str">
        <f>IFERROR(INDEX(tblPessoas[Base],MATCH(E225,tblPessoas[ID],0)),"")</f>
        <v/>
      </c>
      <c r="N225" s="3">
        <f>IFERROR(IF(D225="DIA ÚTIL",INDEX(tblPessoas[R$/h útil],MATCH(E225,tblPessoas[ID],0)),INDEX(tblPessoas[R$/h FDS],MATCH(E225,tblPessoas[ID],0))),0)</f>
        <v>0</v>
      </c>
      <c r="O225" s="3">
        <f>IFERROR(INDEX(tblPessoas[R$/diária],MATCH(E225,tblPessoas[ID],0)),0)</f>
        <v>0</v>
      </c>
      <c r="P225" s="3" t="str">
        <f t="shared" si="14"/>
        <v/>
      </c>
      <c r="Q225" t="str">
        <f>IF(A225="","",IF(COUNTIF(tblBatidas[Início vinculado],"B"&amp;MID($A225,2,99))=0,"EM ABERTO",IF(OR(COUNTIF(tblBatidas[Início vinculado],"B"&amp;MID($A225,2,99))&gt;1,K225&lt;0,K225&gt;16,INT(INDEX(tblBatidas[Data e hora],MATCH("B"&amp;MID($A225,2,99),tblBatidas[Início vinculado],0)))&lt;&gt;B225,INDEX(tblBatidas[ID],MATCH("B"&amp;MID($A225,2,99),tblBatidas[Início vinculado],0))&lt;&gt;E225,INDEX(tblBatidas[Projeto],MATCH("B"&amp;MID($A225,2,99),tblBatidas[Início vinculado],0))&lt;&gt;G225,INDEX(tblBatidas[Atividade],MATCH("B"&amp;MID($A225,2,99),tblBatidas[Início vinculado],0))&lt;&gt;H225),"REVISAR","CONCLUÍDO")))</f>
        <v/>
      </c>
      <c r="R225">
        <f>IF(Q225&lt;&gt;"CONCLUÍDO",0,IF(COUNTIFS($E$5:E225,E225,$B$5:B225,B225,$Q$5:Q225,"CONCLUÍDO")=1,1,0))</f>
        <v>0</v>
      </c>
      <c r="S225" t="str">
        <f t="shared" si="15"/>
        <v/>
      </c>
      <c r="T225" t="str">
        <f>IF(E225="","",E225*100000+COUNTIFS(tblRegistros[ID],E225,tblRegistros[Data],"&lt;"&amp;B225)+COUNTIFS(tblRegistros[ID],E225,tblRegistros[Data],B225,tblRegistros[Início],"&lt;"&amp;I225)+COUNTIFS($E$5:E225,E225,$B$5:B225,B225,$I$5:I225,I225))</f>
        <v/>
      </c>
    </row>
    <row r="226" spans="2:20">
      <c r="B226" s="2" t="str">
        <f>IFERROR(INT(INDEX(tblBatidas[Data e hora],MATCH("B"&amp;MID($A226,2,99),tblBatidas[Batida ID],0))),"")</f>
        <v/>
      </c>
      <c r="C226" t="str">
        <f t="shared" si="12"/>
        <v/>
      </c>
      <c r="D226" t="str">
        <f t="shared" si="13"/>
        <v/>
      </c>
      <c r="E226" t="str">
        <f>IFERROR(INDEX(tblBatidas[ID],MATCH("B"&amp;MID($A226,2,99),tblBatidas[Batida ID],0)),"")</f>
        <v/>
      </c>
      <c r="F226" t="str">
        <f>IFERROR(INDEX(tblPessoas[Pessoa],MATCH(E226,tblPessoas[ID],0)),"")</f>
        <v/>
      </c>
      <c r="G226" t="str">
        <f>IFERROR(INDEX(tblBatidas[Projeto],MATCH("B"&amp;MID($A226,2,99),tblBatidas[Batida ID],0)),"")</f>
        <v/>
      </c>
      <c r="H226" t="str">
        <f>IFERROR(INDEX(tblBatidas[Atividade],MATCH("B"&amp;MID($A226,2,99),tblBatidas[Batida ID],0)),"")</f>
        <v/>
      </c>
      <c r="I226" s="4" t="str">
        <f>IFERROR(MOD(INDEX(tblBatidas[Data e hora],MATCH("B"&amp;MID($A226,2,99),tblBatidas[Batida ID],0)),1),"")</f>
        <v/>
      </c>
      <c r="J226" s="4" t="str">
        <f>IFERROR(MOD(INDEX(tblBatidas[Data e hora],MATCH("B"&amp;MID($A226,2,99),tblBatidas[Início vinculado],0)),1),"")</f>
        <v/>
      </c>
      <c r="K226" s="14" t="str">
        <f>IFERROR((INDEX(tblBatidas[Data e hora],MATCH("B"&amp;MID($A226,2,99),tblBatidas[Início vinculado],0))-INDEX(tblBatidas[Data e hora],MATCH("B"&amp;MID($A226,2,99),tblBatidas[Batida ID],0)))*24,"")</f>
        <v/>
      </c>
      <c r="L226" t="str">
        <f>IFERROR(INDEX(tblBatidas[Observação],MATCH("B"&amp;MID($A226,2,99),tblBatidas[Início vinculado],0)),"")</f>
        <v/>
      </c>
      <c r="M226" t="str">
        <f>IFERROR(INDEX(tblPessoas[Base],MATCH(E226,tblPessoas[ID],0)),"")</f>
        <v/>
      </c>
      <c r="N226" s="3">
        <f>IFERROR(IF(D226="DIA ÚTIL",INDEX(tblPessoas[R$/h útil],MATCH(E226,tblPessoas[ID],0)),INDEX(tblPessoas[R$/h FDS],MATCH(E226,tblPessoas[ID],0))),0)</f>
        <v>0</v>
      </c>
      <c r="O226" s="3">
        <f>IFERROR(INDEX(tblPessoas[R$/diária],MATCH(E226,tblPessoas[ID],0)),0)</f>
        <v>0</v>
      </c>
      <c r="P226" s="3" t="str">
        <f t="shared" si="14"/>
        <v/>
      </c>
      <c r="Q226" t="str">
        <f>IF(A226="","",IF(COUNTIF(tblBatidas[Início vinculado],"B"&amp;MID($A226,2,99))=0,"EM ABERTO",IF(OR(COUNTIF(tblBatidas[Início vinculado],"B"&amp;MID($A226,2,99))&gt;1,K226&lt;0,K226&gt;16,INT(INDEX(tblBatidas[Data e hora],MATCH("B"&amp;MID($A226,2,99),tblBatidas[Início vinculado],0)))&lt;&gt;B226,INDEX(tblBatidas[ID],MATCH("B"&amp;MID($A226,2,99),tblBatidas[Início vinculado],0))&lt;&gt;E226,INDEX(tblBatidas[Projeto],MATCH("B"&amp;MID($A226,2,99),tblBatidas[Início vinculado],0))&lt;&gt;G226,INDEX(tblBatidas[Atividade],MATCH("B"&amp;MID($A226,2,99),tblBatidas[Início vinculado],0))&lt;&gt;H226),"REVISAR","CONCLUÍDO")))</f>
        <v/>
      </c>
      <c r="R226">
        <f>IF(Q226&lt;&gt;"CONCLUÍDO",0,IF(COUNTIFS($E$5:E226,E226,$B$5:B226,B226,$Q$5:Q226,"CONCLUÍDO")=1,1,0))</f>
        <v>0</v>
      </c>
      <c r="S226" t="str">
        <f t="shared" si="15"/>
        <v/>
      </c>
      <c r="T226" t="str">
        <f>IF(E226="","",E226*100000+COUNTIFS(tblRegistros[ID],E226,tblRegistros[Data],"&lt;"&amp;B226)+COUNTIFS(tblRegistros[ID],E226,tblRegistros[Data],B226,tblRegistros[Início],"&lt;"&amp;I226)+COUNTIFS($E$5:E226,E226,$B$5:B226,B226,$I$5:I226,I226))</f>
        <v/>
      </c>
    </row>
    <row r="227" spans="2:20">
      <c r="B227" s="2" t="str">
        <f>IFERROR(INT(INDEX(tblBatidas[Data e hora],MATCH("B"&amp;MID($A227,2,99),tblBatidas[Batida ID],0))),"")</f>
        <v/>
      </c>
      <c r="C227" t="str">
        <f t="shared" si="12"/>
        <v/>
      </c>
      <c r="D227" t="str">
        <f t="shared" si="13"/>
        <v/>
      </c>
      <c r="E227" t="str">
        <f>IFERROR(INDEX(tblBatidas[ID],MATCH("B"&amp;MID($A227,2,99),tblBatidas[Batida ID],0)),"")</f>
        <v/>
      </c>
      <c r="F227" t="str">
        <f>IFERROR(INDEX(tblPessoas[Pessoa],MATCH(E227,tblPessoas[ID],0)),"")</f>
        <v/>
      </c>
      <c r="G227" t="str">
        <f>IFERROR(INDEX(tblBatidas[Projeto],MATCH("B"&amp;MID($A227,2,99),tblBatidas[Batida ID],0)),"")</f>
        <v/>
      </c>
      <c r="H227" t="str">
        <f>IFERROR(INDEX(tblBatidas[Atividade],MATCH("B"&amp;MID($A227,2,99),tblBatidas[Batida ID],0)),"")</f>
        <v/>
      </c>
      <c r="I227" s="4" t="str">
        <f>IFERROR(MOD(INDEX(tblBatidas[Data e hora],MATCH("B"&amp;MID($A227,2,99),tblBatidas[Batida ID],0)),1),"")</f>
        <v/>
      </c>
      <c r="J227" s="4" t="str">
        <f>IFERROR(MOD(INDEX(tblBatidas[Data e hora],MATCH("B"&amp;MID($A227,2,99),tblBatidas[Início vinculado],0)),1),"")</f>
        <v/>
      </c>
      <c r="K227" s="14" t="str">
        <f>IFERROR((INDEX(tblBatidas[Data e hora],MATCH("B"&amp;MID($A227,2,99),tblBatidas[Início vinculado],0))-INDEX(tblBatidas[Data e hora],MATCH("B"&amp;MID($A227,2,99),tblBatidas[Batida ID],0)))*24,"")</f>
        <v/>
      </c>
      <c r="L227" t="str">
        <f>IFERROR(INDEX(tblBatidas[Observação],MATCH("B"&amp;MID($A227,2,99),tblBatidas[Início vinculado],0)),"")</f>
        <v/>
      </c>
      <c r="M227" t="str">
        <f>IFERROR(INDEX(tblPessoas[Base],MATCH(E227,tblPessoas[ID],0)),"")</f>
        <v/>
      </c>
      <c r="N227" s="3">
        <f>IFERROR(IF(D227="DIA ÚTIL",INDEX(tblPessoas[R$/h útil],MATCH(E227,tblPessoas[ID],0)),INDEX(tblPessoas[R$/h FDS],MATCH(E227,tblPessoas[ID],0))),0)</f>
        <v>0</v>
      </c>
      <c r="O227" s="3">
        <f>IFERROR(INDEX(tblPessoas[R$/diária],MATCH(E227,tblPessoas[ID],0)),0)</f>
        <v>0</v>
      </c>
      <c r="P227" s="3" t="str">
        <f t="shared" si="14"/>
        <v/>
      </c>
      <c r="Q227" t="str">
        <f>IF(A227="","",IF(COUNTIF(tblBatidas[Início vinculado],"B"&amp;MID($A227,2,99))=0,"EM ABERTO",IF(OR(COUNTIF(tblBatidas[Início vinculado],"B"&amp;MID($A227,2,99))&gt;1,K227&lt;0,K227&gt;16,INT(INDEX(tblBatidas[Data e hora],MATCH("B"&amp;MID($A227,2,99),tblBatidas[Início vinculado],0)))&lt;&gt;B227,INDEX(tblBatidas[ID],MATCH("B"&amp;MID($A227,2,99),tblBatidas[Início vinculado],0))&lt;&gt;E227,INDEX(tblBatidas[Projeto],MATCH("B"&amp;MID($A227,2,99),tblBatidas[Início vinculado],0))&lt;&gt;G227,INDEX(tblBatidas[Atividade],MATCH("B"&amp;MID($A227,2,99),tblBatidas[Início vinculado],0))&lt;&gt;H227),"REVISAR","CONCLUÍDO")))</f>
        <v/>
      </c>
      <c r="R227">
        <f>IF(Q227&lt;&gt;"CONCLUÍDO",0,IF(COUNTIFS($E$5:E227,E227,$B$5:B227,B227,$Q$5:Q227,"CONCLUÍDO")=1,1,0))</f>
        <v>0</v>
      </c>
      <c r="S227" t="str">
        <f t="shared" si="15"/>
        <v/>
      </c>
      <c r="T227" t="str">
        <f>IF(E227="","",E227*100000+COUNTIFS(tblRegistros[ID],E227,tblRegistros[Data],"&lt;"&amp;B227)+COUNTIFS(tblRegistros[ID],E227,tblRegistros[Data],B227,tblRegistros[Início],"&lt;"&amp;I227)+COUNTIFS($E$5:E227,E227,$B$5:B227,B227,$I$5:I227,I227))</f>
        <v/>
      </c>
    </row>
    <row r="228" spans="2:20">
      <c r="B228" s="2" t="str">
        <f>IFERROR(INT(INDEX(tblBatidas[Data e hora],MATCH("B"&amp;MID($A228,2,99),tblBatidas[Batida ID],0))),"")</f>
        <v/>
      </c>
      <c r="C228" t="str">
        <f t="shared" si="12"/>
        <v/>
      </c>
      <c r="D228" t="str">
        <f t="shared" si="13"/>
        <v/>
      </c>
      <c r="E228" t="str">
        <f>IFERROR(INDEX(tblBatidas[ID],MATCH("B"&amp;MID($A228,2,99),tblBatidas[Batida ID],0)),"")</f>
        <v/>
      </c>
      <c r="F228" t="str">
        <f>IFERROR(INDEX(tblPessoas[Pessoa],MATCH(E228,tblPessoas[ID],0)),"")</f>
        <v/>
      </c>
      <c r="G228" t="str">
        <f>IFERROR(INDEX(tblBatidas[Projeto],MATCH("B"&amp;MID($A228,2,99),tblBatidas[Batida ID],0)),"")</f>
        <v/>
      </c>
      <c r="H228" t="str">
        <f>IFERROR(INDEX(tblBatidas[Atividade],MATCH("B"&amp;MID($A228,2,99),tblBatidas[Batida ID],0)),"")</f>
        <v/>
      </c>
      <c r="I228" s="4" t="str">
        <f>IFERROR(MOD(INDEX(tblBatidas[Data e hora],MATCH("B"&amp;MID($A228,2,99),tblBatidas[Batida ID],0)),1),"")</f>
        <v/>
      </c>
      <c r="J228" s="4" t="str">
        <f>IFERROR(MOD(INDEX(tblBatidas[Data e hora],MATCH("B"&amp;MID($A228,2,99),tblBatidas[Início vinculado],0)),1),"")</f>
        <v/>
      </c>
      <c r="K228" s="14" t="str">
        <f>IFERROR((INDEX(tblBatidas[Data e hora],MATCH("B"&amp;MID($A228,2,99),tblBatidas[Início vinculado],0))-INDEX(tblBatidas[Data e hora],MATCH("B"&amp;MID($A228,2,99),tblBatidas[Batida ID],0)))*24,"")</f>
        <v/>
      </c>
      <c r="L228" t="str">
        <f>IFERROR(INDEX(tblBatidas[Observação],MATCH("B"&amp;MID($A228,2,99),tblBatidas[Início vinculado],0)),"")</f>
        <v/>
      </c>
      <c r="M228" t="str">
        <f>IFERROR(INDEX(tblPessoas[Base],MATCH(E228,tblPessoas[ID],0)),"")</f>
        <v/>
      </c>
      <c r="N228" s="3">
        <f>IFERROR(IF(D228="DIA ÚTIL",INDEX(tblPessoas[R$/h útil],MATCH(E228,tblPessoas[ID],0)),INDEX(tblPessoas[R$/h FDS],MATCH(E228,tblPessoas[ID],0))),0)</f>
        <v>0</v>
      </c>
      <c r="O228" s="3">
        <f>IFERROR(INDEX(tblPessoas[R$/diária],MATCH(E228,tblPessoas[ID],0)),0)</f>
        <v>0</v>
      </c>
      <c r="P228" s="3" t="str">
        <f t="shared" si="14"/>
        <v/>
      </c>
      <c r="Q228" t="str">
        <f>IF(A228="","",IF(COUNTIF(tblBatidas[Início vinculado],"B"&amp;MID($A228,2,99))=0,"EM ABERTO",IF(OR(COUNTIF(tblBatidas[Início vinculado],"B"&amp;MID($A228,2,99))&gt;1,K228&lt;0,K228&gt;16,INT(INDEX(tblBatidas[Data e hora],MATCH("B"&amp;MID($A228,2,99),tblBatidas[Início vinculado],0)))&lt;&gt;B228,INDEX(tblBatidas[ID],MATCH("B"&amp;MID($A228,2,99),tblBatidas[Início vinculado],0))&lt;&gt;E228,INDEX(tblBatidas[Projeto],MATCH("B"&amp;MID($A228,2,99),tblBatidas[Início vinculado],0))&lt;&gt;G228,INDEX(tblBatidas[Atividade],MATCH("B"&amp;MID($A228,2,99),tblBatidas[Início vinculado],0))&lt;&gt;H228),"REVISAR","CONCLUÍDO")))</f>
        <v/>
      </c>
      <c r="R228">
        <f>IF(Q228&lt;&gt;"CONCLUÍDO",0,IF(COUNTIFS($E$5:E228,E228,$B$5:B228,B228,$Q$5:Q228,"CONCLUÍDO")=1,1,0))</f>
        <v>0</v>
      </c>
      <c r="S228" t="str">
        <f t="shared" si="15"/>
        <v/>
      </c>
      <c r="T228" t="str">
        <f>IF(E228="","",E228*100000+COUNTIFS(tblRegistros[ID],E228,tblRegistros[Data],"&lt;"&amp;B228)+COUNTIFS(tblRegistros[ID],E228,tblRegistros[Data],B228,tblRegistros[Início],"&lt;"&amp;I228)+COUNTIFS($E$5:E228,E228,$B$5:B228,B228,$I$5:I228,I228))</f>
        <v/>
      </c>
    </row>
    <row r="229" spans="2:20">
      <c r="B229" s="2" t="str">
        <f>IFERROR(INT(INDEX(tblBatidas[Data e hora],MATCH("B"&amp;MID($A229,2,99),tblBatidas[Batida ID],0))),"")</f>
        <v/>
      </c>
      <c r="C229" t="str">
        <f t="shared" si="12"/>
        <v/>
      </c>
      <c r="D229" t="str">
        <f t="shared" si="13"/>
        <v/>
      </c>
      <c r="E229" t="str">
        <f>IFERROR(INDEX(tblBatidas[ID],MATCH("B"&amp;MID($A229,2,99),tblBatidas[Batida ID],0)),"")</f>
        <v/>
      </c>
      <c r="F229" t="str">
        <f>IFERROR(INDEX(tblPessoas[Pessoa],MATCH(E229,tblPessoas[ID],0)),"")</f>
        <v/>
      </c>
      <c r="G229" t="str">
        <f>IFERROR(INDEX(tblBatidas[Projeto],MATCH("B"&amp;MID($A229,2,99),tblBatidas[Batida ID],0)),"")</f>
        <v/>
      </c>
      <c r="H229" t="str">
        <f>IFERROR(INDEX(tblBatidas[Atividade],MATCH("B"&amp;MID($A229,2,99),tblBatidas[Batida ID],0)),"")</f>
        <v/>
      </c>
      <c r="I229" s="4" t="str">
        <f>IFERROR(MOD(INDEX(tblBatidas[Data e hora],MATCH("B"&amp;MID($A229,2,99),tblBatidas[Batida ID],0)),1),"")</f>
        <v/>
      </c>
      <c r="J229" s="4" t="str">
        <f>IFERROR(MOD(INDEX(tblBatidas[Data e hora],MATCH("B"&amp;MID($A229,2,99),tblBatidas[Início vinculado],0)),1),"")</f>
        <v/>
      </c>
      <c r="K229" s="14" t="str">
        <f>IFERROR((INDEX(tblBatidas[Data e hora],MATCH("B"&amp;MID($A229,2,99),tblBatidas[Início vinculado],0))-INDEX(tblBatidas[Data e hora],MATCH("B"&amp;MID($A229,2,99),tblBatidas[Batida ID],0)))*24,"")</f>
        <v/>
      </c>
      <c r="L229" t="str">
        <f>IFERROR(INDEX(tblBatidas[Observação],MATCH("B"&amp;MID($A229,2,99),tblBatidas[Início vinculado],0)),"")</f>
        <v/>
      </c>
      <c r="M229" t="str">
        <f>IFERROR(INDEX(tblPessoas[Base],MATCH(E229,tblPessoas[ID],0)),"")</f>
        <v/>
      </c>
      <c r="N229" s="3">
        <f>IFERROR(IF(D229="DIA ÚTIL",INDEX(tblPessoas[R$/h útil],MATCH(E229,tblPessoas[ID],0)),INDEX(tblPessoas[R$/h FDS],MATCH(E229,tblPessoas[ID],0))),0)</f>
        <v>0</v>
      </c>
      <c r="O229" s="3">
        <f>IFERROR(INDEX(tblPessoas[R$/diária],MATCH(E229,tblPessoas[ID],0)),0)</f>
        <v>0</v>
      </c>
      <c r="P229" s="3" t="str">
        <f t="shared" si="14"/>
        <v/>
      </c>
      <c r="Q229" t="str">
        <f>IF(A229="","",IF(COUNTIF(tblBatidas[Início vinculado],"B"&amp;MID($A229,2,99))=0,"EM ABERTO",IF(OR(COUNTIF(tblBatidas[Início vinculado],"B"&amp;MID($A229,2,99))&gt;1,K229&lt;0,K229&gt;16,INT(INDEX(tblBatidas[Data e hora],MATCH("B"&amp;MID($A229,2,99),tblBatidas[Início vinculado],0)))&lt;&gt;B229,INDEX(tblBatidas[ID],MATCH("B"&amp;MID($A229,2,99),tblBatidas[Início vinculado],0))&lt;&gt;E229,INDEX(tblBatidas[Projeto],MATCH("B"&amp;MID($A229,2,99),tblBatidas[Início vinculado],0))&lt;&gt;G229,INDEX(tblBatidas[Atividade],MATCH("B"&amp;MID($A229,2,99),tblBatidas[Início vinculado],0))&lt;&gt;H229),"REVISAR","CONCLUÍDO")))</f>
        <v/>
      </c>
      <c r="R229">
        <f>IF(Q229&lt;&gt;"CONCLUÍDO",0,IF(COUNTIFS($E$5:E229,E229,$B$5:B229,B229,$Q$5:Q229,"CONCLUÍDO")=1,1,0))</f>
        <v>0</v>
      </c>
      <c r="S229" t="str">
        <f t="shared" si="15"/>
        <v/>
      </c>
      <c r="T229" t="str">
        <f>IF(E229="","",E229*100000+COUNTIFS(tblRegistros[ID],E229,tblRegistros[Data],"&lt;"&amp;B229)+COUNTIFS(tblRegistros[ID],E229,tblRegistros[Data],B229,tblRegistros[Início],"&lt;"&amp;I229)+COUNTIFS($E$5:E229,E229,$B$5:B229,B229,$I$5:I229,I229))</f>
        <v/>
      </c>
    </row>
    <row r="230" spans="2:20">
      <c r="B230" s="2" t="str">
        <f>IFERROR(INT(INDEX(tblBatidas[Data e hora],MATCH("B"&amp;MID($A230,2,99),tblBatidas[Batida ID],0))),"")</f>
        <v/>
      </c>
      <c r="C230" t="str">
        <f t="shared" si="12"/>
        <v/>
      </c>
      <c r="D230" t="str">
        <f t="shared" si="13"/>
        <v/>
      </c>
      <c r="E230" t="str">
        <f>IFERROR(INDEX(tblBatidas[ID],MATCH("B"&amp;MID($A230,2,99),tblBatidas[Batida ID],0)),"")</f>
        <v/>
      </c>
      <c r="F230" t="str">
        <f>IFERROR(INDEX(tblPessoas[Pessoa],MATCH(E230,tblPessoas[ID],0)),"")</f>
        <v/>
      </c>
      <c r="G230" t="str">
        <f>IFERROR(INDEX(tblBatidas[Projeto],MATCH("B"&amp;MID($A230,2,99),tblBatidas[Batida ID],0)),"")</f>
        <v/>
      </c>
      <c r="H230" t="str">
        <f>IFERROR(INDEX(tblBatidas[Atividade],MATCH("B"&amp;MID($A230,2,99),tblBatidas[Batida ID],0)),"")</f>
        <v/>
      </c>
      <c r="I230" s="4" t="str">
        <f>IFERROR(MOD(INDEX(tblBatidas[Data e hora],MATCH("B"&amp;MID($A230,2,99),tblBatidas[Batida ID],0)),1),"")</f>
        <v/>
      </c>
      <c r="J230" s="4" t="str">
        <f>IFERROR(MOD(INDEX(tblBatidas[Data e hora],MATCH("B"&amp;MID($A230,2,99),tblBatidas[Início vinculado],0)),1),"")</f>
        <v/>
      </c>
      <c r="K230" s="14" t="str">
        <f>IFERROR((INDEX(tblBatidas[Data e hora],MATCH("B"&amp;MID($A230,2,99),tblBatidas[Início vinculado],0))-INDEX(tblBatidas[Data e hora],MATCH("B"&amp;MID($A230,2,99),tblBatidas[Batida ID],0)))*24,"")</f>
        <v/>
      </c>
      <c r="L230" t="str">
        <f>IFERROR(INDEX(tblBatidas[Observação],MATCH("B"&amp;MID($A230,2,99),tblBatidas[Início vinculado],0)),"")</f>
        <v/>
      </c>
      <c r="M230" t="str">
        <f>IFERROR(INDEX(tblPessoas[Base],MATCH(E230,tblPessoas[ID],0)),"")</f>
        <v/>
      </c>
      <c r="N230" s="3">
        <f>IFERROR(IF(D230="DIA ÚTIL",INDEX(tblPessoas[R$/h útil],MATCH(E230,tblPessoas[ID],0)),INDEX(tblPessoas[R$/h FDS],MATCH(E230,tblPessoas[ID],0))),0)</f>
        <v>0</v>
      </c>
      <c r="O230" s="3">
        <f>IFERROR(INDEX(tblPessoas[R$/diária],MATCH(E230,tblPessoas[ID],0)),0)</f>
        <v>0</v>
      </c>
      <c r="P230" s="3" t="str">
        <f t="shared" si="14"/>
        <v/>
      </c>
      <c r="Q230" t="str">
        <f>IF(A230="","",IF(COUNTIF(tblBatidas[Início vinculado],"B"&amp;MID($A230,2,99))=0,"EM ABERTO",IF(OR(COUNTIF(tblBatidas[Início vinculado],"B"&amp;MID($A230,2,99))&gt;1,K230&lt;0,K230&gt;16,INT(INDEX(tblBatidas[Data e hora],MATCH("B"&amp;MID($A230,2,99),tblBatidas[Início vinculado],0)))&lt;&gt;B230,INDEX(tblBatidas[ID],MATCH("B"&amp;MID($A230,2,99),tblBatidas[Início vinculado],0))&lt;&gt;E230,INDEX(tblBatidas[Projeto],MATCH("B"&amp;MID($A230,2,99),tblBatidas[Início vinculado],0))&lt;&gt;G230,INDEX(tblBatidas[Atividade],MATCH("B"&amp;MID($A230,2,99),tblBatidas[Início vinculado],0))&lt;&gt;H230),"REVISAR","CONCLUÍDO")))</f>
        <v/>
      </c>
      <c r="R230">
        <f>IF(Q230&lt;&gt;"CONCLUÍDO",0,IF(COUNTIFS($E$5:E230,E230,$B$5:B230,B230,$Q$5:Q230,"CONCLUÍDO")=1,1,0))</f>
        <v>0</v>
      </c>
      <c r="S230" t="str">
        <f t="shared" si="15"/>
        <v/>
      </c>
      <c r="T230" t="str">
        <f>IF(E230="","",E230*100000+COUNTIFS(tblRegistros[ID],E230,tblRegistros[Data],"&lt;"&amp;B230)+COUNTIFS(tblRegistros[ID],E230,tblRegistros[Data],B230,tblRegistros[Início],"&lt;"&amp;I230)+COUNTIFS($E$5:E230,E230,$B$5:B230,B230,$I$5:I230,I230))</f>
        <v/>
      </c>
    </row>
    <row r="231" spans="2:20">
      <c r="B231" s="2" t="str">
        <f>IFERROR(INT(INDEX(tblBatidas[Data e hora],MATCH("B"&amp;MID($A231,2,99),tblBatidas[Batida ID],0))),"")</f>
        <v/>
      </c>
      <c r="C231" t="str">
        <f t="shared" si="12"/>
        <v/>
      </c>
      <c r="D231" t="str">
        <f t="shared" si="13"/>
        <v/>
      </c>
      <c r="E231" t="str">
        <f>IFERROR(INDEX(tblBatidas[ID],MATCH("B"&amp;MID($A231,2,99),tblBatidas[Batida ID],0)),"")</f>
        <v/>
      </c>
      <c r="F231" t="str">
        <f>IFERROR(INDEX(tblPessoas[Pessoa],MATCH(E231,tblPessoas[ID],0)),"")</f>
        <v/>
      </c>
      <c r="G231" t="str">
        <f>IFERROR(INDEX(tblBatidas[Projeto],MATCH("B"&amp;MID($A231,2,99),tblBatidas[Batida ID],0)),"")</f>
        <v/>
      </c>
      <c r="H231" t="str">
        <f>IFERROR(INDEX(tblBatidas[Atividade],MATCH("B"&amp;MID($A231,2,99),tblBatidas[Batida ID],0)),"")</f>
        <v/>
      </c>
      <c r="I231" s="4" t="str">
        <f>IFERROR(MOD(INDEX(tblBatidas[Data e hora],MATCH("B"&amp;MID($A231,2,99),tblBatidas[Batida ID],0)),1),"")</f>
        <v/>
      </c>
      <c r="J231" s="4" t="str">
        <f>IFERROR(MOD(INDEX(tblBatidas[Data e hora],MATCH("B"&amp;MID($A231,2,99),tblBatidas[Início vinculado],0)),1),"")</f>
        <v/>
      </c>
      <c r="K231" s="14" t="str">
        <f>IFERROR((INDEX(tblBatidas[Data e hora],MATCH("B"&amp;MID($A231,2,99),tblBatidas[Início vinculado],0))-INDEX(tblBatidas[Data e hora],MATCH("B"&amp;MID($A231,2,99),tblBatidas[Batida ID],0)))*24,"")</f>
        <v/>
      </c>
      <c r="L231" t="str">
        <f>IFERROR(INDEX(tblBatidas[Observação],MATCH("B"&amp;MID($A231,2,99),tblBatidas[Início vinculado],0)),"")</f>
        <v/>
      </c>
      <c r="M231" t="str">
        <f>IFERROR(INDEX(tblPessoas[Base],MATCH(E231,tblPessoas[ID],0)),"")</f>
        <v/>
      </c>
      <c r="N231" s="3">
        <f>IFERROR(IF(D231="DIA ÚTIL",INDEX(tblPessoas[R$/h útil],MATCH(E231,tblPessoas[ID],0)),INDEX(tblPessoas[R$/h FDS],MATCH(E231,tblPessoas[ID],0))),0)</f>
        <v>0</v>
      </c>
      <c r="O231" s="3">
        <f>IFERROR(INDEX(tblPessoas[R$/diária],MATCH(E231,tblPessoas[ID],0)),0)</f>
        <v>0</v>
      </c>
      <c r="P231" s="3" t="str">
        <f t="shared" si="14"/>
        <v/>
      </c>
      <c r="Q231" t="str">
        <f>IF(A231="","",IF(COUNTIF(tblBatidas[Início vinculado],"B"&amp;MID($A231,2,99))=0,"EM ABERTO",IF(OR(COUNTIF(tblBatidas[Início vinculado],"B"&amp;MID($A231,2,99))&gt;1,K231&lt;0,K231&gt;16,INT(INDEX(tblBatidas[Data e hora],MATCH("B"&amp;MID($A231,2,99),tblBatidas[Início vinculado],0)))&lt;&gt;B231,INDEX(tblBatidas[ID],MATCH("B"&amp;MID($A231,2,99),tblBatidas[Início vinculado],0))&lt;&gt;E231,INDEX(tblBatidas[Projeto],MATCH("B"&amp;MID($A231,2,99),tblBatidas[Início vinculado],0))&lt;&gt;G231,INDEX(tblBatidas[Atividade],MATCH("B"&amp;MID($A231,2,99),tblBatidas[Início vinculado],0))&lt;&gt;H231),"REVISAR","CONCLUÍDO")))</f>
        <v/>
      </c>
      <c r="R231">
        <f>IF(Q231&lt;&gt;"CONCLUÍDO",0,IF(COUNTIFS($E$5:E231,E231,$B$5:B231,B231,$Q$5:Q231,"CONCLUÍDO")=1,1,0))</f>
        <v>0</v>
      </c>
      <c r="S231" t="str">
        <f t="shared" si="15"/>
        <v/>
      </c>
      <c r="T231" t="str">
        <f>IF(E231="","",E231*100000+COUNTIFS(tblRegistros[ID],E231,tblRegistros[Data],"&lt;"&amp;B231)+COUNTIFS(tblRegistros[ID],E231,tblRegistros[Data],B231,tblRegistros[Início],"&lt;"&amp;I231)+COUNTIFS($E$5:E231,E231,$B$5:B231,B231,$I$5:I231,I231))</f>
        <v/>
      </c>
    </row>
    <row r="232" spans="2:20">
      <c r="B232" s="2" t="str">
        <f>IFERROR(INT(INDEX(tblBatidas[Data e hora],MATCH("B"&amp;MID($A232,2,99),tblBatidas[Batida ID],0))),"")</f>
        <v/>
      </c>
      <c r="C232" t="str">
        <f t="shared" si="12"/>
        <v/>
      </c>
      <c r="D232" t="str">
        <f t="shared" si="13"/>
        <v/>
      </c>
      <c r="E232" t="str">
        <f>IFERROR(INDEX(tblBatidas[ID],MATCH("B"&amp;MID($A232,2,99),tblBatidas[Batida ID],0)),"")</f>
        <v/>
      </c>
      <c r="F232" t="str">
        <f>IFERROR(INDEX(tblPessoas[Pessoa],MATCH(E232,tblPessoas[ID],0)),"")</f>
        <v/>
      </c>
      <c r="G232" t="str">
        <f>IFERROR(INDEX(tblBatidas[Projeto],MATCH("B"&amp;MID($A232,2,99),tblBatidas[Batida ID],0)),"")</f>
        <v/>
      </c>
      <c r="H232" t="str">
        <f>IFERROR(INDEX(tblBatidas[Atividade],MATCH("B"&amp;MID($A232,2,99),tblBatidas[Batida ID],0)),"")</f>
        <v/>
      </c>
      <c r="I232" s="4" t="str">
        <f>IFERROR(MOD(INDEX(tblBatidas[Data e hora],MATCH("B"&amp;MID($A232,2,99),tblBatidas[Batida ID],0)),1),"")</f>
        <v/>
      </c>
      <c r="J232" s="4" t="str">
        <f>IFERROR(MOD(INDEX(tblBatidas[Data e hora],MATCH("B"&amp;MID($A232,2,99),tblBatidas[Início vinculado],0)),1),"")</f>
        <v/>
      </c>
      <c r="K232" s="14" t="str">
        <f>IFERROR((INDEX(tblBatidas[Data e hora],MATCH("B"&amp;MID($A232,2,99),tblBatidas[Início vinculado],0))-INDEX(tblBatidas[Data e hora],MATCH("B"&amp;MID($A232,2,99),tblBatidas[Batida ID],0)))*24,"")</f>
        <v/>
      </c>
      <c r="L232" t="str">
        <f>IFERROR(INDEX(tblBatidas[Observação],MATCH("B"&amp;MID($A232,2,99),tblBatidas[Início vinculado],0)),"")</f>
        <v/>
      </c>
      <c r="M232" t="str">
        <f>IFERROR(INDEX(tblPessoas[Base],MATCH(E232,tblPessoas[ID],0)),"")</f>
        <v/>
      </c>
      <c r="N232" s="3">
        <f>IFERROR(IF(D232="DIA ÚTIL",INDEX(tblPessoas[R$/h útil],MATCH(E232,tblPessoas[ID],0)),INDEX(tblPessoas[R$/h FDS],MATCH(E232,tblPessoas[ID],0))),0)</f>
        <v>0</v>
      </c>
      <c r="O232" s="3">
        <f>IFERROR(INDEX(tblPessoas[R$/diária],MATCH(E232,tblPessoas[ID],0)),0)</f>
        <v>0</v>
      </c>
      <c r="P232" s="3" t="str">
        <f t="shared" si="14"/>
        <v/>
      </c>
      <c r="Q232" t="str">
        <f>IF(A232="","",IF(COUNTIF(tblBatidas[Início vinculado],"B"&amp;MID($A232,2,99))=0,"EM ABERTO",IF(OR(COUNTIF(tblBatidas[Início vinculado],"B"&amp;MID($A232,2,99))&gt;1,K232&lt;0,K232&gt;16,INT(INDEX(tblBatidas[Data e hora],MATCH("B"&amp;MID($A232,2,99),tblBatidas[Início vinculado],0)))&lt;&gt;B232,INDEX(tblBatidas[ID],MATCH("B"&amp;MID($A232,2,99),tblBatidas[Início vinculado],0))&lt;&gt;E232,INDEX(tblBatidas[Projeto],MATCH("B"&amp;MID($A232,2,99),tblBatidas[Início vinculado],0))&lt;&gt;G232,INDEX(tblBatidas[Atividade],MATCH("B"&amp;MID($A232,2,99),tblBatidas[Início vinculado],0))&lt;&gt;H232),"REVISAR","CONCLUÍDO")))</f>
        <v/>
      </c>
      <c r="R232">
        <f>IF(Q232&lt;&gt;"CONCLUÍDO",0,IF(COUNTIFS($E$5:E232,E232,$B$5:B232,B232,$Q$5:Q232,"CONCLUÍDO")=1,1,0))</f>
        <v>0</v>
      </c>
      <c r="S232" t="str">
        <f t="shared" si="15"/>
        <v/>
      </c>
      <c r="T232" t="str">
        <f>IF(E232="","",E232*100000+COUNTIFS(tblRegistros[ID],E232,tblRegistros[Data],"&lt;"&amp;B232)+COUNTIFS(tblRegistros[ID],E232,tblRegistros[Data],B232,tblRegistros[Início],"&lt;"&amp;I232)+COUNTIFS($E$5:E232,E232,$B$5:B232,B232,$I$5:I232,I232))</f>
        <v/>
      </c>
    </row>
    <row r="233" spans="2:20">
      <c r="B233" s="2" t="str">
        <f>IFERROR(INT(INDEX(tblBatidas[Data e hora],MATCH("B"&amp;MID($A233,2,99),tblBatidas[Batida ID],0))),"")</f>
        <v/>
      </c>
      <c r="C233" t="str">
        <f t="shared" si="12"/>
        <v/>
      </c>
      <c r="D233" t="str">
        <f t="shared" si="13"/>
        <v/>
      </c>
      <c r="E233" t="str">
        <f>IFERROR(INDEX(tblBatidas[ID],MATCH("B"&amp;MID($A233,2,99),tblBatidas[Batida ID],0)),"")</f>
        <v/>
      </c>
      <c r="F233" t="str">
        <f>IFERROR(INDEX(tblPessoas[Pessoa],MATCH(E233,tblPessoas[ID],0)),"")</f>
        <v/>
      </c>
      <c r="G233" t="str">
        <f>IFERROR(INDEX(tblBatidas[Projeto],MATCH("B"&amp;MID($A233,2,99),tblBatidas[Batida ID],0)),"")</f>
        <v/>
      </c>
      <c r="H233" t="str">
        <f>IFERROR(INDEX(tblBatidas[Atividade],MATCH("B"&amp;MID($A233,2,99),tblBatidas[Batida ID],0)),"")</f>
        <v/>
      </c>
      <c r="I233" s="4" t="str">
        <f>IFERROR(MOD(INDEX(tblBatidas[Data e hora],MATCH("B"&amp;MID($A233,2,99),tblBatidas[Batida ID],0)),1),"")</f>
        <v/>
      </c>
      <c r="J233" s="4" t="str">
        <f>IFERROR(MOD(INDEX(tblBatidas[Data e hora],MATCH("B"&amp;MID($A233,2,99),tblBatidas[Início vinculado],0)),1),"")</f>
        <v/>
      </c>
      <c r="K233" s="14" t="str">
        <f>IFERROR((INDEX(tblBatidas[Data e hora],MATCH("B"&amp;MID($A233,2,99),tblBatidas[Início vinculado],0))-INDEX(tblBatidas[Data e hora],MATCH("B"&amp;MID($A233,2,99),tblBatidas[Batida ID],0)))*24,"")</f>
        <v/>
      </c>
      <c r="L233" t="str">
        <f>IFERROR(INDEX(tblBatidas[Observação],MATCH("B"&amp;MID($A233,2,99),tblBatidas[Início vinculado],0)),"")</f>
        <v/>
      </c>
      <c r="M233" t="str">
        <f>IFERROR(INDEX(tblPessoas[Base],MATCH(E233,tblPessoas[ID],0)),"")</f>
        <v/>
      </c>
      <c r="N233" s="3">
        <f>IFERROR(IF(D233="DIA ÚTIL",INDEX(tblPessoas[R$/h útil],MATCH(E233,tblPessoas[ID],0)),INDEX(tblPessoas[R$/h FDS],MATCH(E233,tblPessoas[ID],0))),0)</f>
        <v>0</v>
      </c>
      <c r="O233" s="3">
        <f>IFERROR(INDEX(tblPessoas[R$/diária],MATCH(E233,tblPessoas[ID],0)),0)</f>
        <v>0</v>
      </c>
      <c r="P233" s="3" t="str">
        <f t="shared" si="14"/>
        <v/>
      </c>
      <c r="Q233" t="str">
        <f>IF(A233="","",IF(COUNTIF(tblBatidas[Início vinculado],"B"&amp;MID($A233,2,99))=0,"EM ABERTO",IF(OR(COUNTIF(tblBatidas[Início vinculado],"B"&amp;MID($A233,2,99))&gt;1,K233&lt;0,K233&gt;16,INT(INDEX(tblBatidas[Data e hora],MATCH("B"&amp;MID($A233,2,99),tblBatidas[Início vinculado],0)))&lt;&gt;B233,INDEX(tblBatidas[ID],MATCH("B"&amp;MID($A233,2,99),tblBatidas[Início vinculado],0))&lt;&gt;E233,INDEX(tblBatidas[Projeto],MATCH("B"&amp;MID($A233,2,99),tblBatidas[Início vinculado],0))&lt;&gt;G233,INDEX(tblBatidas[Atividade],MATCH("B"&amp;MID($A233,2,99),tblBatidas[Início vinculado],0))&lt;&gt;H233),"REVISAR","CONCLUÍDO")))</f>
        <v/>
      </c>
      <c r="R233">
        <f>IF(Q233&lt;&gt;"CONCLUÍDO",0,IF(COUNTIFS($E$5:E233,E233,$B$5:B233,B233,$Q$5:Q233,"CONCLUÍDO")=1,1,0))</f>
        <v>0</v>
      </c>
      <c r="S233" t="str">
        <f t="shared" si="15"/>
        <v/>
      </c>
      <c r="T233" t="str">
        <f>IF(E233="","",E233*100000+COUNTIFS(tblRegistros[ID],E233,tblRegistros[Data],"&lt;"&amp;B233)+COUNTIFS(tblRegistros[ID],E233,tblRegistros[Data],B233,tblRegistros[Início],"&lt;"&amp;I233)+COUNTIFS($E$5:E233,E233,$B$5:B233,B233,$I$5:I233,I233))</f>
        <v/>
      </c>
    </row>
    <row r="234" spans="2:20">
      <c r="B234" s="2" t="str">
        <f>IFERROR(INT(INDEX(tblBatidas[Data e hora],MATCH("B"&amp;MID($A234,2,99),tblBatidas[Batida ID],0))),"")</f>
        <v/>
      </c>
      <c r="C234" t="str">
        <f t="shared" si="12"/>
        <v/>
      </c>
      <c r="D234" t="str">
        <f t="shared" si="13"/>
        <v/>
      </c>
      <c r="E234" t="str">
        <f>IFERROR(INDEX(tblBatidas[ID],MATCH("B"&amp;MID($A234,2,99),tblBatidas[Batida ID],0)),"")</f>
        <v/>
      </c>
      <c r="F234" t="str">
        <f>IFERROR(INDEX(tblPessoas[Pessoa],MATCH(E234,tblPessoas[ID],0)),"")</f>
        <v/>
      </c>
      <c r="G234" t="str">
        <f>IFERROR(INDEX(tblBatidas[Projeto],MATCH("B"&amp;MID($A234,2,99),tblBatidas[Batida ID],0)),"")</f>
        <v/>
      </c>
      <c r="H234" t="str">
        <f>IFERROR(INDEX(tblBatidas[Atividade],MATCH("B"&amp;MID($A234,2,99),tblBatidas[Batida ID],0)),"")</f>
        <v/>
      </c>
      <c r="I234" s="4" t="str">
        <f>IFERROR(MOD(INDEX(tblBatidas[Data e hora],MATCH("B"&amp;MID($A234,2,99),tblBatidas[Batida ID],0)),1),"")</f>
        <v/>
      </c>
      <c r="J234" s="4" t="str">
        <f>IFERROR(MOD(INDEX(tblBatidas[Data e hora],MATCH("B"&amp;MID($A234,2,99),tblBatidas[Início vinculado],0)),1),"")</f>
        <v/>
      </c>
      <c r="K234" s="14" t="str">
        <f>IFERROR((INDEX(tblBatidas[Data e hora],MATCH("B"&amp;MID($A234,2,99),tblBatidas[Início vinculado],0))-INDEX(tblBatidas[Data e hora],MATCH("B"&amp;MID($A234,2,99),tblBatidas[Batida ID],0)))*24,"")</f>
        <v/>
      </c>
      <c r="L234" t="str">
        <f>IFERROR(INDEX(tblBatidas[Observação],MATCH("B"&amp;MID($A234,2,99),tblBatidas[Início vinculado],0)),"")</f>
        <v/>
      </c>
      <c r="M234" t="str">
        <f>IFERROR(INDEX(tblPessoas[Base],MATCH(E234,tblPessoas[ID],0)),"")</f>
        <v/>
      </c>
      <c r="N234" s="3">
        <f>IFERROR(IF(D234="DIA ÚTIL",INDEX(tblPessoas[R$/h útil],MATCH(E234,tblPessoas[ID],0)),INDEX(tblPessoas[R$/h FDS],MATCH(E234,tblPessoas[ID],0))),0)</f>
        <v>0</v>
      </c>
      <c r="O234" s="3">
        <f>IFERROR(INDEX(tblPessoas[R$/diária],MATCH(E234,tblPessoas[ID],0)),0)</f>
        <v>0</v>
      </c>
      <c r="P234" s="3" t="str">
        <f t="shared" si="14"/>
        <v/>
      </c>
      <c r="Q234" t="str">
        <f>IF(A234="","",IF(COUNTIF(tblBatidas[Início vinculado],"B"&amp;MID($A234,2,99))=0,"EM ABERTO",IF(OR(COUNTIF(tblBatidas[Início vinculado],"B"&amp;MID($A234,2,99))&gt;1,K234&lt;0,K234&gt;16,INT(INDEX(tblBatidas[Data e hora],MATCH("B"&amp;MID($A234,2,99),tblBatidas[Início vinculado],0)))&lt;&gt;B234,INDEX(tblBatidas[ID],MATCH("B"&amp;MID($A234,2,99),tblBatidas[Início vinculado],0))&lt;&gt;E234,INDEX(tblBatidas[Projeto],MATCH("B"&amp;MID($A234,2,99),tblBatidas[Início vinculado],0))&lt;&gt;G234,INDEX(tblBatidas[Atividade],MATCH("B"&amp;MID($A234,2,99),tblBatidas[Início vinculado],0))&lt;&gt;H234),"REVISAR","CONCLUÍDO")))</f>
        <v/>
      </c>
      <c r="R234">
        <f>IF(Q234&lt;&gt;"CONCLUÍDO",0,IF(COUNTIFS($E$5:E234,E234,$B$5:B234,B234,$Q$5:Q234,"CONCLUÍDO")=1,1,0))</f>
        <v>0</v>
      </c>
      <c r="S234" t="str">
        <f t="shared" si="15"/>
        <v/>
      </c>
      <c r="T234" t="str">
        <f>IF(E234="","",E234*100000+COUNTIFS(tblRegistros[ID],E234,tblRegistros[Data],"&lt;"&amp;B234)+COUNTIFS(tblRegistros[ID],E234,tblRegistros[Data],B234,tblRegistros[Início],"&lt;"&amp;I234)+COUNTIFS($E$5:E234,E234,$B$5:B234,B234,$I$5:I234,I234))</f>
        <v/>
      </c>
    </row>
    <row r="235" spans="2:20">
      <c r="B235" s="2" t="str">
        <f>IFERROR(INT(INDEX(tblBatidas[Data e hora],MATCH("B"&amp;MID($A235,2,99),tblBatidas[Batida ID],0))),"")</f>
        <v/>
      </c>
      <c r="C235" t="str">
        <f t="shared" si="12"/>
        <v/>
      </c>
      <c r="D235" t="str">
        <f t="shared" si="13"/>
        <v/>
      </c>
      <c r="E235" t="str">
        <f>IFERROR(INDEX(tblBatidas[ID],MATCH("B"&amp;MID($A235,2,99),tblBatidas[Batida ID],0)),"")</f>
        <v/>
      </c>
      <c r="F235" t="str">
        <f>IFERROR(INDEX(tblPessoas[Pessoa],MATCH(E235,tblPessoas[ID],0)),"")</f>
        <v/>
      </c>
      <c r="G235" t="str">
        <f>IFERROR(INDEX(tblBatidas[Projeto],MATCH("B"&amp;MID($A235,2,99),tblBatidas[Batida ID],0)),"")</f>
        <v/>
      </c>
      <c r="H235" t="str">
        <f>IFERROR(INDEX(tblBatidas[Atividade],MATCH("B"&amp;MID($A235,2,99),tblBatidas[Batida ID],0)),"")</f>
        <v/>
      </c>
      <c r="I235" s="4" t="str">
        <f>IFERROR(MOD(INDEX(tblBatidas[Data e hora],MATCH("B"&amp;MID($A235,2,99),tblBatidas[Batida ID],0)),1),"")</f>
        <v/>
      </c>
      <c r="J235" s="4" t="str">
        <f>IFERROR(MOD(INDEX(tblBatidas[Data e hora],MATCH("B"&amp;MID($A235,2,99),tblBatidas[Início vinculado],0)),1),"")</f>
        <v/>
      </c>
      <c r="K235" s="14" t="str">
        <f>IFERROR((INDEX(tblBatidas[Data e hora],MATCH("B"&amp;MID($A235,2,99),tblBatidas[Início vinculado],0))-INDEX(tblBatidas[Data e hora],MATCH("B"&amp;MID($A235,2,99),tblBatidas[Batida ID],0)))*24,"")</f>
        <v/>
      </c>
      <c r="L235" t="str">
        <f>IFERROR(INDEX(tblBatidas[Observação],MATCH("B"&amp;MID($A235,2,99),tblBatidas[Início vinculado],0)),"")</f>
        <v/>
      </c>
      <c r="M235" t="str">
        <f>IFERROR(INDEX(tblPessoas[Base],MATCH(E235,tblPessoas[ID],0)),"")</f>
        <v/>
      </c>
      <c r="N235" s="3">
        <f>IFERROR(IF(D235="DIA ÚTIL",INDEX(tblPessoas[R$/h útil],MATCH(E235,tblPessoas[ID],0)),INDEX(tblPessoas[R$/h FDS],MATCH(E235,tblPessoas[ID],0))),0)</f>
        <v>0</v>
      </c>
      <c r="O235" s="3">
        <f>IFERROR(INDEX(tblPessoas[R$/diária],MATCH(E235,tblPessoas[ID],0)),0)</f>
        <v>0</v>
      </c>
      <c r="P235" s="3" t="str">
        <f t="shared" si="14"/>
        <v/>
      </c>
      <c r="Q235" t="str">
        <f>IF(A235="","",IF(COUNTIF(tblBatidas[Início vinculado],"B"&amp;MID($A235,2,99))=0,"EM ABERTO",IF(OR(COUNTIF(tblBatidas[Início vinculado],"B"&amp;MID($A235,2,99))&gt;1,K235&lt;0,K235&gt;16,INT(INDEX(tblBatidas[Data e hora],MATCH("B"&amp;MID($A235,2,99),tblBatidas[Início vinculado],0)))&lt;&gt;B235,INDEX(tblBatidas[ID],MATCH("B"&amp;MID($A235,2,99),tblBatidas[Início vinculado],0))&lt;&gt;E235,INDEX(tblBatidas[Projeto],MATCH("B"&amp;MID($A235,2,99),tblBatidas[Início vinculado],0))&lt;&gt;G235,INDEX(tblBatidas[Atividade],MATCH("B"&amp;MID($A235,2,99),tblBatidas[Início vinculado],0))&lt;&gt;H235),"REVISAR","CONCLUÍDO")))</f>
        <v/>
      </c>
      <c r="R235">
        <f>IF(Q235&lt;&gt;"CONCLUÍDO",0,IF(COUNTIFS($E$5:E235,E235,$B$5:B235,B235,$Q$5:Q235,"CONCLUÍDO")=1,1,0))</f>
        <v>0</v>
      </c>
      <c r="S235" t="str">
        <f t="shared" si="15"/>
        <v/>
      </c>
      <c r="T235" t="str">
        <f>IF(E235="","",E235*100000+COUNTIFS(tblRegistros[ID],E235,tblRegistros[Data],"&lt;"&amp;B235)+COUNTIFS(tblRegistros[ID],E235,tblRegistros[Data],B235,tblRegistros[Início],"&lt;"&amp;I235)+COUNTIFS($E$5:E235,E235,$B$5:B235,B235,$I$5:I235,I235))</f>
        <v/>
      </c>
    </row>
    <row r="236" spans="2:20">
      <c r="B236" s="2" t="str">
        <f>IFERROR(INT(INDEX(tblBatidas[Data e hora],MATCH("B"&amp;MID($A236,2,99),tblBatidas[Batida ID],0))),"")</f>
        <v/>
      </c>
      <c r="C236" t="str">
        <f t="shared" si="12"/>
        <v/>
      </c>
      <c r="D236" t="str">
        <f t="shared" si="13"/>
        <v/>
      </c>
      <c r="E236" t="str">
        <f>IFERROR(INDEX(tblBatidas[ID],MATCH("B"&amp;MID($A236,2,99),tblBatidas[Batida ID],0)),"")</f>
        <v/>
      </c>
      <c r="F236" t="str">
        <f>IFERROR(INDEX(tblPessoas[Pessoa],MATCH(E236,tblPessoas[ID],0)),"")</f>
        <v/>
      </c>
      <c r="G236" t="str">
        <f>IFERROR(INDEX(tblBatidas[Projeto],MATCH("B"&amp;MID($A236,2,99),tblBatidas[Batida ID],0)),"")</f>
        <v/>
      </c>
      <c r="H236" t="str">
        <f>IFERROR(INDEX(tblBatidas[Atividade],MATCH("B"&amp;MID($A236,2,99),tblBatidas[Batida ID],0)),"")</f>
        <v/>
      </c>
      <c r="I236" s="4" t="str">
        <f>IFERROR(MOD(INDEX(tblBatidas[Data e hora],MATCH("B"&amp;MID($A236,2,99),tblBatidas[Batida ID],0)),1),"")</f>
        <v/>
      </c>
      <c r="J236" s="4" t="str">
        <f>IFERROR(MOD(INDEX(tblBatidas[Data e hora],MATCH("B"&amp;MID($A236,2,99),tblBatidas[Início vinculado],0)),1),"")</f>
        <v/>
      </c>
      <c r="K236" s="14" t="str">
        <f>IFERROR((INDEX(tblBatidas[Data e hora],MATCH("B"&amp;MID($A236,2,99),tblBatidas[Início vinculado],0))-INDEX(tblBatidas[Data e hora],MATCH("B"&amp;MID($A236,2,99),tblBatidas[Batida ID],0)))*24,"")</f>
        <v/>
      </c>
      <c r="L236" t="str">
        <f>IFERROR(INDEX(tblBatidas[Observação],MATCH("B"&amp;MID($A236,2,99),tblBatidas[Início vinculado],0)),"")</f>
        <v/>
      </c>
      <c r="M236" t="str">
        <f>IFERROR(INDEX(tblPessoas[Base],MATCH(E236,tblPessoas[ID],0)),"")</f>
        <v/>
      </c>
      <c r="N236" s="3">
        <f>IFERROR(IF(D236="DIA ÚTIL",INDEX(tblPessoas[R$/h útil],MATCH(E236,tblPessoas[ID],0)),INDEX(tblPessoas[R$/h FDS],MATCH(E236,tblPessoas[ID],0))),0)</f>
        <v>0</v>
      </c>
      <c r="O236" s="3">
        <f>IFERROR(INDEX(tblPessoas[R$/diária],MATCH(E236,tblPessoas[ID],0)),0)</f>
        <v>0</v>
      </c>
      <c r="P236" s="3" t="str">
        <f t="shared" si="14"/>
        <v/>
      </c>
      <c r="Q236" t="str">
        <f>IF(A236="","",IF(COUNTIF(tblBatidas[Início vinculado],"B"&amp;MID($A236,2,99))=0,"EM ABERTO",IF(OR(COUNTIF(tblBatidas[Início vinculado],"B"&amp;MID($A236,2,99))&gt;1,K236&lt;0,K236&gt;16,INT(INDEX(tblBatidas[Data e hora],MATCH("B"&amp;MID($A236,2,99),tblBatidas[Início vinculado],0)))&lt;&gt;B236,INDEX(tblBatidas[ID],MATCH("B"&amp;MID($A236,2,99),tblBatidas[Início vinculado],0))&lt;&gt;E236,INDEX(tblBatidas[Projeto],MATCH("B"&amp;MID($A236,2,99),tblBatidas[Início vinculado],0))&lt;&gt;G236,INDEX(tblBatidas[Atividade],MATCH("B"&amp;MID($A236,2,99),tblBatidas[Início vinculado],0))&lt;&gt;H236),"REVISAR","CONCLUÍDO")))</f>
        <v/>
      </c>
      <c r="R236">
        <f>IF(Q236&lt;&gt;"CONCLUÍDO",0,IF(COUNTIFS($E$5:E236,E236,$B$5:B236,B236,$Q$5:Q236,"CONCLUÍDO")=1,1,0))</f>
        <v>0</v>
      </c>
      <c r="S236" t="str">
        <f t="shared" si="15"/>
        <v/>
      </c>
      <c r="T236" t="str">
        <f>IF(E236="","",E236*100000+COUNTIFS(tblRegistros[ID],E236,tblRegistros[Data],"&lt;"&amp;B236)+COUNTIFS(tblRegistros[ID],E236,tblRegistros[Data],B236,tblRegistros[Início],"&lt;"&amp;I236)+COUNTIFS($E$5:E236,E236,$B$5:B236,B236,$I$5:I236,I236))</f>
        <v/>
      </c>
    </row>
    <row r="237" spans="2:20">
      <c r="B237" s="2" t="str">
        <f>IFERROR(INT(INDEX(tblBatidas[Data e hora],MATCH("B"&amp;MID($A237,2,99),tblBatidas[Batida ID],0))),"")</f>
        <v/>
      </c>
      <c r="C237" t="str">
        <f t="shared" si="12"/>
        <v/>
      </c>
      <c r="D237" t="str">
        <f t="shared" si="13"/>
        <v/>
      </c>
      <c r="E237" t="str">
        <f>IFERROR(INDEX(tblBatidas[ID],MATCH("B"&amp;MID($A237,2,99),tblBatidas[Batida ID],0)),"")</f>
        <v/>
      </c>
      <c r="F237" t="str">
        <f>IFERROR(INDEX(tblPessoas[Pessoa],MATCH(E237,tblPessoas[ID],0)),"")</f>
        <v/>
      </c>
      <c r="G237" t="str">
        <f>IFERROR(INDEX(tblBatidas[Projeto],MATCH("B"&amp;MID($A237,2,99),tblBatidas[Batida ID],0)),"")</f>
        <v/>
      </c>
      <c r="H237" t="str">
        <f>IFERROR(INDEX(tblBatidas[Atividade],MATCH("B"&amp;MID($A237,2,99),tblBatidas[Batida ID],0)),"")</f>
        <v/>
      </c>
      <c r="I237" s="4" t="str">
        <f>IFERROR(MOD(INDEX(tblBatidas[Data e hora],MATCH("B"&amp;MID($A237,2,99),tblBatidas[Batida ID],0)),1),"")</f>
        <v/>
      </c>
      <c r="J237" s="4" t="str">
        <f>IFERROR(MOD(INDEX(tblBatidas[Data e hora],MATCH("B"&amp;MID($A237,2,99),tblBatidas[Início vinculado],0)),1),"")</f>
        <v/>
      </c>
      <c r="K237" s="14" t="str">
        <f>IFERROR((INDEX(tblBatidas[Data e hora],MATCH("B"&amp;MID($A237,2,99),tblBatidas[Início vinculado],0))-INDEX(tblBatidas[Data e hora],MATCH("B"&amp;MID($A237,2,99),tblBatidas[Batida ID],0)))*24,"")</f>
        <v/>
      </c>
      <c r="L237" t="str">
        <f>IFERROR(INDEX(tblBatidas[Observação],MATCH("B"&amp;MID($A237,2,99),tblBatidas[Início vinculado],0)),"")</f>
        <v/>
      </c>
      <c r="M237" t="str">
        <f>IFERROR(INDEX(tblPessoas[Base],MATCH(E237,tblPessoas[ID],0)),"")</f>
        <v/>
      </c>
      <c r="N237" s="3">
        <f>IFERROR(IF(D237="DIA ÚTIL",INDEX(tblPessoas[R$/h útil],MATCH(E237,tblPessoas[ID],0)),INDEX(tblPessoas[R$/h FDS],MATCH(E237,tblPessoas[ID],0))),0)</f>
        <v>0</v>
      </c>
      <c r="O237" s="3">
        <f>IFERROR(INDEX(tblPessoas[R$/diária],MATCH(E237,tblPessoas[ID],0)),0)</f>
        <v>0</v>
      </c>
      <c r="P237" s="3" t="str">
        <f t="shared" si="14"/>
        <v/>
      </c>
      <c r="Q237" t="str">
        <f>IF(A237="","",IF(COUNTIF(tblBatidas[Início vinculado],"B"&amp;MID($A237,2,99))=0,"EM ABERTO",IF(OR(COUNTIF(tblBatidas[Início vinculado],"B"&amp;MID($A237,2,99))&gt;1,K237&lt;0,K237&gt;16,INT(INDEX(tblBatidas[Data e hora],MATCH("B"&amp;MID($A237,2,99),tblBatidas[Início vinculado],0)))&lt;&gt;B237,INDEX(tblBatidas[ID],MATCH("B"&amp;MID($A237,2,99),tblBatidas[Início vinculado],0))&lt;&gt;E237,INDEX(tblBatidas[Projeto],MATCH("B"&amp;MID($A237,2,99),tblBatidas[Início vinculado],0))&lt;&gt;G237,INDEX(tblBatidas[Atividade],MATCH("B"&amp;MID($A237,2,99),tblBatidas[Início vinculado],0))&lt;&gt;H237),"REVISAR","CONCLUÍDO")))</f>
        <v/>
      </c>
      <c r="R237">
        <f>IF(Q237&lt;&gt;"CONCLUÍDO",0,IF(COUNTIFS($E$5:E237,E237,$B$5:B237,B237,$Q$5:Q237,"CONCLUÍDO")=1,1,0))</f>
        <v>0</v>
      </c>
      <c r="S237" t="str">
        <f t="shared" si="15"/>
        <v/>
      </c>
      <c r="T237" t="str">
        <f>IF(E237="","",E237*100000+COUNTIFS(tblRegistros[ID],E237,tblRegistros[Data],"&lt;"&amp;B237)+COUNTIFS(tblRegistros[ID],E237,tblRegistros[Data],B237,tblRegistros[Início],"&lt;"&amp;I237)+COUNTIFS($E$5:E237,E237,$B$5:B237,B237,$I$5:I237,I237))</f>
        <v/>
      </c>
    </row>
    <row r="238" spans="2:20">
      <c r="B238" s="2" t="str">
        <f>IFERROR(INT(INDEX(tblBatidas[Data e hora],MATCH("B"&amp;MID($A238,2,99),tblBatidas[Batida ID],0))),"")</f>
        <v/>
      </c>
      <c r="C238" t="str">
        <f t="shared" si="12"/>
        <v/>
      </c>
      <c r="D238" t="str">
        <f t="shared" si="13"/>
        <v/>
      </c>
      <c r="E238" t="str">
        <f>IFERROR(INDEX(tblBatidas[ID],MATCH("B"&amp;MID($A238,2,99),tblBatidas[Batida ID],0)),"")</f>
        <v/>
      </c>
      <c r="F238" t="str">
        <f>IFERROR(INDEX(tblPessoas[Pessoa],MATCH(E238,tblPessoas[ID],0)),"")</f>
        <v/>
      </c>
      <c r="G238" t="str">
        <f>IFERROR(INDEX(tblBatidas[Projeto],MATCH("B"&amp;MID($A238,2,99),tblBatidas[Batida ID],0)),"")</f>
        <v/>
      </c>
      <c r="H238" t="str">
        <f>IFERROR(INDEX(tblBatidas[Atividade],MATCH("B"&amp;MID($A238,2,99),tblBatidas[Batida ID],0)),"")</f>
        <v/>
      </c>
      <c r="I238" s="4" t="str">
        <f>IFERROR(MOD(INDEX(tblBatidas[Data e hora],MATCH("B"&amp;MID($A238,2,99),tblBatidas[Batida ID],0)),1),"")</f>
        <v/>
      </c>
      <c r="J238" s="4" t="str">
        <f>IFERROR(MOD(INDEX(tblBatidas[Data e hora],MATCH("B"&amp;MID($A238,2,99),tblBatidas[Início vinculado],0)),1),"")</f>
        <v/>
      </c>
      <c r="K238" s="14" t="str">
        <f>IFERROR((INDEX(tblBatidas[Data e hora],MATCH("B"&amp;MID($A238,2,99),tblBatidas[Início vinculado],0))-INDEX(tblBatidas[Data e hora],MATCH("B"&amp;MID($A238,2,99),tblBatidas[Batida ID],0)))*24,"")</f>
        <v/>
      </c>
      <c r="L238" t="str">
        <f>IFERROR(INDEX(tblBatidas[Observação],MATCH("B"&amp;MID($A238,2,99),tblBatidas[Início vinculado],0)),"")</f>
        <v/>
      </c>
      <c r="M238" t="str">
        <f>IFERROR(INDEX(tblPessoas[Base],MATCH(E238,tblPessoas[ID],0)),"")</f>
        <v/>
      </c>
      <c r="N238" s="3">
        <f>IFERROR(IF(D238="DIA ÚTIL",INDEX(tblPessoas[R$/h útil],MATCH(E238,tblPessoas[ID],0)),INDEX(tblPessoas[R$/h FDS],MATCH(E238,tblPessoas[ID],0))),0)</f>
        <v>0</v>
      </c>
      <c r="O238" s="3">
        <f>IFERROR(INDEX(tblPessoas[R$/diária],MATCH(E238,tblPessoas[ID],0)),0)</f>
        <v>0</v>
      </c>
      <c r="P238" s="3" t="str">
        <f t="shared" si="14"/>
        <v/>
      </c>
      <c r="Q238" t="str">
        <f>IF(A238="","",IF(COUNTIF(tblBatidas[Início vinculado],"B"&amp;MID($A238,2,99))=0,"EM ABERTO",IF(OR(COUNTIF(tblBatidas[Início vinculado],"B"&amp;MID($A238,2,99))&gt;1,K238&lt;0,K238&gt;16,INT(INDEX(tblBatidas[Data e hora],MATCH("B"&amp;MID($A238,2,99),tblBatidas[Início vinculado],0)))&lt;&gt;B238,INDEX(tblBatidas[ID],MATCH("B"&amp;MID($A238,2,99),tblBatidas[Início vinculado],0))&lt;&gt;E238,INDEX(tblBatidas[Projeto],MATCH("B"&amp;MID($A238,2,99),tblBatidas[Início vinculado],0))&lt;&gt;G238,INDEX(tblBatidas[Atividade],MATCH("B"&amp;MID($A238,2,99),tblBatidas[Início vinculado],0))&lt;&gt;H238),"REVISAR","CONCLUÍDO")))</f>
        <v/>
      </c>
      <c r="R238">
        <f>IF(Q238&lt;&gt;"CONCLUÍDO",0,IF(COUNTIFS($E$5:E238,E238,$B$5:B238,B238,$Q$5:Q238,"CONCLUÍDO")=1,1,0))</f>
        <v>0</v>
      </c>
      <c r="S238" t="str">
        <f t="shared" si="15"/>
        <v/>
      </c>
      <c r="T238" t="str">
        <f>IF(E238="","",E238*100000+COUNTIFS(tblRegistros[ID],E238,tblRegistros[Data],"&lt;"&amp;B238)+COUNTIFS(tblRegistros[ID],E238,tblRegistros[Data],B238,tblRegistros[Início],"&lt;"&amp;I238)+COUNTIFS($E$5:E238,E238,$B$5:B238,B238,$I$5:I238,I238))</f>
        <v/>
      </c>
    </row>
    <row r="239" spans="2:20">
      <c r="B239" s="2" t="str">
        <f>IFERROR(INT(INDEX(tblBatidas[Data e hora],MATCH("B"&amp;MID($A239,2,99),tblBatidas[Batida ID],0))),"")</f>
        <v/>
      </c>
      <c r="C239" t="str">
        <f t="shared" si="12"/>
        <v/>
      </c>
      <c r="D239" t="str">
        <f t="shared" si="13"/>
        <v/>
      </c>
      <c r="E239" t="str">
        <f>IFERROR(INDEX(tblBatidas[ID],MATCH("B"&amp;MID($A239,2,99),tblBatidas[Batida ID],0)),"")</f>
        <v/>
      </c>
      <c r="F239" t="str">
        <f>IFERROR(INDEX(tblPessoas[Pessoa],MATCH(E239,tblPessoas[ID],0)),"")</f>
        <v/>
      </c>
      <c r="G239" t="str">
        <f>IFERROR(INDEX(tblBatidas[Projeto],MATCH("B"&amp;MID($A239,2,99),tblBatidas[Batida ID],0)),"")</f>
        <v/>
      </c>
      <c r="H239" t="str">
        <f>IFERROR(INDEX(tblBatidas[Atividade],MATCH("B"&amp;MID($A239,2,99),tblBatidas[Batida ID],0)),"")</f>
        <v/>
      </c>
      <c r="I239" s="4" t="str">
        <f>IFERROR(MOD(INDEX(tblBatidas[Data e hora],MATCH("B"&amp;MID($A239,2,99),tblBatidas[Batida ID],0)),1),"")</f>
        <v/>
      </c>
      <c r="J239" s="4" t="str">
        <f>IFERROR(MOD(INDEX(tblBatidas[Data e hora],MATCH("B"&amp;MID($A239,2,99),tblBatidas[Início vinculado],0)),1),"")</f>
        <v/>
      </c>
      <c r="K239" s="14" t="str">
        <f>IFERROR((INDEX(tblBatidas[Data e hora],MATCH("B"&amp;MID($A239,2,99),tblBatidas[Início vinculado],0))-INDEX(tblBatidas[Data e hora],MATCH("B"&amp;MID($A239,2,99),tblBatidas[Batida ID],0)))*24,"")</f>
        <v/>
      </c>
      <c r="L239" t="str">
        <f>IFERROR(INDEX(tblBatidas[Observação],MATCH("B"&amp;MID($A239,2,99),tblBatidas[Início vinculado],0)),"")</f>
        <v/>
      </c>
      <c r="M239" t="str">
        <f>IFERROR(INDEX(tblPessoas[Base],MATCH(E239,tblPessoas[ID],0)),"")</f>
        <v/>
      </c>
      <c r="N239" s="3">
        <f>IFERROR(IF(D239="DIA ÚTIL",INDEX(tblPessoas[R$/h útil],MATCH(E239,tblPessoas[ID],0)),INDEX(tblPessoas[R$/h FDS],MATCH(E239,tblPessoas[ID],0))),0)</f>
        <v>0</v>
      </c>
      <c r="O239" s="3">
        <f>IFERROR(INDEX(tblPessoas[R$/diária],MATCH(E239,tblPessoas[ID],0)),0)</f>
        <v>0</v>
      </c>
      <c r="P239" s="3" t="str">
        <f t="shared" si="14"/>
        <v/>
      </c>
      <c r="Q239" t="str">
        <f>IF(A239="","",IF(COUNTIF(tblBatidas[Início vinculado],"B"&amp;MID($A239,2,99))=0,"EM ABERTO",IF(OR(COUNTIF(tblBatidas[Início vinculado],"B"&amp;MID($A239,2,99))&gt;1,K239&lt;0,K239&gt;16,INT(INDEX(tblBatidas[Data e hora],MATCH("B"&amp;MID($A239,2,99),tblBatidas[Início vinculado],0)))&lt;&gt;B239,INDEX(tblBatidas[ID],MATCH("B"&amp;MID($A239,2,99),tblBatidas[Início vinculado],0))&lt;&gt;E239,INDEX(tblBatidas[Projeto],MATCH("B"&amp;MID($A239,2,99),tblBatidas[Início vinculado],0))&lt;&gt;G239,INDEX(tblBatidas[Atividade],MATCH("B"&amp;MID($A239,2,99),tblBatidas[Início vinculado],0))&lt;&gt;H239),"REVISAR","CONCLUÍDO")))</f>
        <v/>
      </c>
      <c r="R239">
        <f>IF(Q239&lt;&gt;"CONCLUÍDO",0,IF(COUNTIFS($E$5:E239,E239,$B$5:B239,B239,$Q$5:Q239,"CONCLUÍDO")=1,1,0))</f>
        <v>0</v>
      </c>
      <c r="S239" t="str">
        <f t="shared" si="15"/>
        <v/>
      </c>
      <c r="T239" t="str">
        <f>IF(E239="","",E239*100000+COUNTIFS(tblRegistros[ID],E239,tblRegistros[Data],"&lt;"&amp;B239)+COUNTIFS(tblRegistros[ID],E239,tblRegistros[Data],B239,tblRegistros[Início],"&lt;"&amp;I239)+COUNTIFS($E$5:E239,E239,$B$5:B239,B239,$I$5:I239,I239))</f>
        <v/>
      </c>
    </row>
    <row r="240" spans="2:20">
      <c r="B240" s="2" t="str">
        <f>IFERROR(INT(INDEX(tblBatidas[Data e hora],MATCH("B"&amp;MID($A240,2,99),tblBatidas[Batida ID],0))),"")</f>
        <v/>
      </c>
      <c r="C240" t="str">
        <f t="shared" si="12"/>
        <v/>
      </c>
      <c r="D240" t="str">
        <f t="shared" si="13"/>
        <v/>
      </c>
      <c r="E240" t="str">
        <f>IFERROR(INDEX(tblBatidas[ID],MATCH("B"&amp;MID($A240,2,99),tblBatidas[Batida ID],0)),"")</f>
        <v/>
      </c>
      <c r="F240" t="str">
        <f>IFERROR(INDEX(tblPessoas[Pessoa],MATCH(E240,tblPessoas[ID],0)),"")</f>
        <v/>
      </c>
      <c r="G240" t="str">
        <f>IFERROR(INDEX(tblBatidas[Projeto],MATCH("B"&amp;MID($A240,2,99),tblBatidas[Batida ID],0)),"")</f>
        <v/>
      </c>
      <c r="H240" t="str">
        <f>IFERROR(INDEX(tblBatidas[Atividade],MATCH("B"&amp;MID($A240,2,99),tblBatidas[Batida ID],0)),"")</f>
        <v/>
      </c>
      <c r="I240" s="4" t="str">
        <f>IFERROR(MOD(INDEX(tblBatidas[Data e hora],MATCH("B"&amp;MID($A240,2,99),tblBatidas[Batida ID],0)),1),"")</f>
        <v/>
      </c>
      <c r="J240" s="4" t="str">
        <f>IFERROR(MOD(INDEX(tblBatidas[Data e hora],MATCH("B"&amp;MID($A240,2,99),tblBatidas[Início vinculado],0)),1),"")</f>
        <v/>
      </c>
      <c r="K240" s="14" t="str">
        <f>IFERROR((INDEX(tblBatidas[Data e hora],MATCH("B"&amp;MID($A240,2,99),tblBatidas[Início vinculado],0))-INDEX(tblBatidas[Data e hora],MATCH("B"&amp;MID($A240,2,99),tblBatidas[Batida ID],0)))*24,"")</f>
        <v/>
      </c>
      <c r="L240" t="str">
        <f>IFERROR(INDEX(tblBatidas[Observação],MATCH("B"&amp;MID($A240,2,99),tblBatidas[Início vinculado],0)),"")</f>
        <v/>
      </c>
      <c r="M240" t="str">
        <f>IFERROR(INDEX(tblPessoas[Base],MATCH(E240,tblPessoas[ID],0)),"")</f>
        <v/>
      </c>
      <c r="N240" s="3">
        <f>IFERROR(IF(D240="DIA ÚTIL",INDEX(tblPessoas[R$/h útil],MATCH(E240,tblPessoas[ID],0)),INDEX(tblPessoas[R$/h FDS],MATCH(E240,tblPessoas[ID],0))),0)</f>
        <v>0</v>
      </c>
      <c r="O240" s="3">
        <f>IFERROR(INDEX(tblPessoas[R$/diária],MATCH(E240,tblPessoas[ID],0)),0)</f>
        <v>0</v>
      </c>
      <c r="P240" s="3" t="str">
        <f t="shared" si="14"/>
        <v/>
      </c>
      <c r="Q240" t="str">
        <f>IF(A240="","",IF(COUNTIF(tblBatidas[Início vinculado],"B"&amp;MID($A240,2,99))=0,"EM ABERTO",IF(OR(COUNTIF(tblBatidas[Início vinculado],"B"&amp;MID($A240,2,99))&gt;1,K240&lt;0,K240&gt;16,INT(INDEX(tblBatidas[Data e hora],MATCH("B"&amp;MID($A240,2,99),tblBatidas[Início vinculado],0)))&lt;&gt;B240,INDEX(tblBatidas[ID],MATCH("B"&amp;MID($A240,2,99),tblBatidas[Início vinculado],0))&lt;&gt;E240,INDEX(tblBatidas[Projeto],MATCH("B"&amp;MID($A240,2,99),tblBatidas[Início vinculado],0))&lt;&gt;G240,INDEX(tblBatidas[Atividade],MATCH("B"&amp;MID($A240,2,99),tblBatidas[Início vinculado],0))&lt;&gt;H240),"REVISAR","CONCLUÍDO")))</f>
        <v/>
      </c>
      <c r="R240">
        <f>IF(Q240&lt;&gt;"CONCLUÍDO",0,IF(COUNTIFS($E$5:E240,E240,$B$5:B240,B240,$Q$5:Q240,"CONCLUÍDO")=1,1,0))</f>
        <v>0</v>
      </c>
      <c r="S240" t="str">
        <f t="shared" si="15"/>
        <v/>
      </c>
      <c r="T240" t="str">
        <f>IF(E240="","",E240*100000+COUNTIFS(tblRegistros[ID],E240,tblRegistros[Data],"&lt;"&amp;B240)+COUNTIFS(tblRegistros[ID],E240,tblRegistros[Data],B240,tblRegistros[Início],"&lt;"&amp;I240)+COUNTIFS($E$5:E240,E240,$B$5:B240,B240,$I$5:I240,I240))</f>
        <v/>
      </c>
    </row>
    <row r="241" spans="2:20">
      <c r="B241" s="2" t="str">
        <f>IFERROR(INT(INDEX(tblBatidas[Data e hora],MATCH("B"&amp;MID($A241,2,99),tblBatidas[Batida ID],0))),"")</f>
        <v/>
      </c>
      <c r="C241" t="str">
        <f t="shared" si="12"/>
        <v/>
      </c>
      <c r="D241" t="str">
        <f t="shared" si="13"/>
        <v/>
      </c>
      <c r="E241" t="str">
        <f>IFERROR(INDEX(tblBatidas[ID],MATCH("B"&amp;MID($A241,2,99),tblBatidas[Batida ID],0)),"")</f>
        <v/>
      </c>
      <c r="F241" t="str">
        <f>IFERROR(INDEX(tblPessoas[Pessoa],MATCH(E241,tblPessoas[ID],0)),"")</f>
        <v/>
      </c>
      <c r="G241" t="str">
        <f>IFERROR(INDEX(tblBatidas[Projeto],MATCH("B"&amp;MID($A241,2,99),tblBatidas[Batida ID],0)),"")</f>
        <v/>
      </c>
      <c r="H241" t="str">
        <f>IFERROR(INDEX(tblBatidas[Atividade],MATCH("B"&amp;MID($A241,2,99),tblBatidas[Batida ID],0)),"")</f>
        <v/>
      </c>
      <c r="I241" s="4" t="str">
        <f>IFERROR(MOD(INDEX(tblBatidas[Data e hora],MATCH("B"&amp;MID($A241,2,99),tblBatidas[Batida ID],0)),1),"")</f>
        <v/>
      </c>
      <c r="J241" s="4" t="str">
        <f>IFERROR(MOD(INDEX(tblBatidas[Data e hora],MATCH("B"&amp;MID($A241,2,99),tblBatidas[Início vinculado],0)),1),"")</f>
        <v/>
      </c>
      <c r="K241" s="14" t="str">
        <f>IFERROR((INDEX(tblBatidas[Data e hora],MATCH("B"&amp;MID($A241,2,99),tblBatidas[Início vinculado],0))-INDEX(tblBatidas[Data e hora],MATCH("B"&amp;MID($A241,2,99),tblBatidas[Batida ID],0)))*24,"")</f>
        <v/>
      </c>
      <c r="L241" t="str">
        <f>IFERROR(INDEX(tblBatidas[Observação],MATCH("B"&amp;MID($A241,2,99),tblBatidas[Início vinculado],0)),"")</f>
        <v/>
      </c>
      <c r="M241" t="str">
        <f>IFERROR(INDEX(tblPessoas[Base],MATCH(E241,tblPessoas[ID],0)),"")</f>
        <v/>
      </c>
      <c r="N241" s="3">
        <f>IFERROR(IF(D241="DIA ÚTIL",INDEX(tblPessoas[R$/h útil],MATCH(E241,tblPessoas[ID],0)),INDEX(tblPessoas[R$/h FDS],MATCH(E241,tblPessoas[ID],0))),0)</f>
        <v>0</v>
      </c>
      <c r="O241" s="3">
        <f>IFERROR(INDEX(tblPessoas[R$/diária],MATCH(E241,tblPessoas[ID],0)),0)</f>
        <v>0</v>
      </c>
      <c r="P241" s="3" t="str">
        <f t="shared" si="14"/>
        <v/>
      </c>
      <c r="Q241" t="str">
        <f>IF(A241="","",IF(COUNTIF(tblBatidas[Início vinculado],"B"&amp;MID($A241,2,99))=0,"EM ABERTO",IF(OR(COUNTIF(tblBatidas[Início vinculado],"B"&amp;MID($A241,2,99))&gt;1,K241&lt;0,K241&gt;16,INT(INDEX(tblBatidas[Data e hora],MATCH("B"&amp;MID($A241,2,99),tblBatidas[Início vinculado],0)))&lt;&gt;B241,INDEX(tblBatidas[ID],MATCH("B"&amp;MID($A241,2,99),tblBatidas[Início vinculado],0))&lt;&gt;E241,INDEX(tblBatidas[Projeto],MATCH("B"&amp;MID($A241,2,99),tblBatidas[Início vinculado],0))&lt;&gt;G241,INDEX(tblBatidas[Atividade],MATCH("B"&amp;MID($A241,2,99),tblBatidas[Início vinculado],0))&lt;&gt;H241),"REVISAR","CONCLUÍDO")))</f>
        <v/>
      </c>
      <c r="R241">
        <f>IF(Q241&lt;&gt;"CONCLUÍDO",0,IF(COUNTIFS($E$5:E241,E241,$B$5:B241,B241,$Q$5:Q241,"CONCLUÍDO")=1,1,0))</f>
        <v>0</v>
      </c>
      <c r="S241" t="str">
        <f t="shared" si="15"/>
        <v/>
      </c>
      <c r="T241" t="str">
        <f>IF(E241="","",E241*100000+COUNTIFS(tblRegistros[ID],E241,tblRegistros[Data],"&lt;"&amp;B241)+COUNTIFS(tblRegistros[ID],E241,tblRegistros[Data],B241,tblRegistros[Início],"&lt;"&amp;I241)+COUNTIFS($E$5:E241,E241,$B$5:B241,B241,$I$5:I241,I241))</f>
        <v/>
      </c>
    </row>
    <row r="242" spans="2:20">
      <c r="B242" s="2" t="str">
        <f>IFERROR(INT(INDEX(tblBatidas[Data e hora],MATCH("B"&amp;MID($A242,2,99),tblBatidas[Batida ID],0))),"")</f>
        <v/>
      </c>
      <c r="C242" t="str">
        <f t="shared" si="12"/>
        <v/>
      </c>
      <c r="D242" t="str">
        <f t="shared" si="13"/>
        <v/>
      </c>
      <c r="E242" t="str">
        <f>IFERROR(INDEX(tblBatidas[ID],MATCH("B"&amp;MID($A242,2,99),tblBatidas[Batida ID],0)),"")</f>
        <v/>
      </c>
      <c r="F242" t="str">
        <f>IFERROR(INDEX(tblPessoas[Pessoa],MATCH(E242,tblPessoas[ID],0)),"")</f>
        <v/>
      </c>
      <c r="G242" t="str">
        <f>IFERROR(INDEX(tblBatidas[Projeto],MATCH("B"&amp;MID($A242,2,99),tblBatidas[Batida ID],0)),"")</f>
        <v/>
      </c>
      <c r="H242" t="str">
        <f>IFERROR(INDEX(tblBatidas[Atividade],MATCH("B"&amp;MID($A242,2,99),tblBatidas[Batida ID],0)),"")</f>
        <v/>
      </c>
      <c r="I242" s="4" t="str">
        <f>IFERROR(MOD(INDEX(tblBatidas[Data e hora],MATCH("B"&amp;MID($A242,2,99),tblBatidas[Batida ID],0)),1),"")</f>
        <v/>
      </c>
      <c r="J242" s="4" t="str">
        <f>IFERROR(MOD(INDEX(tblBatidas[Data e hora],MATCH("B"&amp;MID($A242,2,99),tblBatidas[Início vinculado],0)),1),"")</f>
        <v/>
      </c>
      <c r="K242" s="14" t="str">
        <f>IFERROR((INDEX(tblBatidas[Data e hora],MATCH("B"&amp;MID($A242,2,99),tblBatidas[Início vinculado],0))-INDEX(tblBatidas[Data e hora],MATCH("B"&amp;MID($A242,2,99),tblBatidas[Batida ID],0)))*24,"")</f>
        <v/>
      </c>
      <c r="L242" t="str">
        <f>IFERROR(INDEX(tblBatidas[Observação],MATCH("B"&amp;MID($A242,2,99),tblBatidas[Início vinculado],0)),"")</f>
        <v/>
      </c>
      <c r="M242" t="str">
        <f>IFERROR(INDEX(tblPessoas[Base],MATCH(E242,tblPessoas[ID],0)),"")</f>
        <v/>
      </c>
      <c r="N242" s="3">
        <f>IFERROR(IF(D242="DIA ÚTIL",INDEX(tblPessoas[R$/h útil],MATCH(E242,tblPessoas[ID],0)),INDEX(tblPessoas[R$/h FDS],MATCH(E242,tblPessoas[ID],0))),0)</f>
        <v>0</v>
      </c>
      <c r="O242" s="3">
        <f>IFERROR(INDEX(tblPessoas[R$/diária],MATCH(E242,tblPessoas[ID],0)),0)</f>
        <v>0</v>
      </c>
      <c r="P242" s="3" t="str">
        <f t="shared" si="14"/>
        <v/>
      </c>
      <c r="Q242" t="str">
        <f>IF(A242="","",IF(COUNTIF(tblBatidas[Início vinculado],"B"&amp;MID($A242,2,99))=0,"EM ABERTO",IF(OR(COUNTIF(tblBatidas[Início vinculado],"B"&amp;MID($A242,2,99))&gt;1,K242&lt;0,K242&gt;16,INT(INDEX(tblBatidas[Data e hora],MATCH("B"&amp;MID($A242,2,99),tblBatidas[Início vinculado],0)))&lt;&gt;B242,INDEX(tblBatidas[ID],MATCH("B"&amp;MID($A242,2,99),tblBatidas[Início vinculado],0))&lt;&gt;E242,INDEX(tblBatidas[Projeto],MATCH("B"&amp;MID($A242,2,99),tblBatidas[Início vinculado],0))&lt;&gt;G242,INDEX(tblBatidas[Atividade],MATCH("B"&amp;MID($A242,2,99),tblBatidas[Início vinculado],0))&lt;&gt;H242),"REVISAR","CONCLUÍDO")))</f>
        <v/>
      </c>
      <c r="R242">
        <f>IF(Q242&lt;&gt;"CONCLUÍDO",0,IF(COUNTIFS($E$5:E242,E242,$B$5:B242,B242,$Q$5:Q242,"CONCLUÍDO")=1,1,0))</f>
        <v>0</v>
      </c>
      <c r="S242" t="str">
        <f t="shared" si="15"/>
        <v/>
      </c>
      <c r="T242" t="str">
        <f>IF(E242="","",E242*100000+COUNTIFS(tblRegistros[ID],E242,tblRegistros[Data],"&lt;"&amp;B242)+COUNTIFS(tblRegistros[ID],E242,tblRegistros[Data],B242,tblRegistros[Início],"&lt;"&amp;I242)+COUNTIFS($E$5:E242,E242,$B$5:B242,B242,$I$5:I242,I242))</f>
        <v/>
      </c>
    </row>
    <row r="243" spans="2:20">
      <c r="B243" s="2" t="str">
        <f>IFERROR(INT(INDEX(tblBatidas[Data e hora],MATCH("B"&amp;MID($A243,2,99),tblBatidas[Batida ID],0))),"")</f>
        <v/>
      </c>
      <c r="C243" t="str">
        <f t="shared" si="12"/>
        <v/>
      </c>
      <c r="D243" t="str">
        <f t="shared" si="13"/>
        <v/>
      </c>
      <c r="E243" t="str">
        <f>IFERROR(INDEX(tblBatidas[ID],MATCH("B"&amp;MID($A243,2,99),tblBatidas[Batida ID],0)),"")</f>
        <v/>
      </c>
      <c r="F243" t="str">
        <f>IFERROR(INDEX(tblPessoas[Pessoa],MATCH(E243,tblPessoas[ID],0)),"")</f>
        <v/>
      </c>
      <c r="G243" t="str">
        <f>IFERROR(INDEX(tblBatidas[Projeto],MATCH("B"&amp;MID($A243,2,99),tblBatidas[Batida ID],0)),"")</f>
        <v/>
      </c>
      <c r="H243" t="str">
        <f>IFERROR(INDEX(tblBatidas[Atividade],MATCH("B"&amp;MID($A243,2,99),tblBatidas[Batida ID],0)),"")</f>
        <v/>
      </c>
      <c r="I243" s="4" t="str">
        <f>IFERROR(MOD(INDEX(tblBatidas[Data e hora],MATCH("B"&amp;MID($A243,2,99),tblBatidas[Batida ID],0)),1),"")</f>
        <v/>
      </c>
      <c r="J243" s="4" t="str">
        <f>IFERROR(MOD(INDEX(tblBatidas[Data e hora],MATCH("B"&amp;MID($A243,2,99),tblBatidas[Início vinculado],0)),1),"")</f>
        <v/>
      </c>
      <c r="K243" s="14" t="str">
        <f>IFERROR((INDEX(tblBatidas[Data e hora],MATCH("B"&amp;MID($A243,2,99),tblBatidas[Início vinculado],0))-INDEX(tblBatidas[Data e hora],MATCH("B"&amp;MID($A243,2,99),tblBatidas[Batida ID],0)))*24,"")</f>
        <v/>
      </c>
      <c r="L243" t="str">
        <f>IFERROR(INDEX(tblBatidas[Observação],MATCH("B"&amp;MID($A243,2,99),tblBatidas[Início vinculado],0)),"")</f>
        <v/>
      </c>
      <c r="M243" t="str">
        <f>IFERROR(INDEX(tblPessoas[Base],MATCH(E243,tblPessoas[ID],0)),"")</f>
        <v/>
      </c>
      <c r="N243" s="3">
        <f>IFERROR(IF(D243="DIA ÚTIL",INDEX(tblPessoas[R$/h útil],MATCH(E243,tblPessoas[ID],0)),INDEX(tblPessoas[R$/h FDS],MATCH(E243,tblPessoas[ID],0))),0)</f>
        <v>0</v>
      </c>
      <c r="O243" s="3">
        <f>IFERROR(INDEX(tblPessoas[R$/diária],MATCH(E243,tblPessoas[ID],0)),0)</f>
        <v>0</v>
      </c>
      <c r="P243" s="3" t="str">
        <f t="shared" si="14"/>
        <v/>
      </c>
      <c r="Q243" t="str">
        <f>IF(A243="","",IF(COUNTIF(tblBatidas[Início vinculado],"B"&amp;MID($A243,2,99))=0,"EM ABERTO",IF(OR(COUNTIF(tblBatidas[Início vinculado],"B"&amp;MID($A243,2,99))&gt;1,K243&lt;0,K243&gt;16,INT(INDEX(tblBatidas[Data e hora],MATCH("B"&amp;MID($A243,2,99),tblBatidas[Início vinculado],0)))&lt;&gt;B243,INDEX(tblBatidas[ID],MATCH("B"&amp;MID($A243,2,99),tblBatidas[Início vinculado],0))&lt;&gt;E243,INDEX(tblBatidas[Projeto],MATCH("B"&amp;MID($A243,2,99),tblBatidas[Início vinculado],0))&lt;&gt;G243,INDEX(tblBatidas[Atividade],MATCH("B"&amp;MID($A243,2,99),tblBatidas[Início vinculado],0))&lt;&gt;H243),"REVISAR","CONCLUÍDO")))</f>
        <v/>
      </c>
      <c r="R243">
        <f>IF(Q243&lt;&gt;"CONCLUÍDO",0,IF(COUNTIFS($E$5:E243,E243,$B$5:B243,B243,$Q$5:Q243,"CONCLUÍDO")=1,1,0))</f>
        <v>0</v>
      </c>
      <c r="S243" t="str">
        <f t="shared" si="15"/>
        <v/>
      </c>
      <c r="T243" t="str">
        <f>IF(E243="","",E243*100000+COUNTIFS(tblRegistros[ID],E243,tblRegistros[Data],"&lt;"&amp;B243)+COUNTIFS(tblRegistros[ID],E243,tblRegistros[Data],B243,tblRegistros[Início],"&lt;"&amp;I243)+COUNTIFS($E$5:E243,E243,$B$5:B243,B243,$I$5:I243,I243))</f>
        <v/>
      </c>
    </row>
    <row r="244" spans="2:20">
      <c r="B244" s="2" t="str">
        <f>IFERROR(INT(INDEX(tblBatidas[Data e hora],MATCH("B"&amp;MID($A244,2,99),tblBatidas[Batida ID],0))),"")</f>
        <v/>
      </c>
      <c r="C244" t="str">
        <f t="shared" si="12"/>
        <v/>
      </c>
      <c r="D244" t="str">
        <f t="shared" si="13"/>
        <v/>
      </c>
      <c r="E244" t="str">
        <f>IFERROR(INDEX(tblBatidas[ID],MATCH("B"&amp;MID($A244,2,99),tblBatidas[Batida ID],0)),"")</f>
        <v/>
      </c>
      <c r="F244" t="str">
        <f>IFERROR(INDEX(tblPessoas[Pessoa],MATCH(E244,tblPessoas[ID],0)),"")</f>
        <v/>
      </c>
      <c r="G244" t="str">
        <f>IFERROR(INDEX(tblBatidas[Projeto],MATCH("B"&amp;MID($A244,2,99),tblBatidas[Batida ID],0)),"")</f>
        <v/>
      </c>
      <c r="H244" t="str">
        <f>IFERROR(INDEX(tblBatidas[Atividade],MATCH("B"&amp;MID($A244,2,99),tblBatidas[Batida ID],0)),"")</f>
        <v/>
      </c>
      <c r="I244" s="4" t="str">
        <f>IFERROR(MOD(INDEX(tblBatidas[Data e hora],MATCH("B"&amp;MID($A244,2,99),tblBatidas[Batida ID],0)),1),"")</f>
        <v/>
      </c>
      <c r="J244" s="4" t="str">
        <f>IFERROR(MOD(INDEX(tblBatidas[Data e hora],MATCH("B"&amp;MID($A244,2,99),tblBatidas[Início vinculado],0)),1),"")</f>
        <v/>
      </c>
      <c r="K244" s="14" t="str">
        <f>IFERROR((INDEX(tblBatidas[Data e hora],MATCH("B"&amp;MID($A244,2,99),tblBatidas[Início vinculado],0))-INDEX(tblBatidas[Data e hora],MATCH("B"&amp;MID($A244,2,99),tblBatidas[Batida ID],0)))*24,"")</f>
        <v/>
      </c>
      <c r="L244" t="str">
        <f>IFERROR(INDEX(tblBatidas[Observação],MATCH("B"&amp;MID($A244,2,99),tblBatidas[Início vinculado],0)),"")</f>
        <v/>
      </c>
      <c r="M244" t="str">
        <f>IFERROR(INDEX(tblPessoas[Base],MATCH(E244,tblPessoas[ID],0)),"")</f>
        <v/>
      </c>
      <c r="N244" s="3">
        <f>IFERROR(IF(D244="DIA ÚTIL",INDEX(tblPessoas[R$/h útil],MATCH(E244,tblPessoas[ID],0)),INDEX(tblPessoas[R$/h FDS],MATCH(E244,tblPessoas[ID],0))),0)</f>
        <v>0</v>
      </c>
      <c r="O244" s="3">
        <f>IFERROR(INDEX(tblPessoas[R$/diária],MATCH(E244,tblPessoas[ID],0)),0)</f>
        <v>0</v>
      </c>
      <c r="P244" s="3" t="str">
        <f t="shared" si="14"/>
        <v/>
      </c>
      <c r="Q244" t="str">
        <f>IF(A244="","",IF(COUNTIF(tblBatidas[Início vinculado],"B"&amp;MID($A244,2,99))=0,"EM ABERTO",IF(OR(COUNTIF(tblBatidas[Início vinculado],"B"&amp;MID($A244,2,99))&gt;1,K244&lt;0,K244&gt;16,INT(INDEX(tblBatidas[Data e hora],MATCH("B"&amp;MID($A244,2,99),tblBatidas[Início vinculado],0)))&lt;&gt;B244,INDEX(tblBatidas[ID],MATCH("B"&amp;MID($A244,2,99),tblBatidas[Início vinculado],0))&lt;&gt;E244,INDEX(tblBatidas[Projeto],MATCH("B"&amp;MID($A244,2,99),tblBatidas[Início vinculado],0))&lt;&gt;G244,INDEX(tblBatidas[Atividade],MATCH("B"&amp;MID($A244,2,99),tblBatidas[Início vinculado],0))&lt;&gt;H244),"REVISAR","CONCLUÍDO")))</f>
        <v/>
      </c>
      <c r="R244">
        <f>IF(Q244&lt;&gt;"CONCLUÍDO",0,IF(COUNTIFS($E$5:E244,E244,$B$5:B244,B244,$Q$5:Q244,"CONCLUÍDO")=1,1,0))</f>
        <v>0</v>
      </c>
      <c r="S244" t="str">
        <f t="shared" si="15"/>
        <v/>
      </c>
      <c r="T244" t="str">
        <f>IF(E244="","",E244*100000+COUNTIFS(tblRegistros[ID],E244,tblRegistros[Data],"&lt;"&amp;B244)+COUNTIFS(tblRegistros[ID],E244,tblRegistros[Data],B244,tblRegistros[Início],"&lt;"&amp;I244)+COUNTIFS($E$5:E244,E244,$B$5:B244,B244,$I$5:I244,I244))</f>
        <v/>
      </c>
    </row>
    <row r="245" spans="2:20">
      <c r="B245" s="2" t="str">
        <f>IFERROR(INT(INDEX(tblBatidas[Data e hora],MATCH("B"&amp;MID($A245,2,99),tblBatidas[Batida ID],0))),"")</f>
        <v/>
      </c>
      <c r="C245" t="str">
        <f t="shared" si="12"/>
        <v/>
      </c>
      <c r="D245" t="str">
        <f t="shared" si="13"/>
        <v/>
      </c>
      <c r="E245" t="str">
        <f>IFERROR(INDEX(tblBatidas[ID],MATCH("B"&amp;MID($A245,2,99),tblBatidas[Batida ID],0)),"")</f>
        <v/>
      </c>
      <c r="F245" t="str">
        <f>IFERROR(INDEX(tblPessoas[Pessoa],MATCH(E245,tblPessoas[ID],0)),"")</f>
        <v/>
      </c>
      <c r="G245" t="str">
        <f>IFERROR(INDEX(tblBatidas[Projeto],MATCH("B"&amp;MID($A245,2,99),tblBatidas[Batida ID],0)),"")</f>
        <v/>
      </c>
      <c r="H245" t="str">
        <f>IFERROR(INDEX(tblBatidas[Atividade],MATCH("B"&amp;MID($A245,2,99),tblBatidas[Batida ID],0)),"")</f>
        <v/>
      </c>
      <c r="I245" s="4" t="str">
        <f>IFERROR(MOD(INDEX(tblBatidas[Data e hora],MATCH("B"&amp;MID($A245,2,99),tblBatidas[Batida ID],0)),1),"")</f>
        <v/>
      </c>
      <c r="J245" s="4" t="str">
        <f>IFERROR(MOD(INDEX(tblBatidas[Data e hora],MATCH("B"&amp;MID($A245,2,99),tblBatidas[Início vinculado],0)),1),"")</f>
        <v/>
      </c>
      <c r="K245" s="14" t="str">
        <f>IFERROR((INDEX(tblBatidas[Data e hora],MATCH("B"&amp;MID($A245,2,99),tblBatidas[Início vinculado],0))-INDEX(tblBatidas[Data e hora],MATCH("B"&amp;MID($A245,2,99),tblBatidas[Batida ID],0)))*24,"")</f>
        <v/>
      </c>
      <c r="L245" t="str">
        <f>IFERROR(INDEX(tblBatidas[Observação],MATCH("B"&amp;MID($A245,2,99),tblBatidas[Início vinculado],0)),"")</f>
        <v/>
      </c>
      <c r="M245" t="str">
        <f>IFERROR(INDEX(tblPessoas[Base],MATCH(E245,tblPessoas[ID],0)),"")</f>
        <v/>
      </c>
      <c r="N245" s="3">
        <f>IFERROR(IF(D245="DIA ÚTIL",INDEX(tblPessoas[R$/h útil],MATCH(E245,tblPessoas[ID],0)),INDEX(tblPessoas[R$/h FDS],MATCH(E245,tblPessoas[ID],0))),0)</f>
        <v>0</v>
      </c>
      <c r="O245" s="3">
        <f>IFERROR(INDEX(tblPessoas[R$/diária],MATCH(E245,tblPessoas[ID],0)),0)</f>
        <v>0</v>
      </c>
      <c r="P245" s="3" t="str">
        <f t="shared" si="14"/>
        <v/>
      </c>
      <c r="Q245" t="str">
        <f>IF(A245="","",IF(COUNTIF(tblBatidas[Início vinculado],"B"&amp;MID($A245,2,99))=0,"EM ABERTO",IF(OR(COUNTIF(tblBatidas[Início vinculado],"B"&amp;MID($A245,2,99))&gt;1,K245&lt;0,K245&gt;16,INT(INDEX(tblBatidas[Data e hora],MATCH("B"&amp;MID($A245,2,99),tblBatidas[Início vinculado],0)))&lt;&gt;B245,INDEX(tblBatidas[ID],MATCH("B"&amp;MID($A245,2,99),tblBatidas[Início vinculado],0))&lt;&gt;E245,INDEX(tblBatidas[Projeto],MATCH("B"&amp;MID($A245,2,99),tblBatidas[Início vinculado],0))&lt;&gt;G245,INDEX(tblBatidas[Atividade],MATCH("B"&amp;MID($A245,2,99),tblBatidas[Início vinculado],0))&lt;&gt;H245),"REVISAR","CONCLUÍDO")))</f>
        <v/>
      </c>
      <c r="R245">
        <f>IF(Q245&lt;&gt;"CONCLUÍDO",0,IF(COUNTIFS($E$5:E245,E245,$B$5:B245,B245,$Q$5:Q245,"CONCLUÍDO")=1,1,0))</f>
        <v>0</v>
      </c>
      <c r="S245" t="str">
        <f t="shared" si="15"/>
        <v/>
      </c>
      <c r="T245" t="str">
        <f>IF(E245="","",E245*100000+COUNTIFS(tblRegistros[ID],E245,tblRegistros[Data],"&lt;"&amp;B245)+COUNTIFS(tblRegistros[ID],E245,tblRegistros[Data],B245,tblRegistros[Início],"&lt;"&amp;I245)+COUNTIFS($E$5:E245,E245,$B$5:B245,B245,$I$5:I245,I245))</f>
        <v/>
      </c>
    </row>
    <row r="246" spans="2:20">
      <c r="B246" s="2" t="str">
        <f>IFERROR(INT(INDEX(tblBatidas[Data e hora],MATCH("B"&amp;MID($A246,2,99),tblBatidas[Batida ID],0))),"")</f>
        <v/>
      </c>
      <c r="C246" t="str">
        <f t="shared" si="12"/>
        <v/>
      </c>
      <c r="D246" t="str">
        <f t="shared" si="13"/>
        <v/>
      </c>
      <c r="E246" t="str">
        <f>IFERROR(INDEX(tblBatidas[ID],MATCH("B"&amp;MID($A246,2,99),tblBatidas[Batida ID],0)),"")</f>
        <v/>
      </c>
      <c r="F246" t="str">
        <f>IFERROR(INDEX(tblPessoas[Pessoa],MATCH(E246,tblPessoas[ID],0)),"")</f>
        <v/>
      </c>
      <c r="G246" t="str">
        <f>IFERROR(INDEX(tblBatidas[Projeto],MATCH("B"&amp;MID($A246,2,99),tblBatidas[Batida ID],0)),"")</f>
        <v/>
      </c>
      <c r="H246" t="str">
        <f>IFERROR(INDEX(tblBatidas[Atividade],MATCH("B"&amp;MID($A246,2,99),tblBatidas[Batida ID],0)),"")</f>
        <v/>
      </c>
      <c r="I246" s="4" t="str">
        <f>IFERROR(MOD(INDEX(tblBatidas[Data e hora],MATCH("B"&amp;MID($A246,2,99),tblBatidas[Batida ID],0)),1),"")</f>
        <v/>
      </c>
      <c r="J246" s="4" t="str">
        <f>IFERROR(MOD(INDEX(tblBatidas[Data e hora],MATCH("B"&amp;MID($A246,2,99),tblBatidas[Início vinculado],0)),1),"")</f>
        <v/>
      </c>
      <c r="K246" s="14" t="str">
        <f>IFERROR((INDEX(tblBatidas[Data e hora],MATCH("B"&amp;MID($A246,2,99),tblBatidas[Início vinculado],0))-INDEX(tblBatidas[Data e hora],MATCH("B"&amp;MID($A246,2,99),tblBatidas[Batida ID],0)))*24,"")</f>
        <v/>
      </c>
      <c r="L246" t="str">
        <f>IFERROR(INDEX(tblBatidas[Observação],MATCH("B"&amp;MID($A246,2,99),tblBatidas[Início vinculado],0)),"")</f>
        <v/>
      </c>
      <c r="M246" t="str">
        <f>IFERROR(INDEX(tblPessoas[Base],MATCH(E246,tblPessoas[ID],0)),"")</f>
        <v/>
      </c>
      <c r="N246" s="3">
        <f>IFERROR(IF(D246="DIA ÚTIL",INDEX(tblPessoas[R$/h útil],MATCH(E246,tblPessoas[ID],0)),INDEX(tblPessoas[R$/h FDS],MATCH(E246,tblPessoas[ID],0))),0)</f>
        <v>0</v>
      </c>
      <c r="O246" s="3">
        <f>IFERROR(INDEX(tblPessoas[R$/diária],MATCH(E246,tblPessoas[ID],0)),0)</f>
        <v>0</v>
      </c>
      <c r="P246" s="3" t="str">
        <f t="shared" si="14"/>
        <v/>
      </c>
      <c r="Q246" t="str">
        <f>IF(A246="","",IF(COUNTIF(tblBatidas[Início vinculado],"B"&amp;MID($A246,2,99))=0,"EM ABERTO",IF(OR(COUNTIF(tblBatidas[Início vinculado],"B"&amp;MID($A246,2,99))&gt;1,K246&lt;0,K246&gt;16,INT(INDEX(tblBatidas[Data e hora],MATCH("B"&amp;MID($A246,2,99),tblBatidas[Início vinculado],0)))&lt;&gt;B246,INDEX(tblBatidas[ID],MATCH("B"&amp;MID($A246,2,99),tblBatidas[Início vinculado],0))&lt;&gt;E246,INDEX(tblBatidas[Projeto],MATCH("B"&amp;MID($A246,2,99),tblBatidas[Início vinculado],0))&lt;&gt;G246,INDEX(tblBatidas[Atividade],MATCH("B"&amp;MID($A246,2,99),tblBatidas[Início vinculado],0))&lt;&gt;H246),"REVISAR","CONCLUÍDO")))</f>
        <v/>
      </c>
      <c r="R246">
        <f>IF(Q246&lt;&gt;"CONCLUÍDO",0,IF(COUNTIFS($E$5:E246,E246,$B$5:B246,B246,$Q$5:Q246,"CONCLUÍDO")=1,1,0))</f>
        <v>0</v>
      </c>
      <c r="S246" t="str">
        <f t="shared" si="15"/>
        <v/>
      </c>
      <c r="T246" t="str">
        <f>IF(E246="","",E246*100000+COUNTIFS(tblRegistros[ID],E246,tblRegistros[Data],"&lt;"&amp;B246)+COUNTIFS(tblRegistros[ID],E246,tblRegistros[Data],B246,tblRegistros[Início],"&lt;"&amp;I246)+COUNTIFS($E$5:E246,E246,$B$5:B246,B246,$I$5:I246,I246))</f>
        <v/>
      </c>
    </row>
    <row r="247" spans="2:20">
      <c r="B247" s="2" t="str">
        <f>IFERROR(INT(INDEX(tblBatidas[Data e hora],MATCH("B"&amp;MID($A247,2,99),tblBatidas[Batida ID],0))),"")</f>
        <v/>
      </c>
      <c r="C247" t="str">
        <f t="shared" si="12"/>
        <v/>
      </c>
      <c r="D247" t="str">
        <f t="shared" si="13"/>
        <v/>
      </c>
      <c r="E247" t="str">
        <f>IFERROR(INDEX(tblBatidas[ID],MATCH("B"&amp;MID($A247,2,99),tblBatidas[Batida ID],0)),"")</f>
        <v/>
      </c>
      <c r="F247" t="str">
        <f>IFERROR(INDEX(tblPessoas[Pessoa],MATCH(E247,tblPessoas[ID],0)),"")</f>
        <v/>
      </c>
      <c r="G247" t="str">
        <f>IFERROR(INDEX(tblBatidas[Projeto],MATCH("B"&amp;MID($A247,2,99),tblBatidas[Batida ID],0)),"")</f>
        <v/>
      </c>
      <c r="H247" t="str">
        <f>IFERROR(INDEX(tblBatidas[Atividade],MATCH("B"&amp;MID($A247,2,99),tblBatidas[Batida ID],0)),"")</f>
        <v/>
      </c>
      <c r="I247" s="4" t="str">
        <f>IFERROR(MOD(INDEX(tblBatidas[Data e hora],MATCH("B"&amp;MID($A247,2,99),tblBatidas[Batida ID],0)),1),"")</f>
        <v/>
      </c>
      <c r="J247" s="4" t="str">
        <f>IFERROR(MOD(INDEX(tblBatidas[Data e hora],MATCH("B"&amp;MID($A247,2,99),tblBatidas[Início vinculado],0)),1),"")</f>
        <v/>
      </c>
      <c r="K247" s="14" t="str">
        <f>IFERROR((INDEX(tblBatidas[Data e hora],MATCH("B"&amp;MID($A247,2,99),tblBatidas[Início vinculado],0))-INDEX(tblBatidas[Data e hora],MATCH("B"&amp;MID($A247,2,99),tblBatidas[Batida ID],0)))*24,"")</f>
        <v/>
      </c>
      <c r="L247" t="str">
        <f>IFERROR(INDEX(tblBatidas[Observação],MATCH("B"&amp;MID($A247,2,99),tblBatidas[Início vinculado],0)),"")</f>
        <v/>
      </c>
      <c r="M247" t="str">
        <f>IFERROR(INDEX(tblPessoas[Base],MATCH(E247,tblPessoas[ID],0)),"")</f>
        <v/>
      </c>
      <c r="N247" s="3">
        <f>IFERROR(IF(D247="DIA ÚTIL",INDEX(tblPessoas[R$/h útil],MATCH(E247,tblPessoas[ID],0)),INDEX(tblPessoas[R$/h FDS],MATCH(E247,tblPessoas[ID],0))),0)</f>
        <v>0</v>
      </c>
      <c r="O247" s="3">
        <f>IFERROR(INDEX(tblPessoas[R$/diária],MATCH(E247,tblPessoas[ID],0)),0)</f>
        <v>0</v>
      </c>
      <c r="P247" s="3" t="str">
        <f t="shared" si="14"/>
        <v/>
      </c>
      <c r="Q247" t="str">
        <f>IF(A247="","",IF(COUNTIF(tblBatidas[Início vinculado],"B"&amp;MID($A247,2,99))=0,"EM ABERTO",IF(OR(COUNTIF(tblBatidas[Início vinculado],"B"&amp;MID($A247,2,99))&gt;1,K247&lt;0,K247&gt;16,INT(INDEX(tblBatidas[Data e hora],MATCH("B"&amp;MID($A247,2,99),tblBatidas[Início vinculado],0)))&lt;&gt;B247,INDEX(tblBatidas[ID],MATCH("B"&amp;MID($A247,2,99),tblBatidas[Início vinculado],0))&lt;&gt;E247,INDEX(tblBatidas[Projeto],MATCH("B"&amp;MID($A247,2,99),tblBatidas[Início vinculado],0))&lt;&gt;G247,INDEX(tblBatidas[Atividade],MATCH("B"&amp;MID($A247,2,99),tblBatidas[Início vinculado],0))&lt;&gt;H247),"REVISAR","CONCLUÍDO")))</f>
        <v/>
      </c>
      <c r="R247">
        <f>IF(Q247&lt;&gt;"CONCLUÍDO",0,IF(COUNTIFS($E$5:E247,E247,$B$5:B247,B247,$Q$5:Q247,"CONCLUÍDO")=1,1,0))</f>
        <v>0</v>
      </c>
      <c r="S247" t="str">
        <f t="shared" si="15"/>
        <v/>
      </c>
      <c r="T247" t="str">
        <f>IF(E247="","",E247*100000+COUNTIFS(tblRegistros[ID],E247,tblRegistros[Data],"&lt;"&amp;B247)+COUNTIFS(tblRegistros[ID],E247,tblRegistros[Data],B247,tblRegistros[Início],"&lt;"&amp;I247)+COUNTIFS($E$5:E247,E247,$B$5:B247,B247,$I$5:I247,I247))</f>
        <v/>
      </c>
    </row>
    <row r="248" spans="2:20">
      <c r="B248" s="2" t="str">
        <f>IFERROR(INT(INDEX(tblBatidas[Data e hora],MATCH("B"&amp;MID($A248,2,99),tblBatidas[Batida ID],0))),"")</f>
        <v/>
      </c>
      <c r="C248" t="str">
        <f t="shared" si="12"/>
        <v/>
      </c>
      <c r="D248" t="str">
        <f t="shared" si="13"/>
        <v/>
      </c>
      <c r="E248" t="str">
        <f>IFERROR(INDEX(tblBatidas[ID],MATCH("B"&amp;MID($A248,2,99),tblBatidas[Batida ID],0)),"")</f>
        <v/>
      </c>
      <c r="F248" t="str">
        <f>IFERROR(INDEX(tblPessoas[Pessoa],MATCH(E248,tblPessoas[ID],0)),"")</f>
        <v/>
      </c>
      <c r="G248" t="str">
        <f>IFERROR(INDEX(tblBatidas[Projeto],MATCH("B"&amp;MID($A248,2,99),tblBatidas[Batida ID],0)),"")</f>
        <v/>
      </c>
      <c r="H248" t="str">
        <f>IFERROR(INDEX(tblBatidas[Atividade],MATCH("B"&amp;MID($A248,2,99),tblBatidas[Batida ID],0)),"")</f>
        <v/>
      </c>
      <c r="I248" s="4" t="str">
        <f>IFERROR(MOD(INDEX(tblBatidas[Data e hora],MATCH("B"&amp;MID($A248,2,99),tblBatidas[Batida ID],0)),1),"")</f>
        <v/>
      </c>
      <c r="J248" s="4" t="str">
        <f>IFERROR(MOD(INDEX(tblBatidas[Data e hora],MATCH("B"&amp;MID($A248,2,99),tblBatidas[Início vinculado],0)),1),"")</f>
        <v/>
      </c>
      <c r="K248" s="14" t="str">
        <f>IFERROR((INDEX(tblBatidas[Data e hora],MATCH("B"&amp;MID($A248,2,99),tblBatidas[Início vinculado],0))-INDEX(tblBatidas[Data e hora],MATCH("B"&amp;MID($A248,2,99),tblBatidas[Batida ID],0)))*24,"")</f>
        <v/>
      </c>
      <c r="L248" t="str">
        <f>IFERROR(INDEX(tblBatidas[Observação],MATCH("B"&amp;MID($A248,2,99),tblBatidas[Início vinculado],0)),"")</f>
        <v/>
      </c>
      <c r="M248" t="str">
        <f>IFERROR(INDEX(tblPessoas[Base],MATCH(E248,tblPessoas[ID],0)),"")</f>
        <v/>
      </c>
      <c r="N248" s="3">
        <f>IFERROR(IF(D248="DIA ÚTIL",INDEX(tblPessoas[R$/h útil],MATCH(E248,tblPessoas[ID],0)),INDEX(tblPessoas[R$/h FDS],MATCH(E248,tblPessoas[ID],0))),0)</f>
        <v>0</v>
      </c>
      <c r="O248" s="3">
        <f>IFERROR(INDEX(tblPessoas[R$/diária],MATCH(E248,tblPessoas[ID],0)),0)</f>
        <v>0</v>
      </c>
      <c r="P248" s="3" t="str">
        <f t="shared" si="14"/>
        <v/>
      </c>
      <c r="Q248" t="str">
        <f>IF(A248="","",IF(COUNTIF(tblBatidas[Início vinculado],"B"&amp;MID($A248,2,99))=0,"EM ABERTO",IF(OR(COUNTIF(tblBatidas[Início vinculado],"B"&amp;MID($A248,2,99))&gt;1,K248&lt;0,K248&gt;16,INT(INDEX(tblBatidas[Data e hora],MATCH("B"&amp;MID($A248,2,99),tblBatidas[Início vinculado],0)))&lt;&gt;B248,INDEX(tblBatidas[ID],MATCH("B"&amp;MID($A248,2,99),tblBatidas[Início vinculado],0))&lt;&gt;E248,INDEX(tblBatidas[Projeto],MATCH("B"&amp;MID($A248,2,99),tblBatidas[Início vinculado],0))&lt;&gt;G248,INDEX(tblBatidas[Atividade],MATCH("B"&amp;MID($A248,2,99),tblBatidas[Início vinculado],0))&lt;&gt;H248),"REVISAR","CONCLUÍDO")))</f>
        <v/>
      </c>
      <c r="R248">
        <f>IF(Q248&lt;&gt;"CONCLUÍDO",0,IF(COUNTIFS($E$5:E248,E248,$B$5:B248,B248,$Q$5:Q248,"CONCLUÍDO")=1,1,0))</f>
        <v>0</v>
      </c>
      <c r="S248" t="str">
        <f t="shared" si="15"/>
        <v/>
      </c>
      <c r="T248" t="str">
        <f>IF(E248="","",E248*100000+COUNTIFS(tblRegistros[ID],E248,tblRegistros[Data],"&lt;"&amp;B248)+COUNTIFS(tblRegistros[ID],E248,tblRegistros[Data],B248,tblRegistros[Início],"&lt;"&amp;I248)+COUNTIFS($E$5:E248,E248,$B$5:B248,B248,$I$5:I248,I248))</f>
        <v/>
      </c>
    </row>
    <row r="249" spans="2:20">
      <c r="B249" s="2" t="str">
        <f>IFERROR(INT(INDEX(tblBatidas[Data e hora],MATCH("B"&amp;MID($A249,2,99),tblBatidas[Batida ID],0))),"")</f>
        <v/>
      </c>
      <c r="C249" t="str">
        <f t="shared" si="12"/>
        <v/>
      </c>
      <c r="D249" t="str">
        <f t="shared" si="13"/>
        <v/>
      </c>
      <c r="E249" t="str">
        <f>IFERROR(INDEX(tblBatidas[ID],MATCH("B"&amp;MID($A249,2,99),tblBatidas[Batida ID],0)),"")</f>
        <v/>
      </c>
      <c r="F249" t="str">
        <f>IFERROR(INDEX(tblPessoas[Pessoa],MATCH(E249,tblPessoas[ID],0)),"")</f>
        <v/>
      </c>
      <c r="G249" t="str">
        <f>IFERROR(INDEX(tblBatidas[Projeto],MATCH("B"&amp;MID($A249,2,99),tblBatidas[Batida ID],0)),"")</f>
        <v/>
      </c>
      <c r="H249" t="str">
        <f>IFERROR(INDEX(tblBatidas[Atividade],MATCH("B"&amp;MID($A249,2,99),tblBatidas[Batida ID],0)),"")</f>
        <v/>
      </c>
      <c r="I249" s="4" t="str">
        <f>IFERROR(MOD(INDEX(tblBatidas[Data e hora],MATCH("B"&amp;MID($A249,2,99),tblBatidas[Batida ID],0)),1),"")</f>
        <v/>
      </c>
      <c r="J249" s="4" t="str">
        <f>IFERROR(MOD(INDEX(tblBatidas[Data e hora],MATCH("B"&amp;MID($A249,2,99),tblBatidas[Início vinculado],0)),1),"")</f>
        <v/>
      </c>
      <c r="K249" s="14" t="str">
        <f>IFERROR((INDEX(tblBatidas[Data e hora],MATCH("B"&amp;MID($A249,2,99),tblBatidas[Início vinculado],0))-INDEX(tblBatidas[Data e hora],MATCH("B"&amp;MID($A249,2,99),tblBatidas[Batida ID],0)))*24,"")</f>
        <v/>
      </c>
      <c r="L249" t="str">
        <f>IFERROR(INDEX(tblBatidas[Observação],MATCH("B"&amp;MID($A249,2,99),tblBatidas[Início vinculado],0)),"")</f>
        <v/>
      </c>
      <c r="M249" t="str">
        <f>IFERROR(INDEX(tblPessoas[Base],MATCH(E249,tblPessoas[ID],0)),"")</f>
        <v/>
      </c>
      <c r="N249" s="3">
        <f>IFERROR(IF(D249="DIA ÚTIL",INDEX(tblPessoas[R$/h útil],MATCH(E249,tblPessoas[ID],0)),INDEX(tblPessoas[R$/h FDS],MATCH(E249,tblPessoas[ID],0))),0)</f>
        <v>0</v>
      </c>
      <c r="O249" s="3">
        <f>IFERROR(INDEX(tblPessoas[R$/diária],MATCH(E249,tblPessoas[ID],0)),0)</f>
        <v>0</v>
      </c>
      <c r="P249" s="3" t="str">
        <f t="shared" si="14"/>
        <v/>
      </c>
      <c r="Q249" t="str">
        <f>IF(A249="","",IF(COUNTIF(tblBatidas[Início vinculado],"B"&amp;MID($A249,2,99))=0,"EM ABERTO",IF(OR(COUNTIF(tblBatidas[Início vinculado],"B"&amp;MID($A249,2,99))&gt;1,K249&lt;0,K249&gt;16,INT(INDEX(tblBatidas[Data e hora],MATCH("B"&amp;MID($A249,2,99),tblBatidas[Início vinculado],0)))&lt;&gt;B249,INDEX(tblBatidas[ID],MATCH("B"&amp;MID($A249,2,99),tblBatidas[Início vinculado],0))&lt;&gt;E249,INDEX(tblBatidas[Projeto],MATCH("B"&amp;MID($A249,2,99),tblBatidas[Início vinculado],0))&lt;&gt;G249,INDEX(tblBatidas[Atividade],MATCH("B"&amp;MID($A249,2,99),tblBatidas[Início vinculado],0))&lt;&gt;H249),"REVISAR","CONCLUÍDO")))</f>
        <v/>
      </c>
      <c r="R249">
        <f>IF(Q249&lt;&gt;"CONCLUÍDO",0,IF(COUNTIFS($E$5:E249,E249,$B$5:B249,B249,$Q$5:Q249,"CONCLUÍDO")=1,1,0))</f>
        <v>0</v>
      </c>
      <c r="S249" t="str">
        <f t="shared" si="15"/>
        <v/>
      </c>
      <c r="T249" t="str">
        <f>IF(E249="","",E249*100000+COUNTIFS(tblRegistros[ID],E249,tblRegistros[Data],"&lt;"&amp;B249)+COUNTIFS(tblRegistros[ID],E249,tblRegistros[Data],B249,tblRegistros[Início],"&lt;"&amp;I249)+COUNTIFS($E$5:E249,E249,$B$5:B249,B249,$I$5:I249,I249))</f>
        <v/>
      </c>
    </row>
    <row r="250" spans="2:20">
      <c r="B250" s="2" t="str">
        <f>IFERROR(INT(INDEX(tblBatidas[Data e hora],MATCH("B"&amp;MID($A250,2,99),tblBatidas[Batida ID],0))),"")</f>
        <v/>
      </c>
      <c r="C250" t="str">
        <f t="shared" si="12"/>
        <v/>
      </c>
      <c r="D250" t="str">
        <f t="shared" si="13"/>
        <v/>
      </c>
      <c r="E250" t="str">
        <f>IFERROR(INDEX(tblBatidas[ID],MATCH("B"&amp;MID($A250,2,99),tblBatidas[Batida ID],0)),"")</f>
        <v/>
      </c>
      <c r="F250" t="str">
        <f>IFERROR(INDEX(tblPessoas[Pessoa],MATCH(E250,tblPessoas[ID],0)),"")</f>
        <v/>
      </c>
      <c r="G250" t="str">
        <f>IFERROR(INDEX(tblBatidas[Projeto],MATCH("B"&amp;MID($A250,2,99),tblBatidas[Batida ID],0)),"")</f>
        <v/>
      </c>
      <c r="H250" t="str">
        <f>IFERROR(INDEX(tblBatidas[Atividade],MATCH("B"&amp;MID($A250,2,99),tblBatidas[Batida ID],0)),"")</f>
        <v/>
      </c>
      <c r="I250" s="4" t="str">
        <f>IFERROR(MOD(INDEX(tblBatidas[Data e hora],MATCH("B"&amp;MID($A250,2,99),tblBatidas[Batida ID],0)),1),"")</f>
        <v/>
      </c>
      <c r="J250" s="4" t="str">
        <f>IFERROR(MOD(INDEX(tblBatidas[Data e hora],MATCH("B"&amp;MID($A250,2,99),tblBatidas[Início vinculado],0)),1),"")</f>
        <v/>
      </c>
      <c r="K250" s="14" t="str">
        <f>IFERROR((INDEX(tblBatidas[Data e hora],MATCH("B"&amp;MID($A250,2,99),tblBatidas[Início vinculado],0))-INDEX(tblBatidas[Data e hora],MATCH("B"&amp;MID($A250,2,99),tblBatidas[Batida ID],0)))*24,"")</f>
        <v/>
      </c>
      <c r="L250" t="str">
        <f>IFERROR(INDEX(tblBatidas[Observação],MATCH("B"&amp;MID($A250,2,99),tblBatidas[Início vinculado],0)),"")</f>
        <v/>
      </c>
      <c r="M250" t="str">
        <f>IFERROR(INDEX(tblPessoas[Base],MATCH(E250,tblPessoas[ID],0)),"")</f>
        <v/>
      </c>
      <c r="N250" s="3">
        <f>IFERROR(IF(D250="DIA ÚTIL",INDEX(tblPessoas[R$/h útil],MATCH(E250,tblPessoas[ID],0)),INDEX(tblPessoas[R$/h FDS],MATCH(E250,tblPessoas[ID],0))),0)</f>
        <v>0</v>
      </c>
      <c r="O250" s="3">
        <f>IFERROR(INDEX(tblPessoas[R$/diária],MATCH(E250,tblPessoas[ID],0)),0)</f>
        <v>0</v>
      </c>
      <c r="P250" s="3" t="str">
        <f t="shared" si="14"/>
        <v/>
      </c>
      <c r="Q250" t="str">
        <f>IF(A250="","",IF(COUNTIF(tblBatidas[Início vinculado],"B"&amp;MID($A250,2,99))=0,"EM ABERTO",IF(OR(COUNTIF(tblBatidas[Início vinculado],"B"&amp;MID($A250,2,99))&gt;1,K250&lt;0,K250&gt;16,INT(INDEX(tblBatidas[Data e hora],MATCH("B"&amp;MID($A250,2,99),tblBatidas[Início vinculado],0)))&lt;&gt;B250,INDEX(tblBatidas[ID],MATCH("B"&amp;MID($A250,2,99),tblBatidas[Início vinculado],0))&lt;&gt;E250,INDEX(tblBatidas[Projeto],MATCH("B"&amp;MID($A250,2,99),tblBatidas[Início vinculado],0))&lt;&gt;G250,INDEX(tblBatidas[Atividade],MATCH("B"&amp;MID($A250,2,99),tblBatidas[Início vinculado],0))&lt;&gt;H250),"REVISAR","CONCLUÍDO")))</f>
        <v/>
      </c>
      <c r="R250">
        <f>IF(Q250&lt;&gt;"CONCLUÍDO",0,IF(COUNTIFS($E$5:E250,E250,$B$5:B250,B250,$Q$5:Q250,"CONCLUÍDO")=1,1,0))</f>
        <v>0</v>
      </c>
      <c r="S250" t="str">
        <f t="shared" si="15"/>
        <v/>
      </c>
      <c r="T250" t="str">
        <f>IF(E250="","",E250*100000+COUNTIFS(tblRegistros[ID],E250,tblRegistros[Data],"&lt;"&amp;B250)+COUNTIFS(tblRegistros[ID],E250,tblRegistros[Data],B250,tblRegistros[Início],"&lt;"&amp;I250)+COUNTIFS($E$5:E250,E250,$B$5:B250,B250,$I$5:I250,I250))</f>
        <v/>
      </c>
    </row>
    <row r="251" spans="2:20">
      <c r="B251" s="2" t="str">
        <f>IFERROR(INT(INDEX(tblBatidas[Data e hora],MATCH("B"&amp;MID($A251,2,99),tblBatidas[Batida ID],0))),"")</f>
        <v/>
      </c>
      <c r="C251" t="str">
        <f t="shared" si="12"/>
        <v/>
      </c>
      <c r="D251" t="str">
        <f t="shared" si="13"/>
        <v/>
      </c>
      <c r="E251" t="str">
        <f>IFERROR(INDEX(tblBatidas[ID],MATCH("B"&amp;MID($A251,2,99),tblBatidas[Batida ID],0)),"")</f>
        <v/>
      </c>
      <c r="F251" t="str">
        <f>IFERROR(INDEX(tblPessoas[Pessoa],MATCH(E251,tblPessoas[ID],0)),"")</f>
        <v/>
      </c>
      <c r="G251" t="str">
        <f>IFERROR(INDEX(tblBatidas[Projeto],MATCH("B"&amp;MID($A251,2,99),tblBatidas[Batida ID],0)),"")</f>
        <v/>
      </c>
      <c r="H251" t="str">
        <f>IFERROR(INDEX(tblBatidas[Atividade],MATCH("B"&amp;MID($A251,2,99),tblBatidas[Batida ID],0)),"")</f>
        <v/>
      </c>
      <c r="I251" s="4" t="str">
        <f>IFERROR(MOD(INDEX(tblBatidas[Data e hora],MATCH("B"&amp;MID($A251,2,99),tblBatidas[Batida ID],0)),1),"")</f>
        <v/>
      </c>
      <c r="J251" s="4" t="str">
        <f>IFERROR(MOD(INDEX(tblBatidas[Data e hora],MATCH("B"&amp;MID($A251,2,99),tblBatidas[Início vinculado],0)),1),"")</f>
        <v/>
      </c>
      <c r="K251" s="14" t="str">
        <f>IFERROR((INDEX(tblBatidas[Data e hora],MATCH("B"&amp;MID($A251,2,99),tblBatidas[Início vinculado],0))-INDEX(tblBatidas[Data e hora],MATCH("B"&amp;MID($A251,2,99),tblBatidas[Batida ID],0)))*24,"")</f>
        <v/>
      </c>
      <c r="L251" t="str">
        <f>IFERROR(INDEX(tblBatidas[Observação],MATCH("B"&amp;MID($A251,2,99),tblBatidas[Início vinculado],0)),"")</f>
        <v/>
      </c>
      <c r="M251" t="str">
        <f>IFERROR(INDEX(tblPessoas[Base],MATCH(E251,tblPessoas[ID],0)),"")</f>
        <v/>
      </c>
      <c r="N251" s="3">
        <f>IFERROR(IF(D251="DIA ÚTIL",INDEX(tblPessoas[R$/h útil],MATCH(E251,tblPessoas[ID],0)),INDEX(tblPessoas[R$/h FDS],MATCH(E251,tblPessoas[ID],0))),0)</f>
        <v>0</v>
      </c>
      <c r="O251" s="3">
        <f>IFERROR(INDEX(tblPessoas[R$/diária],MATCH(E251,tblPessoas[ID],0)),0)</f>
        <v>0</v>
      </c>
      <c r="P251" s="3" t="str">
        <f t="shared" si="14"/>
        <v/>
      </c>
      <c r="Q251" t="str">
        <f>IF(A251="","",IF(COUNTIF(tblBatidas[Início vinculado],"B"&amp;MID($A251,2,99))=0,"EM ABERTO",IF(OR(COUNTIF(tblBatidas[Início vinculado],"B"&amp;MID($A251,2,99))&gt;1,K251&lt;0,K251&gt;16,INT(INDEX(tblBatidas[Data e hora],MATCH("B"&amp;MID($A251,2,99),tblBatidas[Início vinculado],0)))&lt;&gt;B251,INDEX(tblBatidas[ID],MATCH("B"&amp;MID($A251,2,99),tblBatidas[Início vinculado],0))&lt;&gt;E251,INDEX(tblBatidas[Projeto],MATCH("B"&amp;MID($A251,2,99),tblBatidas[Início vinculado],0))&lt;&gt;G251,INDEX(tblBatidas[Atividade],MATCH("B"&amp;MID($A251,2,99),tblBatidas[Início vinculado],0))&lt;&gt;H251),"REVISAR","CONCLUÍDO")))</f>
        <v/>
      </c>
      <c r="R251">
        <f>IF(Q251&lt;&gt;"CONCLUÍDO",0,IF(COUNTIFS($E$5:E251,E251,$B$5:B251,B251,$Q$5:Q251,"CONCLUÍDO")=1,1,0))</f>
        <v>0</v>
      </c>
      <c r="S251" t="str">
        <f t="shared" si="15"/>
        <v/>
      </c>
      <c r="T251" t="str">
        <f>IF(E251="","",E251*100000+COUNTIFS(tblRegistros[ID],E251,tblRegistros[Data],"&lt;"&amp;B251)+COUNTIFS(tblRegistros[ID],E251,tblRegistros[Data],B251,tblRegistros[Início],"&lt;"&amp;I251)+COUNTIFS($E$5:E251,E251,$B$5:B251,B251,$I$5:I251,I251))</f>
        <v/>
      </c>
    </row>
    <row r="252" spans="2:20">
      <c r="B252" s="2" t="str">
        <f>IFERROR(INT(INDEX(tblBatidas[Data e hora],MATCH("B"&amp;MID($A252,2,99),tblBatidas[Batida ID],0))),"")</f>
        <v/>
      </c>
      <c r="C252" t="str">
        <f t="shared" si="12"/>
        <v/>
      </c>
      <c r="D252" t="str">
        <f t="shared" si="13"/>
        <v/>
      </c>
      <c r="E252" t="str">
        <f>IFERROR(INDEX(tblBatidas[ID],MATCH("B"&amp;MID($A252,2,99),tblBatidas[Batida ID],0)),"")</f>
        <v/>
      </c>
      <c r="F252" t="str">
        <f>IFERROR(INDEX(tblPessoas[Pessoa],MATCH(E252,tblPessoas[ID],0)),"")</f>
        <v/>
      </c>
      <c r="G252" t="str">
        <f>IFERROR(INDEX(tblBatidas[Projeto],MATCH("B"&amp;MID($A252,2,99),tblBatidas[Batida ID],0)),"")</f>
        <v/>
      </c>
      <c r="H252" t="str">
        <f>IFERROR(INDEX(tblBatidas[Atividade],MATCH("B"&amp;MID($A252,2,99),tblBatidas[Batida ID],0)),"")</f>
        <v/>
      </c>
      <c r="I252" s="4" t="str">
        <f>IFERROR(MOD(INDEX(tblBatidas[Data e hora],MATCH("B"&amp;MID($A252,2,99),tblBatidas[Batida ID],0)),1),"")</f>
        <v/>
      </c>
      <c r="J252" s="4" t="str">
        <f>IFERROR(MOD(INDEX(tblBatidas[Data e hora],MATCH("B"&amp;MID($A252,2,99),tblBatidas[Início vinculado],0)),1),"")</f>
        <v/>
      </c>
      <c r="K252" s="14" t="str">
        <f>IFERROR((INDEX(tblBatidas[Data e hora],MATCH("B"&amp;MID($A252,2,99),tblBatidas[Início vinculado],0))-INDEX(tblBatidas[Data e hora],MATCH("B"&amp;MID($A252,2,99),tblBatidas[Batida ID],0)))*24,"")</f>
        <v/>
      </c>
      <c r="L252" t="str">
        <f>IFERROR(INDEX(tblBatidas[Observação],MATCH("B"&amp;MID($A252,2,99),tblBatidas[Início vinculado],0)),"")</f>
        <v/>
      </c>
      <c r="M252" t="str">
        <f>IFERROR(INDEX(tblPessoas[Base],MATCH(E252,tblPessoas[ID],0)),"")</f>
        <v/>
      </c>
      <c r="N252" s="3">
        <f>IFERROR(IF(D252="DIA ÚTIL",INDEX(tblPessoas[R$/h útil],MATCH(E252,tblPessoas[ID],0)),INDEX(tblPessoas[R$/h FDS],MATCH(E252,tblPessoas[ID],0))),0)</f>
        <v>0</v>
      </c>
      <c r="O252" s="3">
        <f>IFERROR(INDEX(tblPessoas[R$/diária],MATCH(E252,tblPessoas[ID],0)),0)</f>
        <v>0</v>
      </c>
      <c r="P252" s="3" t="str">
        <f t="shared" si="14"/>
        <v/>
      </c>
      <c r="Q252" t="str">
        <f>IF(A252="","",IF(COUNTIF(tblBatidas[Início vinculado],"B"&amp;MID($A252,2,99))=0,"EM ABERTO",IF(OR(COUNTIF(tblBatidas[Início vinculado],"B"&amp;MID($A252,2,99))&gt;1,K252&lt;0,K252&gt;16,INT(INDEX(tblBatidas[Data e hora],MATCH("B"&amp;MID($A252,2,99),tblBatidas[Início vinculado],0)))&lt;&gt;B252,INDEX(tblBatidas[ID],MATCH("B"&amp;MID($A252,2,99),tblBatidas[Início vinculado],0))&lt;&gt;E252,INDEX(tblBatidas[Projeto],MATCH("B"&amp;MID($A252,2,99),tblBatidas[Início vinculado],0))&lt;&gt;G252,INDEX(tblBatidas[Atividade],MATCH("B"&amp;MID($A252,2,99),tblBatidas[Início vinculado],0))&lt;&gt;H252),"REVISAR","CONCLUÍDO")))</f>
        <v/>
      </c>
      <c r="R252">
        <f>IF(Q252&lt;&gt;"CONCLUÍDO",0,IF(COUNTIFS($E$5:E252,E252,$B$5:B252,B252,$Q$5:Q252,"CONCLUÍDO")=1,1,0))</f>
        <v>0</v>
      </c>
      <c r="S252" t="str">
        <f t="shared" si="15"/>
        <v/>
      </c>
      <c r="T252" t="str">
        <f>IF(E252="","",E252*100000+COUNTIFS(tblRegistros[ID],E252,tblRegistros[Data],"&lt;"&amp;B252)+COUNTIFS(tblRegistros[ID],E252,tblRegistros[Data],B252,tblRegistros[Início],"&lt;"&amp;I252)+COUNTIFS($E$5:E252,E252,$B$5:B252,B252,$I$5:I252,I252))</f>
        <v/>
      </c>
    </row>
    <row r="253" spans="2:20">
      <c r="B253" s="2" t="str">
        <f>IFERROR(INT(INDEX(tblBatidas[Data e hora],MATCH("B"&amp;MID($A253,2,99),tblBatidas[Batida ID],0))),"")</f>
        <v/>
      </c>
      <c r="C253" t="str">
        <f t="shared" si="12"/>
        <v/>
      </c>
      <c r="D253" t="str">
        <f t="shared" si="13"/>
        <v/>
      </c>
      <c r="E253" t="str">
        <f>IFERROR(INDEX(tblBatidas[ID],MATCH("B"&amp;MID($A253,2,99),tblBatidas[Batida ID],0)),"")</f>
        <v/>
      </c>
      <c r="F253" t="str">
        <f>IFERROR(INDEX(tblPessoas[Pessoa],MATCH(E253,tblPessoas[ID],0)),"")</f>
        <v/>
      </c>
      <c r="G253" t="str">
        <f>IFERROR(INDEX(tblBatidas[Projeto],MATCH("B"&amp;MID($A253,2,99),tblBatidas[Batida ID],0)),"")</f>
        <v/>
      </c>
      <c r="H253" t="str">
        <f>IFERROR(INDEX(tblBatidas[Atividade],MATCH("B"&amp;MID($A253,2,99),tblBatidas[Batida ID],0)),"")</f>
        <v/>
      </c>
      <c r="I253" s="4" t="str">
        <f>IFERROR(MOD(INDEX(tblBatidas[Data e hora],MATCH("B"&amp;MID($A253,2,99),tblBatidas[Batida ID],0)),1),"")</f>
        <v/>
      </c>
      <c r="J253" s="4" t="str">
        <f>IFERROR(MOD(INDEX(tblBatidas[Data e hora],MATCH("B"&amp;MID($A253,2,99),tblBatidas[Início vinculado],0)),1),"")</f>
        <v/>
      </c>
      <c r="K253" s="14" t="str">
        <f>IFERROR((INDEX(tblBatidas[Data e hora],MATCH("B"&amp;MID($A253,2,99),tblBatidas[Início vinculado],0))-INDEX(tblBatidas[Data e hora],MATCH("B"&amp;MID($A253,2,99),tblBatidas[Batida ID],0)))*24,"")</f>
        <v/>
      </c>
      <c r="L253" t="str">
        <f>IFERROR(INDEX(tblBatidas[Observação],MATCH("B"&amp;MID($A253,2,99),tblBatidas[Início vinculado],0)),"")</f>
        <v/>
      </c>
      <c r="M253" t="str">
        <f>IFERROR(INDEX(tblPessoas[Base],MATCH(E253,tblPessoas[ID],0)),"")</f>
        <v/>
      </c>
      <c r="N253" s="3">
        <f>IFERROR(IF(D253="DIA ÚTIL",INDEX(tblPessoas[R$/h útil],MATCH(E253,tblPessoas[ID],0)),INDEX(tblPessoas[R$/h FDS],MATCH(E253,tblPessoas[ID],0))),0)</f>
        <v>0</v>
      </c>
      <c r="O253" s="3">
        <f>IFERROR(INDEX(tblPessoas[R$/diária],MATCH(E253,tblPessoas[ID],0)),0)</f>
        <v>0</v>
      </c>
      <c r="P253" s="3" t="str">
        <f t="shared" si="14"/>
        <v/>
      </c>
      <c r="Q253" t="str">
        <f>IF(A253="","",IF(COUNTIF(tblBatidas[Início vinculado],"B"&amp;MID($A253,2,99))=0,"EM ABERTO",IF(OR(COUNTIF(tblBatidas[Início vinculado],"B"&amp;MID($A253,2,99))&gt;1,K253&lt;0,K253&gt;16,INT(INDEX(tblBatidas[Data e hora],MATCH("B"&amp;MID($A253,2,99),tblBatidas[Início vinculado],0)))&lt;&gt;B253,INDEX(tblBatidas[ID],MATCH("B"&amp;MID($A253,2,99),tblBatidas[Início vinculado],0))&lt;&gt;E253,INDEX(tblBatidas[Projeto],MATCH("B"&amp;MID($A253,2,99),tblBatidas[Início vinculado],0))&lt;&gt;G253,INDEX(tblBatidas[Atividade],MATCH("B"&amp;MID($A253,2,99),tblBatidas[Início vinculado],0))&lt;&gt;H253),"REVISAR","CONCLUÍDO")))</f>
        <v/>
      </c>
      <c r="R253">
        <f>IF(Q253&lt;&gt;"CONCLUÍDO",0,IF(COUNTIFS($E$5:E253,E253,$B$5:B253,B253,$Q$5:Q253,"CONCLUÍDO")=1,1,0))</f>
        <v>0</v>
      </c>
      <c r="S253" t="str">
        <f t="shared" si="15"/>
        <v/>
      </c>
      <c r="T253" t="str">
        <f>IF(E253="","",E253*100000+COUNTIFS(tblRegistros[ID],E253,tblRegistros[Data],"&lt;"&amp;B253)+COUNTIFS(tblRegistros[ID],E253,tblRegistros[Data],B253,tblRegistros[Início],"&lt;"&amp;I253)+COUNTIFS($E$5:E253,E253,$B$5:B253,B253,$I$5:I253,I253))</f>
        <v/>
      </c>
    </row>
    <row r="254" spans="2:20">
      <c r="B254" s="2" t="str">
        <f>IFERROR(INT(INDEX(tblBatidas[Data e hora],MATCH("B"&amp;MID($A254,2,99),tblBatidas[Batida ID],0))),"")</f>
        <v/>
      </c>
      <c r="C254" t="str">
        <f t="shared" si="12"/>
        <v/>
      </c>
      <c r="D254" t="str">
        <f t="shared" si="13"/>
        <v/>
      </c>
      <c r="E254" t="str">
        <f>IFERROR(INDEX(tblBatidas[ID],MATCH("B"&amp;MID($A254,2,99),tblBatidas[Batida ID],0)),"")</f>
        <v/>
      </c>
      <c r="F254" t="str">
        <f>IFERROR(INDEX(tblPessoas[Pessoa],MATCH(E254,tblPessoas[ID],0)),"")</f>
        <v/>
      </c>
      <c r="G254" t="str">
        <f>IFERROR(INDEX(tblBatidas[Projeto],MATCH("B"&amp;MID($A254,2,99),tblBatidas[Batida ID],0)),"")</f>
        <v/>
      </c>
      <c r="H254" t="str">
        <f>IFERROR(INDEX(tblBatidas[Atividade],MATCH("B"&amp;MID($A254,2,99),tblBatidas[Batida ID],0)),"")</f>
        <v/>
      </c>
      <c r="I254" s="4" t="str">
        <f>IFERROR(MOD(INDEX(tblBatidas[Data e hora],MATCH("B"&amp;MID($A254,2,99),tblBatidas[Batida ID],0)),1),"")</f>
        <v/>
      </c>
      <c r="J254" s="4" t="str">
        <f>IFERROR(MOD(INDEX(tblBatidas[Data e hora],MATCH("B"&amp;MID($A254,2,99),tblBatidas[Início vinculado],0)),1),"")</f>
        <v/>
      </c>
      <c r="K254" s="14" t="str">
        <f>IFERROR((INDEX(tblBatidas[Data e hora],MATCH("B"&amp;MID($A254,2,99),tblBatidas[Início vinculado],0))-INDEX(tblBatidas[Data e hora],MATCH("B"&amp;MID($A254,2,99),tblBatidas[Batida ID],0)))*24,"")</f>
        <v/>
      </c>
      <c r="L254" t="str">
        <f>IFERROR(INDEX(tblBatidas[Observação],MATCH("B"&amp;MID($A254,2,99),tblBatidas[Início vinculado],0)),"")</f>
        <v/>
      </c>
      <c r="M254" t="str">
        <f>IFERROR(INDEX(tblPessoas[Base],MATCH(E254,tblPessoas[ID],0)),"")</f>
        <v/>
      </c>
      <c r="N254" s="3">
        <f>IFERROR(IF(D254="DIA ÚTIL",INDEX(tblPessoas[R$/h útil],MATCH(E254,tblPessoas[ID],0)),INDEX(tblPessoas[R$/h FDS],MATCH(E254,tblPessoas[ID],0))),0)</f>
        <v>0</v>
      </c>
      <c r="O254" s="3">
        <f>IFERROR(INDEX(tblPessoas[R$/diária],MATCH(E254,tblPessoas[ID],0)),0)</f>
        <v>0</v>
      </c>
      <c r="P254" s="3" t="str">
        <f t="shared" si="14"/>
        <v/>
      </c>
      <c r="Q254" t="str">
        <f>IF(A254="","",IF(COUNTIF(tblBatidas[Início vinculado],"B"&amp;MID($A254,2,99))=0,"EM ABERTO",IF(OR(COUNTIF(tblBatidas[Início vinculado],"B"&amp;MID($A254,2,99))&gt;1,K254&lt;0,K254&gt;16,INT(INDEX(tblBatidas[Data e hora],MATCH("B"&amp;MID($A254,2,99),tblBatidas[Início vinculado],0)))&lt;&gt;B254,INDEX(tblBatidas[ID],MATCH("B"&amp;MID($A254,2,99),tblBatidas[Início vinculado],0))&lt;&gt;E254,INDEX(tblBatidas[Projeto],MATCH("B"&amp;MID($A254,2,99),tblBatidas[Início vinculado],0))&lt;&gt;G254,INDEX(tblBatidas[Atividade],MATCH("B"&amp;MID($A254,2,99),tblBatidas[Início vinculado],0))&lt;&gt;H254),"REVISAR","CONCLUÍDO")))</f>
        <v/>
      </c>
      <c r="R254">
        <f>IF(Q254&lt;&gt;"CONCLUÍDO",0,IF(COUNTIFS($E$5:E254,E254,$B$5:B254,B254,$Q$5:Q254,"CONCLUÍDO")=1,1,0))</f>
        <v>0</v>
      </c>
      <c r="S254" t="str">
        <f t="shared" si="15"/>
        <v/>
      </c>
      <c r="T254" t="str">
        <f>IF(E254="","",E254*100000+COUNTIFS(tblRegistros[ID],E254,tblRegistros[Data],"&lt;"&amp;B254)+COUNTIFS(tblRegistros[ID],E254,tblRegistros[Data],B254,tblRegistros[Início],"&lt;"&amp;I254)+COUNTIFS($E$5:E254,E254,$B$5:B254,B254,$I$5:I254,I254))</f>
        <v/>
      </c>
    </row>
    <row r="255" spans="2:20">
      <c r="B255" s="2" t="str">
        <f>IFERROR(INT(INDEX(tblBatidas[Data e hora],MATCH("B"&amp;MID($A255,2,99),tblBatidas[Batida ID],0))),"")</f>
        <v/>
      </c>
      <c r="C255" t="str">
        <f t="shared" si="12"/>
        <v/>
      </c>
      <c r="D255" t="str">
        <f t="shared" si="13"/>
        <v/>
      </c>
      <c r="E255" t="str">
        <f>IFERROR(INDEX(tblBatidas[ID],MATCH("B"&amp;MID($A255,2,99),tblBatidas[Batida ID],0)),"")</f>
        <v/>
      </c>
      <c r="F255" t="str">
        <f>IFERROR(INDEX(tblPessoas[Pessoa],MATCH(E255,tblPessoas[ID],0)),"")</f>
        <v/>
      </c>
      <c r="G255" t="str">
        <f>IFERROR(INDEX(tblBatidas[Projeto],MATCH("B"&amp;MID($A255,2,99),tblBatidas[Batida ID],0)),"")</f>
        <v/>
      </c>
      <c r="H255" t="str">
        <f>IFERROR(INDEX(tblBatidas[Atividade],MATCH("B"&amp;MID($A255,2,99),tblBatidas[Batida ID],0)),"")</f>
        <v/>
      </c>
      <c r="I255" s="4" t="str">
        <f>IFERROR(MOD(INDEX(tblBatidas[Data e hora],MATCH("B"&amp;MID($A255,2,99),tblBatidas[Batida ID],0)),1),"")</f>
        <v/>
      </c>
      <c r="J255" s="4" t="str">
        <f>IFERROR(MOD(INDEX(tblBatidas[Data e hora],MATCH("B"&amp;MID($A255,2,99),tblBatidas[Início vinculado],0)),1),"")</f>
        <v/>
      </c>
      <c r="K255" s="14" t="str">
        <f>IFERROR((INDEX(tblBatidas[Data e hora],MATCH("B"&amp;MID($A255,2,99),tblBatidas[Início vinculado],0))-INDEX(tblBatidas[Data e hora],MATCH("B"&amp;MID($A255,2,99),tblBatidas[Batida ID],0)))*24,"")</f>
        <v/>
      </c>
      <c r="L255" t="str">
        <f>IFERROR(INDEX(tblBatidas[Observação],MATCH("B"&amp;MID($A255,2,99),tblBatidas[Início vinculado],0)),"")</f>
        <v/>
      </c>
      <c r="M255" t="str">
        <f>IFERROR(INDEX(tblPessoas[Base],MATCH(E255,tblPessoas[ID],0)),"")</f>
        <v/>
      </c>
      <c r="N255" s="3">
        <f>IFERROR(IF(D255="DIA ÚTIL",INDEX(tblPessoas[R$/h útil],MATCH(E255,tblPessoas[ID],0)),INDEX(tblPessoas[R$/h FDS],MATCH(E255,tblPessoas[ID],0))),0)</f>
        <v>0</v>
      </c>
      <c r="O255" s="3">
        <f>IFERROR(INDEX(tblPessoas[R$/diária],MATCH(E255,tblPessoas[ID],0)),0)</f>
        <v>0</v>
      </c>
      <c r="P255" s="3" t="str">
        <f t="shared" si="14"/>
        <v/>
      </c>
      <c r="Q255" t="str">
        <f>IF(A255="","",IF(COUNTIF(tblBatidas[Início vinculado],"B"&amp;MID($A255,2,99))=0,"EM ABERTO",IF(OR(COUNTIF(tblBatidas[Início vinculado],"B"&amp;MID($A255,2,99))&gt;1,K255&lt;0,K255&gt;16,INT(INDEX(tblBatidas[Data e hora],MATCH("B"&amp;MID($A255,2,99),tblBatidas[Início vinculado],0)))&lt;&gt;B255,INDEX(tblBatidas[ID],MATCH("B"&amp;MID($A255,2,99),tblBatidas[Início vinculado],0))&lt;&gt;E255,INDEX(tblBatidas[Projeto],MATCH("B"&amp;MID($A255,2,99),tblBatidas[Início vinculado],0))&lt;&gt;G255,INDEX(tblBatidas[Atividade],MATCH("B"&amp;MID($A255,2,99),tblBatidas[Início vinculado],0))&lt;&gt;H255),"REVISAR","CONCLUÍDO")))</f>
        <v/>
      </c>
      <c r="R255">
        <f>IF(Q255&lt;&gt;"CONCLUÍDO",0,IF(COUNTIFS($E$5:E255,E255,$B$5:B255,B255,$Q$5:Q255,"CONCLUÍDO")=1,1,0))</f>
        <v>0</v>
      </c>
      <c r="S255" t="str">
        <f t="shared" si="15"/>
        <v/>
      </c>
      <c r="T255" t="str">
        <f>IF(E255="","",E255*100000+COUNTIFS(tblRegistros[ID],E255,tblRegistros[Data],"&lt;"&amp;B255)+COUNTIFS(tblRegistros[ID],E255,tblRegistros[Data],B255,tblRegistros[Início],"&lt;"&amp;I255)+COUNTIFS($E$5:E255,E255,$B$5:B255,B255,$I$5:I255,I255))</f>
        <v/>
      </c>
    </row>
    <row r="256" spans="2:20">
      <c r="B256" s="2" t="str">
        <f>IFERROR(INT(INDEX(tblBatidas[Data e hora],MATCH("B"&amp;MID($A256,2,99),tblBatidas[Batida ID],0))),"")</f>
        <v/>
      </c>
      <c r="C256" t="str">
        <f t="shared" si="12"/>
        <v/>
      </c>
      <c r="D256" t="str">
        <f t="shared" si="13"/>
        <v/>
      </c>
      <c r="E256" t="str">
        <f>IFERROR(INDEX(tblBatidas[ID],MATCH("B"&amp;MID($A256,2,99),tblBatidas[Batida ID],0)),"")</f>
        <v/>
      </c>
      <c r="F256" t="str">
        <f>IFERROR(INDEX(tblPessoas[Pessoa],MATCH(E256,tblPessoas[ID],0)),"")</f>
        <v/>
      </c>
      <c r="G256" t="str">
        <f>IFERROR(INDEX(tblBatidas[Projeto],MATCH("B"&amp;MID($A256,2,99),tblBatidas[Batida ID],0)),"")</f>
        <v/>
      </c>
      <c r="H256" t="str">
        <f>IFERROR(INDEX(tblBatidas[Atividade],MATCH("B"&amp;MID($A256,2,99),tblBatidas[Batida ID],0)),"")</f>
        <v/>
      </c>
      <c r="I256" s="4" t="str">
        <f>IFERROR(MOD(INDEX(tblBatidas[Data e hora],MATCH("B"&amp;MID($A256,2,99),tblBatidas[Batida ID],0)),1),"")</f>
        <v/>
      </c>
      <c r="J256" s="4" t="str">
        <f>IFERROR(MOD(INDEX(tblBatidas[Data e hora],MATCH("B"&amp;MID($A256,2,99),tblBatidas[Início vinculado],0)),1),"")</f>
        <v/>
      </c>
      <c r="K256" s="14" t="str">
        <f>IFERROR((INDEX(tblBatidas[Data e hora],MATCH("B"&amp;MID($A256,2,99),tblBatidas[Início vinculado],0))-INDEX(tblBatidas[Data e hora],MATCH("B"&amp;MID($A256,2,99),tblBatidas[Batida ID],0)))*24,"")</f>
        <v/>
      </c>
      <c r="L256" t="str">
        <f>IFERROR(INDEX(tblBatidas[Observação],MATCH("B"&amp;MID($A256,2,99),tblBatidas[Início vinculado],0)),"")</f>
        <v/>
      </c>
      <c r="M256" t="str">
        <f>IFERROR(INDEX(tblPessoas[Base],MATCH(E256,tblPessoas[ID],0)),"")</f>
        <v/>
      </c>
      <c r="N256" s="3">
        <f>IFERROR(IF(D256="DIA ÚTIL",INDEX(tblPessoas[R$/h útil],MATCH(E256,tblPessoas[ID],0)),INDEX(tblPessoas[R$/h FDS],MATCH(E256,tblPessoas[ID],0))),0)</f>
        <v>0</v>
      </c>
      <c r="O256" s="3">
        <f>IFERROR(INDEX(tblPessoas[R$/diária],MATCH(E256,tblPessoas[ID],0)),0)</f>
        <v>0</v>
      </c>
      <c r="P256" s="3" t="str">
        <f t="shared" si="14"/>
        <v/>
      </c>
      <c r="Q256" t="str">
        <f>IF(A256="","",IF(COUNTIF(tblBatidas[Início vinculado],"B"&amp;MID($A256,2,99))=0,"EM ABERTO",IF(OR(COUNTIF(tblBatidas[Início vinculado],"B"&amp;MID($A256,2,99))&gt;1,K256&lt;0,K256&gt;16,INT(INDEX(tblBatidas[Data e hora],MATCH("B"&amp;MID($A256,2,99),tblBatidas[Início vinculado],0)))&lt;&gt;B256,INDEX(tblBatidas[ID],MATCH("B"&amp;MID($A256,2,99),tblBatidas[Início vinculado],0))&lt;&gt;E256,INDEX(tblBatidas[Projeto],MATCH("B"&amp;MID($A256,2,99),tblBatidas[Início vinculado],0))&lt;&gt;G256,INDEX(tblBatidas[Atividade],MATCH("B"&amp;MID($A256,2,99),tblBatidas[Início vinculado],0))&lt;&gt;H256),"REVISAR","CONCLUÍDO")))</f>
        <v/>
      </c>
      <c r="R256">
        <f>IF(Q256&lt;&gt;"CONCLUÍDO",0,IF(COUNTIFS($E$5:E256,E256,$B$5:B256,B256,$Q$5:Q256,"CONCLUÍDO")=1,1,0))</f>
        <v>0</v>
      </c>
      <c r="S256" t="str">
        <f t="shared" si="15"/>
        <v/>
      </c>
      <c r="T256" t="str">
        <f>IF(E256="","",E256*100000+COUNTIFS(tblRegistros[ID],E256,tblRegistros[Data],"&lt;"&amp;B256)+COUNTIFS(tblRegistros[ID],E256,tblRegistros[Data],B256,tblRegistros[Início],"&lt;"&amp;I256)+COUNTIFS($E$5:E256,E256,$B$5:B256,B256,$I$5:I256,I256))</f>
        <v/>
      </c>
    </row>
    <row r="257" spans="2:20">
      <c r="B257" s="2" t="str">
        <f>IFERROR(INT(INDEX(tblBatidas[Data e hora],MATCH("B"&amp;MID($A257,2,99),tblBatidas[Batida ID],0))),"")</f>
        <v/>
      </c>
      <c r="C257" t="str">
        <f t="shared" si="12"/>
        <v/>
      </c>
      <c r="D257" t="str">
        <f t="shared" si="13"/>
        <v/>
      </c>
      <c r="E257" t="str">
        <f>IFERROR(INDEX(tblBatidas[ID],MATCH("B"&amp;MID($A257,2,99),tblBatidas[Batida ID],0)),"")</f>
        <v/>
      </c>
      <c r="F257" t="str">
        <f>IFERROR(INDEX(tblPessoas[Pessoa],MATCH(E257,tblPessoas[ID],0)),"")</f>
        <v/>
      </c>
      <c r="G257" t="str">
        <f>IFERROR(INDEX(tblBatidas[Projeto],MATCH("B"&amp;MID($A257,2,99),tblBatidas[Batida ID],0)),"")</f>
        <v/>
      </c>
      <c r="H257" t="str">
        <f>IFERROR(INDEX(tblBatidas[Atividade],MATCH("B"&amp;MID($A257,2,99),tblBatidas[Batida ID],0)),"")</f>
        <v/>
      </c>
      <c r="I257" s="4" t="str">
        <f>IFERROR(MOD(INDEX(tblBatidas[Data e hora],MATCH("B"&amp;MID($A257,2,99),tblBatidas[Batida ID],0)),1),"")</f>
        <v/>
      </c>
      <c r="J257" s="4" t="str">
        <f>IFERROR(MOD(INDEX(tblBatidas[Data e hora],MATCH("B"&amp;MID($A257,2,99),tblBatidas[Início vinculado],0)),1),"")</f>
        <v/>
      </c>
      <c r="K257" s="14" t="str">
        <f>IFERROR((INDEX(tblBatidas[Data e hora],MATCH("B"&amp;MID($A257,2,99),tblBatidas[Início vinculado],0))-INDEX(tblBatidas[Data e hora],MATCH("B"&amp;MID($A257,2,99),tblBatidas[Batida ID],0)))*24,"")</f>
        <v/>
      </c>
      <c r="L257" t="str">
        <f>IFERROR(INDEX(tblBatidas[Observação],MATCH("B"&amp;MID($A257,2,99),tblBatidas[Início vinculado],0)),"")</f>
        <v/>
      </c>
      <c r="M257" t="str">
        <f>IFERROR(INDEX(tblPessoas[Base],MATCH(E257,tblPessoas[ID],0)),"")</f>
        <v/>
      </c>
      <c r="N257" s="3">
        <f>IFERROR(IF(D257="DIA ÚTIL",INDEX(tblPessoas[R$/h útil],MATCH(E257,tblPessoas[ID],0)),INDEX(tblPessoas[R$/h FDS],MATCH(E257,tblPessoas[ID],0))),0)</f>
        <v>0</v>
      </c>
      <c r="O257" s="3">
        <f>IFERROR(INDEX(tblPessoas[R$/diária],MATCH(E257,tblPessoas[ID],0)),0)</f>
        <v>0</v>
      </c>
      <c r="P257" s="3" t="str">
        <f t="shared" si="14"/>
        <v/>
      </c>
      <c r="Q257" t="str">
        <f>IF(A257="","",IF(COUNTIF(tblBatidas[Início vinculado],"B"&amp;MID($A257,2,99))=0,"EM ABERTO",IF(OR(COUNTIF(tblBatidas[Início vinculado],"B"&amp;MID($A257,2,99))&gt;1,K257&lt;0,K257&gt;16,INT(INDEX(tblBatidas[Data e hora],MATCH("B"&amp;MID($A257,2,99),tblBatidas[Início vinculado],0)))&lt;&gt;B257,INDEX(tblBatidas[ID],MATCH("B"&amp;MID($A257,2,99),tblBatidas[Início vinculado],0))&lt;&gt;E257,INDEX(tblBatidas[Projeto],MATCH("B"&amp;MID($A257,2,99),tblBatidas[Início vinculado],0))&lt;&gt;G257,INDEX(tblBatidas[Atividade],MATCH("B"&amp;MID($A257,2,99),tblBatidas[Início vinculado],0))&lt;&gt;H257),"REVISAR","CONCLUÍDO")))</f>
        <v/>
      </c>
      <c r="R257">
        <f>IF(Q257&lt;&gt;"CONCLUÍDO",0,IF(COUNTIFS($E$5:E257,E257,$B$5:B257,B257,$Q$5:Q257,"CONCLUÍDO")=1,1,0))</f>
        <v>0</v>
      </c>
      <c r="S257" t="str">
        <f t="shared" si="15"/>
        <v/>
      </c>
      <c r="T257" t="str">
        <f>IF(E257="","",E257*100000+COUNTIFS(tblRegistros[ID],E257,tblRegistros[Data],"&lt;"&amp;B257)+COUNTIFS(tblRegistros[ID],E257,tblRegistros[Data],B257,tblRegistros[Início],"&lt;"&amp;I257)+COUNTIFS($E$5:E257,E257,$B$5:B257,B257,$I$5:I257,I257))</f>
        <v/>
      </c>
    </row>
    <row r="258" spans="2:20">
      <c r="B258" s="2" t="str">
        <f>IFERROR(INT(INDEX(tblBatidas[Data e hora],MATCH("B"&amp;MID($A258,2,99),tblBatidas[Batida ID],0))),"")</f>
        <v/>
      </c>
      <c r="C258" t="str">
        <f t="shared" si="12"/>
        <v/>
      </c>
      <c r="D258" t="str">
        <f t="shared" si="13"/>
        <v/>
      </c>
      <c r="E258" t="str">
        <f>IFERROR(INDEX(tblBatidas[ID],MATCH("B"&amp;MID($A258,2,99),tblBatidas[Batida ID],0)),"")</f>
        <v/>
      </c>
      <c r="F258" t="str">
        <f>IFERROR(INDEX(tblPessoas[Pessoa],MATCH(E258,tblPessoas[ID],0)),"")</f>
        <v/>
      </c>
      <c r="G258" t="str">
        <f>IFERROR(INDEX(tblBatidas[Projeto],MATCH("B"&amp;MID($A258,2,99),tblBatidas[Batida ID],0)),"")</f>
        <v/>
      </c>
      <c r="H258" t="str">
        <f>IFERROR(INDEX(tblBatidas[Atividade],MATCH("B"&amp;MID($A258,2,99),tblBatidas[Batida ID],0)),"")</f>
        <v/>
      </c>
      <c r="I258" s="4" t="str">
        <f>IFERROR(MOD(INDEX(tblBatidas[Data e hora],MATCH("B"&amp;MID($A258,2,99),tblBatidas[Batida ID],0)),1),"")</f>
        <v/>
      </c>
      <c r="J258" s="4" t="str">
        <f>IFERROR(MOD(INDEX(tblBatidas[Data e hora],MATCH("B"&amp;MID($A258,2,99),tblBatidas[Início vinculado],0)),1),"")</f>
        <v/>
      </c>
      <c r="K258" s="14" t="str">
        <f>IFERROR((INDEX(tblBatidas[Data e hora],MATCH("B"&amp;MID($A258,2,99),tblBatidas[Início vinculado],0))-INDEX(tblBatidas[Data e hora],MATCH("B"&amp;MID($A258,2,99),tblBatidas[Batida ID],0)))*24,"")</f>
        <v/>
      </c>
      <c r="L258" t="str">
        <f>IFERROR(INDEX(tblBatidas[Observação],MATCH("B"&amp;MID($A258,2,99),tblBatidas[Início vinculado],0)),"")</f>
        <v/>
      </c>
      <c r="M258" t="str">
        <f>IFERROR(INDEX(tblPessoas[Base],MATCH(E258,tblPessoas[ID],0)),"")</f>
        <v/>
      </c>
      <c r="N258" s="3">
        <f>IFERROR(IF(D258="DIA ÚTIL",INDEX(tblPessoas[R$/h útil],MATCH(E258,tblPessoas[ID],0)),INDEX(tblPessoas[R$/h FDS],MATCH(E258,tblPessoas[ID],0))),0)</f>
        <v>0</v>
      </c>
      <c r="O258" s="3">
        <f>IFERROR(INDEX(tblPessoas[R$/diária],MATCH(E258,tblPessoas[ID],0)),0)</f>
        <v>0</v>
      </c>
      <c r="P258" s="3" t="str">
        <f t="shared" si="14"/>
        <v/>
      </c>
      <c r="Q258" t="str">
        <f>IF(A258="","",IF(COUNTIF(tblBatidas[Início vinculado],"B"&amp;MID($A258,2,99))=0,"EM ABERTO",IF(OR(COUNTIF(tblBatidas[Início vinculado],"B"&amp;MID($A258,2,99))&gt;1,K258&lt;0,K258&gt;16,INT(INDEX(tblBatidas[Data e hora],MATCH("B"&amp;MID($A258,2,99),tblBatidas[Início vinculado],0)))&lt;&gt;B258,INDEX(tblBatidas[ID],MATCH("B"&amp;MID($A258,2,99),tblBatidas[Início vinculado],0))&lt;&gt;E258,INDEX(tblBatidas[Projeto],MATCH("B"&amp;MID($A258,2,99),tblBatidas[Início vinculado],0))&lt;&gt;G258,INDEX(tblBatidas[Atividade],MATCH("B"&amp;MID($A258,2,99),tblBatidas[Início vinculado],0))&lt;&gt;H258),"REVISAR","CONCLUÍDO")))</f>
        <v/>
      </c>
      <c r="R258">
        <f>IF(Q258&lt;&gt;"CONCLUÍDO",0,IF(COUNTIFS($E$5:E258,E258,$B$5:B258,B258,$Q$5:Q258,"CONCLUÍDO")=1,1,0))</f>
        <v>0</v>
      </c>
      <c r="S258" t="str">
        <f t="shared" si="15"/>
        <v/>
      </c>
      <c r="T258" t="str">
        <f>IF(E258="","",E258*100000+COUNTIFS(tblRegistros[ID],E258,tblRegistros[Data],"&lt;"&amp;B258)+COUNTIFS(tblRegistros[ID],E258,tblRegistros[Data],B258,tblRegistros[Início],"&lt;"&amp;I258)+COUNTIFS($E$5:E258,E258,$B$5:B258,B258,$I$5:I258,I258))</f>
        <v/>
      </c>
    </row>
    <row r="259" spans="2:20">
      <c r="B259" s="2" t="str">
        <f>IFERROR(INT(INDEX(tblBatidas[Data e hora],MATCH("B"&amp;MID($A259,2,99),tblBatidas[Batida ID],0))),"")</f>
        <v/>
      </c>
      <c r="C259" t="str">
        <f t="shared" si="12"/>
        <v/>
      </c>
      <c r="D259" t="str">
        <f t="shared" si="13"/>
        <v/>
      </c>
      <c r="E259" t="str">
        <f>IFERROR(INDEX(tblBatidas[ID],MATCH("B"&amp;MID($A259,2,99),tblBatidas[Batida ID],0)),"")</f>
        <v/>
      </c>
      <c r="F259" t="str">
        <f>IFERROR(INDEX(tblPessoas[Pessoa],MATCH(E259,tblPessoas[ID],0)),"")</f>
        <v/>
      </c>
      <c r="G259" t="str">
        <f>IFERROR(INDEX(tblBatidas[Projeto],MATCH("B"&amp;MID($A259,2,99),tblBatidas[Batida ID],0)),"")</f>
        <v/>
      </c>
      <c r="H259" t="str">
        <f>IFERROR(INDEX(tblBatidas[Atividade],MATCH("B"&amp;MID($A259,2,99),tblBatidas[Batida ID],0)),"")</f>
        <v/>
      </c>
      <c r="I259" s="4" t="str">
        <f>IFERROR(MOD(INDEX(tblBatidas[Data e hora],MATCH("B"&amp;MID($A259,2,99),tblBatidas[Batida ID],0)),1),"")</f>
        <v/>
      </c>
      <c r="J259" s="4" t="str">
        <f>IFERROR(MOD(INDEX(tblBatidas[Data e hora],MATCH("B"&amp;MID($A259,2,99),tblBatidas[Início vinculado],0)),1),"")</f>
        <v/>
      </c>
      <c r="K259" s="14" t="str">
        <f>IFERROR((INDEX(tblBatidas[Data e hora],MATCH("B"&amp;MID($A259,2,99),tblBatidas[Início vinculado],0))-INDEX(tblBatidas[Data e hora],MATCH("B"&amp;MID($A259,2,99),tblBatidas[Batida ID],0)))*24,"")</f>
        <v/>
      </c>
      <c r="L259" t="str">
        <f>IFERROR(INDEX(tblBatidas[Observação],MATCH("B"&amp;MID($A259,2,99),tblBatidas[Início vinculado],0)),"")</f>
        <v/>
      </c>
      <c r="M259" t="str">
        <f>IFERROR(INDEX(tblPessoas[Base],MATCH(E259,tblPessoas[ID],0)),"")</f>
        <v/>
      </c>
      <c r="N259" s="3">
        <f>IFERROR(IF(D259="DIA ÚTIL",INDEX(tblPessoas[R$/h útil],MATCH(E259,tblPessoas[ID],0)),INDEX(tblPessoas[R$/h FDS],MATCH(E259,tblPessoas[ID],0))),0)</f>
        <v>0</v>
      </c>
      <c r="O259" s="3">
        <f>IFERROR(INDEX(tblPessoas[R$/diária],MATCH(E259,tblPessoas[ID],0)),0)</f>
        <v>0</v>
      </c>
      <c r="P259" s="3" t="str">
        <f t="shared" si="14"/>
        <v/>
      </c>
      <c r="Q259" t="str">
        <f>IF(A259="","",IF(COUNTIF(tblBatidas[Início vinculado],"B"&amp;MID($A259,2,99))=0,"EM ABERTO",IF(OR(COUNTIF(tblBatidas[Início vinculado],"B"&amp;MID($A259,2,99))&gt;1,K259&lt;0,K259&gt;16,INT(INDEX(tblBatidas[Data e hora],MATCH("B"&amp;MID($A259,2,99),tblBatidas[Início vinculado],0)))&lt;&gt;B259,INDEX(tblBatidas[ID],MATCH("B"&amp;MID($A259,2,99),tblBatidas[Início vinculado],0))&lt;&gt;E259,INDEX(tblBatidas[Projeto],MATCH("B"&amp;MID($A259,2,99),tblBatidas[Início vinculado],0))&lt;&gt;G259,INDEX(tblBatidas[Atividade],MATCH("B"&amp;MID($A259,2,99),tblBatidas[Início vinculado],0))&lt;&gt;H259),"REVISAR","CONCLUÍDO")))</f>
        <v/>
      </c>
      <c r="R259">
        <f>IF(Q259&lt;&gt;"CONCLUÍDO",0,IF(COUNTIFS($E$5:E259,E259,$B$5:B259,B259,$Q$5:Q259,"CONCLUÍDO")=1,1,0))</f>
        <v>0</v>
      </c>
      <c r="S259" t="str">
        <f t="shared" si="15"/>
        <v/>
      </c>
      <c r="T259" t="str">
        <f>IF(E259="","",E259*100000+COUNTIFS(tblRegistros[ID],E259,tblRegistros[Data],"&lt;"&amp;B259)+COUNTIFS(tblRegistros[ID],E259,tblRegistros[Data],B259,tblRegistros[Início],"&lt;"&amp;I259)+COUNTIFS($E$5:E259,E259,$B$5:B259,B259,$I$5:I259,I259))</f>
        <v/>
      </c>
    </row>
    <row r="260" spans="2:20">
      <c r="B260" s="2" t="str">
        <f>IFERROR(INT(INDEX(tblBatidas[Data e hora],MATCH("B"&amp;MID($A260,2,99),tblBatidas[Batida ID],0))),"")</f>
        <v/>
      </c>
      <c r="C260" t="str">
        <f t="shared" si="12"/>
        <v/>
      </c>
      <c r="D260" t="str">
        <f t="shared" si="13"/>
        <v/>
      </c>
      <c r="E260" t="str">
        <f>IFERROR(INDEX(tblBatidas[ID],MATCH("B"&amp;MID($A260,2,99),tblBatidas[Batida ID],0)),"")</f>
        <v/>
      </c>
      <c r="F260" t="str">
        <f>IFERROR(INDEX(tblPessoas[Pessoa],MATCH(E260,tblPessoas[ID],0)),"")</f>
        <v/>
      </c>
      <c r="G260" t="str">
        <f>IFERROR(INDEX(tblBatidas[Projeto],MATCH("B"&amp;MID($A260,2,99),tblBatidas[Batida ID],0)),"")</f>
        <v/>
      </c>
      <c r="H260" t="str">
        <f>IFERROR(INDEX(tblBatidas[Atividade],MATCH("B"&amp;MID($A260,2,99),tblBatidas[Batida ID],0)),"")</f>
        <v/>
      </c>
      <c r="I260" s="4" t="str">
        <f>IFERROR(MOD(INDEX(tblBatidas[Data e hora],MATCH("B"&amp;MID($A260,2,99),tblBatidas[Batida ID],0)),1),"")</f>
        <v/>
      </c>
      <c r="J260" s="4" t="str">
        <f>IFERROR(MOD(INDEX(tblBatidas[Data e hora],MATCH("B"&amp;MID($A260,2,99),tblBatidas[Início vinculado],0)),1),"")</f>
        <v/>
      </c>
      <c r="K260" s="14" t="str">
        <f>IFERROR((INDEX(tblBatidas[Data e hora],MATCH("B"&amp;MID($A260,2,99),tblBatidas[Início vinculado],0))-INDEX(tblBatidas[Data e hora],MATCH("B"&amp;MID($A260,2,99),tblBatidas[Batida ID],0)))*24,"")</f>
        <v/>
      </c>
      <c r="L260" t="str">
        <f>IFERROR(INDEX(tblBatidas[Observação],MATCH("B"&amp;MID($A260,2,99),tblBatidas[Início vinculado],0)),"")</f>
        <v/>
      </c>
      <c r="M260" t="str">
        <f>IFERROR(INDEX(tblPessoas[Base],MATCH(E260,tblPessoas[ID],0)),"")</f>
        <v/>
      </c>
      <c r="N260" s="3">
        <f>IFERROR(IF(D260="DIA ÚTIL",INDEX(tblPessoas[R$/h útil],MATCH(E260,tblPessoas[ID],0)),INDEX(tblPessoas[R$/h FDS],MATCH(E260,tblPessoas[ID],0))),0)</f>
        <v>0</v>
      </c>
      <c r="O260" s="3">
        <f>IFERROR(INDEX(tblPessoas[R$/diária],MATCH(E260,tblPessoas[ID],0)),0)</f>
        <v>0</v>
      </c>
      <c r="P260" s="3" t="str">
        <f t="shared" si="14"/>
        <v/>
      </c>
      <c r="Q260" t="str">
        <f>IF(A260="","",IF(COUNTIF(tblBatidas[Início vinculado],"B"&amp;MID($A260,2,99))=0,"EM ABERTO",IF(OR(COUNTIF(tblBatidas[Início vinculado],"B"&amp;MID($A260,2,99))&gt;1,K260&lt;0,K260&gt;16,INT(INDEX(tblBatidas[Data e hora],MATCH("B"&amp;MID($A260,2,99),tblBatidas[Início vinculado],0)))&lt;&gt;B260,INDEX(tblBatidas[ID],MATCH("B"&amp;MID($A260,2,99),tblBatidas[Início vinculado],0))&lt;&gt;E260,INDEX(tblBatidas[Projeto],MATCH("B"&amp;MID($A260,2,99),tblBatidas[Início vinculado],0))&lt;&gt;G260,INDEX(tblBatidas[Atividade],MATCH("B"&amp;MID($A260,2,99),tblBatidas[Início vinculado],0))&lt;&gt;H260),"REVISAR","CONCLUÍDO")))</f>
        <v/>
      </c>
      <c r="R260">
        <f>IF(Q260&lt;&gt;"CONCLUÍDO",0,IF(COUNTIFS($E$5:E260,E260,$B$5:B260,B260,$Q$5:Q260,"CONCLUÍDO")=1,1,0))</f>
        <v>0</v>
      </c>
      <c r="S260" t="str">
        <f t="shared" si="15"/>
        <v/>
      </c>
      <c r="T260" t="str">
        <f>IF(E260="","",E260*100000+COUNTIFS(tblRegistros[ID],E260,tblRegistros[Data],"&lt;"&amp;B260)+COUNTIFS(tblRegistros[ID],E260,tblRegistros[Data],B260,tblRegistros[Início],"&lt;"&amp;I260)+COUNTIFS($E$5:E260,E260,$B$5:B260,B260,$I$5:I260,I260))</f>
        <v/>
      </c>
    </row>
    <row r="261" spans="2:20">
      <c r="B261" s="2" t="str">
        <f>IFERROR(INT(INDEX(tblBatidas[Data e hora],MATCH("B"&amp;MID($A261,2,99),tblBatidas[Batida ID],0))),"")</f>
        <v/>
      </c>
      <c r="C261" t="str">
        <f t="shared" ref="C261:C324" si="16">IF(B261="","",CHOOSE(WEEKDAY(B261,2),"SEGUNDA-FEIRA","TERÇA-FEIRA","QUARTA-FEIRA","QUINTA-FEIRA","SEXTA-FEIRA","SÁBADO","DOMINGO"))</f>
        <v/>
      </c>
      <c r="D261" t="str">
        <f t="shared" ref="D261:D324" si="17">IF(B261="","",IF(WEEKDAY(B261,2)&gt;5,"FDS/FERIADO","DIA ÚTIL"))</f>
        <v/>
      </c>
      <c r="E261" t="str">
        <f>IFERROR(INDEX(tblBatidas[ID],MATCH("B"&amp;MID($A261,2,99),tblBatidas[Batida ID],0)),"")</f>
        <v/>
      </c>
      <c r="F261" t="str">
        <f>IFERROR(INDEX(tblPessoas[Pessoa],MATCH(E261,tblPessoas[ID],0)),"")</f>
        <v/>
      </c>
      <c r="G261" t="str">
        <f>IFERROR(INDEX(tblBatidas[Projeto],MATCH("B"&amp;MID($A261,2,99),tblBatidas[Batida ID],0)),"")</f>
        <v/>
      </c>
      <c r="H261" t="str">
        <f>IFERROR(INDEX(tblBatidas[Atividade],MATCH("B"&amp;MID($A261,2,99),tblBatidas[Batida ID],0)),"")</f>
        <v/>
      </c>
      <c r="I261" s="4" t="str">
        <f>IFERROR(MOD(INDEX(tblBatidas[Data e hora],MATCH("B"&amp;MID($A261,2,99),tblBatidas[Batida ID],0)),1),"")</f>
        <v/>
      </c>
      <c r="J261" s="4" t="str">
        <f>IFERROR(MOD(INDEX(tblBatidas[Data e hora],MATCH("B"&amp;MID($A261,2,99),tblBatidas[Início vinculado],0)),1),"")</f>
        <v/>
      </c>
      <c r="K261" s="14" t="str">
        <f>IFERROR((INDEX(tblBatidas[Data e hora],MATCH("B"&amp;MID($A261,2,99),tblBatidas[Início vinculado],0))-INDEX(tblBatidas[Data e hora],MATCH("B"&amp;MID($A261,2,99),tblBatidas[Batida ID],0)))*24,"")</f>
        <v/>
      </c>
      <c r="L261" t="str">
        <f>IFERROR(INDEX(tblBatidas[Observação],MATCH("B"&amp;MID($A261,2,99),tblBatidas[Início vinculado],0)),"")</f>
        <v/>
      </c>
      <c r="M261" t="str">
        <f>IFERROR(INDEX(tblPessoas[Base],MATCH(E261,tblPessoas[ID],0)),"")</f>
        <v/>
      </c>
      <c r="N261" s="3">
        <f>IFERROR(IF(D261="DIA ÚTIL",INDEX(tblPessoas[R$/h útil],MATCH(E261,tblPessoas[ID],0)),INDEX(tblPessoas[R$/h FDS],MATCH(E261,tblPessoas[ID],0))),0)</f>
        <v>0</v>
      </c>
      <c r="O261" s="3">
        <f>IFERROR(INDEX(tblPessoas[R$/diária],MATCH(E261,tblPessoas[ID],0)),0)</f>
        <v>0</v>
      </c>
      <c r="P261" s="3" t="str">
        <f t="shared" ref="P261:P324" si="18">IF(Q261&lt;&gt;"CONCLUÍDO","",IF(M261="Diária",O261*R261,K261*N261))</f>
        <v/>
      </c>
      <c r="Q261" t="str">
        <f>IF(A261="","",IF(COUNTIF(tblBatidas[Início vinculado],"B"&amp;MID($A261,2,99))=0,"EM ABERTO",IF(OR(COUNTIF(tblBatidas[Início vinculado],"B"&amp;MID($A261,2,99))&gt;1,K261&lt;0,K261&gt;16,INT(INDEX(tblBatidas[Data e hora],MATCH("B"&amp;MID($A261,2,99),tblBatidas[Início vinculado],0)))&lt;&gt;B261,INDEX(tblBatidas[ID],MATCH("B"&amp;MID($A261,2,99),tblBatidas[Início vinculado],0))&lt;&gt;E261,INDEX(tblBatidas[Projeto],MATCH("B"&amp;MID($A261,2,99),tblBatidas[Início vinculado],0))&lt;&gt;G261,INDEX(tblBatidas[Atividade],MATCH("B"&amp;MID($A261,2,99),tblBatidas[Início vinculado],0))&lt;&gt;H261),"REVISAR","CONCLUÍDO")))</f>
        <v/>
      </c>
      <c r="R261">
        <f>IF(Q261&lt;&gt;"CONCLUÍDO",0,IF(COUNTIFS($E$5:E261,E261,$B$5:B261,B261,$Q$5:Q261,"CONCLUÍDO")=1,1,0))</f>
        <v>0</v>
      </c>
      <c r="S261" t="str">
        <f t="shared" ref="S261:S324" si="19">IF(B261="","",TEXT(B261,"yyyy-mm"))</f>
        <v/>
      </c>
      <c r="T261" t="str">
        <f>IF(E261="","",E261*100000+COUNTIFS(tblRegistros[ID],E261,tblRegistros[Data],"&lt;"&amp;B261)+COUNTIFS(tblRegistros[ID],E261,tblRegistros[Data],B261,tblRegistros[Início],"&lt;"&amp;I261)+COUNTIFS($E$5:E261,E261,$B$5:B261,B261,$I$5:I261,I261))</f>
        <v/>
      </c>
    </row>
    <row r="262" spans="2:20">
      <c r="B262" s="2" t="str">
        <f>IFERROR(INT(INDEX(tblBatidas[Data e hora],MATCH("B"&amp;MID($A262,2,99),tblBatidas[Batida ID],0))),"")</f>
        <v/>
      </c>
      <c r="C262" t="str">
        <f t="shared" si="16"/>
        <v/>
      </c>
      <c r="D262" t="str">
        <f t="shared" si="17"/>
        <v/>
      </c>
      <c r="E262" t="str">
        <f>IFERROR(INDEX(tblBatidas[ID],MATCH("B"&amp;MID($A262,2,99),tblBatidas[Batida ID],0)),"")</f>
        <v/>
      </c>
      <c r="F262" t="str">
        <f>IFERROR(INDEX(tblPessoas[Pessoa],MATCH(E262,tblPessoas[ID],0)),"")</f>
        <v/>
      </c>
      <c r="G262" t="str">
        <f>IFERROR(INDEX(tblBatidas[Projeto],MATCH("B"&amp;MID($A262,2,99),tblBatidas[Batida ID],0)),"")</f>
        <v/>
      </c>
      <c r="H262" t="str">
        <f>IFERROR(INDEX(tblBatidas[Atividade],MATCH("B"&amp;MID($A262,2,99),tblBatidas[Batida ID],0)),"")</f>
        <v/>
      </c>
      <c r="I262" s="4" t="str">
        <f>IFERROR(MOD(INDEX(tblBatidas[Data e hora],MATCH("B"&amp;MID($A262,2,99),tblBatidas[Batida ID],0)),1),"")</f>
        <v/>
      </c>
      <c r="J262" s="4" t="str">
        <f>IFERROR(MOD(INDEX(tblBatidas[Data e hora],MATCH("B"&amp;MID($A262,2,99),tblBatidas[Início vinculado],0)),1),"")</f>
        <v/>
      </c>
      <c r="K262" s="14" t="str">
        <f>IFERROR((INDEX(tblBatidas[Data e hora],MATCH("B"&amp;MID($A262,2,99),tblBatidas[Início vinculado],0))-INDEX(tblBatidas[Data e hora],MATCH("B"&amp;MID($A262,2,99),tblBatidas[Batida ID],0)))*24,"")</f>
        <v/>
      </c>
      <c r="L262" t="str">
        <f>IFERROR(INDEX(tblBatidas[Observação],MATCH("B"&amp;MID($A262,2,99),tblBatidas[Início vinculado],0)),"")</f>
        <v/>
      </c>
      <c r="M262" t="str">
        <f>IFERROR(INDEX(tblPessoas[Base],MATCH(E262,tblPessoas[ID],0)),"")</f>
        <v/>
      </c>
      <c r="N262" s="3">
        <f>IFERROR(IF(D262="DIA ÚTIL",INDEX(tblPessoas[R$/h útil],MATCH(E262,tblPessoas[ID],0)),INDEX(tblPessoas[R$/h FDS],MATCH(E262,tblPessoas[ID],0))),0)</f>
        <v>0</v>
      </c>
      <c r="O262" s="3">
        <f>IFERROR(INDEX(tblPessoas[R$/diária],MATCH(E262,tblPessoas[ID],0)),0)</f>
        <v>0</v>
      </c>
      <c r="P262" s="3" t="str">
        <f t="shared" si="18"/>
        <v/>
      </c>
      <c r="Q262" t="str">
        <f>IF(A262="","",IF(COUNTIF(tblBatidas[Início vinculado],"B"&amp;MID($A262,2,99))=0,"EM ABERTO",IF(OR(COUNTIF(tblBatidas[Início vinculado],"B"&amp;MID($A262,2,99))&gt;1,K262&lt;0,K262&gt;16,INT(INDEX(tblBatidas[Data e hora],MATCH("B"&amp;MID($A262,2,99),tblBatidas[Início vinculado],0)))&lt;&gt;B262,INDEX(tblBatidas[ID],MATCH("B"&amp;MID($A262,2,99),tblBatidas[Início vinculado],0))&lt;&gt;E262,INDEX(tblBatidas[Projeto],MATCH("B"&amp;MID($A262,2,99),tblBatidas[Início vinculado],0))&lt;&gt;G262,INDEX(tblBatidas[Atividade],MATCH("B"&amp;MID($A262,2,99),tblBatidas[Início vinculado],0))&lt;&gt;H262),"REVISAR","CONCLUÍDO")))</f>
        <v/>
      </c>
      <c r="R262">
        <f>IF(Q262&lt;&gt;"CONCLUÍDO",0,IF(COUNTIFS($E$5:E262,E262,$B$5:B262,B262,$Q$5:Q262,"CONCLUÍDO")=1,1,0))</f>
        <v>0</v>
      </c>
      <c r="S262" t="str">
        <f t="shared" si="19"/>
        <v/>
      </c>
      <c r="T262" t="str">
        <f>IF(E262="","",E262*100000+COUNTIFS(tblRegistros[ID],E262,tblRegistros[Data],"&lt;"&amp;B262)+COUNTIFS(tblRegistros[ID],E262,tblRegistros[Data],B262,tblRegistros[Início],"&lt;"&amp;I262)+COUNTIFS($E$5:E262,E262,$B$5:B262,B262,$I$5:I262,I262))</f>
        <v/>
      </c>
    </row>
    <row r="263" spans="2:20">
      <c r="B263" s="2" t="str">
        <f>IFERROR(INT(INDEX(tblBatidas[Data e hora],MATCH("B"&amp;MID($A263,2,99),tblBatidas[Batida ID],0))),"")</f>
        <v/>
      </c>
      <c r="C263" t="str">
        <f t="shared" si="16"/>
        <v/>
      </c>
      <c r="D263" t="str">
        <f t="shared" si="17"/>
        <v/>
      </c>
      <c r="E263" t="str">
        <f>IFERROR(INDEX(tblBatidas[ID],MATCH("B"&amp;MID($A263,2,99),tblBatidas[Batida ID],0)),"")</f>
        <v/>
      </c>
      <c r="F263" t="str">
        <f>IFERROR(INDEX(tblPessoas[Pessoa],MATCH(E263,tblPessoas[ID],0)),"")</f>
        <v/>
      </c>
      <c r="G263" t="str">
        <f>IFERROR(INDEX(tblBatidas[Projeto],MATCH("B"&amp;MID($A263,2,99),tblBatidas[Batida ID],0)),"")</f>
        <v/>
      </c>
      <c r="H263" t="str">
        <f>IFERROR(INDEX(tblBatidas[Atividade],MATCH("B"&amp;MID($A263,2,99),tblBatidas[Batida ID],0)),"")</f>
        <v/>
      </c>
      <c r="I263" s="4" t="str">
        <f>IFERROR(MOD(INDEX(tblBatidas[Data e hora],MATCH("B"&amp;MID($A263,2,99),tblBatidas[Batida ID],0)),1),"")</f>
        <v/>
      </c>
      <c r="J263" s="4" t="str">
        <f>IFERROR(MOD(INDEX(tblBatidas[Data e hora],MATCH("B"&amp;MID($A263,2,99),tblBatidas[Início vinculado],0)),1),"")</f>
        <v/>
      </c>
      <c r="K263" s="14" t="str">
        <f>IFERROR((INDEX(tblBatidas[Data e hora],MATCH("B"&amp;MID($A263,2,99),tblBatidas[Início vinculado],0))-INDEX(tblBatidas[Data e hora],MATCH("B"&amp;MID($A263,2,99),tblBatidas[Batida ID],0)))*24,"")</f>
        <v/>
      </c>
      <c r="L263" t="str">
        <f>IFERROR(INDEX(tblBatidas[Observação],MATCH("B"&amp;MID($A263,2,99),tblBatidas[Início vinculado],0)),"")</f>
        <v/>
      </c>
      <c r="M263" t="str">
        <f>IFERROR(INDEX(tblPessoas[Base],MATCH(E263,tblPessoas[ID],0)),"")</f>
        <v/>
      </c>
      <c r="N263" s="3">
        <f>IFERROR(IF(D263="DIA ÚTIL",INDEX(tblPessoas[R$/h útil],MATCH(E263,tblPessoas[ID],0)),INDEX(tblPessoas[R$/h FDS],MATCH(E263,tblPessoas[ID],0))),0)</f>
        <v>0</v>
      </c>
      <c r="O263" s="3">
        <f>IFERROR(INDEX(tblPessoas[R$/diária],MATCH(E263,tblPessoas[ID],0)),0)</f>
        <v>0</v>
      </c>
      <c r="P263" s="3" t="str">
        <f t="shared" si="18"/>
        <v/>
      </c>
      <c r="Q263" t="str">
        <f>IF(A263="","",IF(COUNTIF(tblBatidas[Início vinculado],"B"&amp;MID($A263,2,99))=0,"EM ABERTO",IF(OR(COUNTIF(tblBatidas[Início vinculado],"B"&amp;MID($A263,2,99))&gt;1,K263&lt;0,K263&gt;16,INT(INDEX(tblBatidas[Data e hora],MATCH("B"&amp;MID($A263,2,99),tblBatidas[Início vinculado],0)))&lt;&gt;B263,INDEX(tblBatidas[ID],MATCH("B"&amp;MID($A263,2,99),tblBatidas[Início vinculado],0))&lt;&gt;E263,INDEX(tblBatidas[Projeto],MATCH("B"&amp;MID($A263,2,99),tblBatidas[Início vinculado],0))&lt;&gt;G263,INDEX(tblBatidas[Atividade],MATCH("B"&amp;MID($A263,2,99),tblBatidas[Início vinculado],0))&lt;&gt;H263),"REVISAR","CONCLUÍDO")))</f>
        <v/>
      </c>
      <c r="R263">
        <f>IF(Q263&lt;&gt;"CONCLUÍDO",0,IF(COUNTIFS($E$5:E263,E263,$B$5:B263,B263,$Q$5:Q263,"CONCLUÍDO")=1,1,0))</f>
        <v>0</v>
      </c>
      <c r="S263" t="str">
        <f t="shared" si="19"/>
        <v/>
      </c>
      <c r="T263" t="str">
        <f>IF(E263="","",E263*100000+COUNTIFS(tblRegistros[ID],E263,tblRegistros[Data],"&lt;"&amp;B263)+COUNTIFS(tblRegistros[ID],E263,tblRegistros[Data],B263,tblRegistros[Início],"&lt;"&amp;I263)+COUNTIFS($E$5:E263,E263,$B$5:B263,B263,$I$5:I263,I263))</f>
        <v/>
      </c>
    </row>
    <row r="264" spans="2:20">
      <c r="B264" s="2" t="str">
        <f>IFERROR(INT(INDEX(tblBatidas[Data e hora],MATCH("B"&amp;MID($A264,2,99),tblBatidas[Batida ID],0))),"")</f>
        <v/>
      </c>
      <c r="C264" t="str">
        <f t="shared" si="16"/>
        <v/>
      </c>
      <c r="D264" t="str">
        <f t="shared" si="17"/>
        <v/>
      </c>
      <c r="E264" t="str">
        <f>IFERROR(INDEX(tblBatidas[ID],MATCH("B"&amp;MID($A264,2,99),tblBatidas[Batida ID],0)),"")</f>
        <v/>
      </c>
      <c r="F264" t="str">
        <f>IFERROR(INDEX(tblPessoas[Pessoa],MATCH(E264,tblPessoas[ID],0)),"")</f>
        <v/>
      </c>
      <c r="G264" t="str">
        <f>IFERROR(INDEX(tblBatidas[Projeto],MATCH("B"&amp;MID($A264,2,99),tblBatidas[Batida ID],0)),"")</f>
        <v/>
      </c>
      <c r="H264" t="str">
        <f>IFERROR(INDEX(tblBatidas[Atividade],MATCH("B"&amp;MID($A264,2,99),tblBatidas[Batida ID],0)),"")</f>
        <v/>
      </c>
      <c r="I264" s="4" t="str">
        <f>IFERROR(MOD(INDEX(tblBatidas[Data e hora],MATCH("B"&amp;MID($A264,2,99),tblBatidas[Batida ID],0)),1),"")</f>
        <v/>
      </c>
      <c r="J264" s="4" t="str">
        <f>IFERROR(MOD(INDEX(tblBatidas[Data e hora],MATCH("B"&amp;MID($A264,2,99),tblBatidas[Início vinculado],0)),1),"")</f>
        <v/>
      </c>
      <c r="K264" s="14" t="str">
        <f>IFERROR((INDEX(tblBatidas[Data e hora],MATCH("B"&amp;MID($A264,2,99),tblBatidas[Início vinculado],0))-INDEX(tblBatidas[Data e hora],MATCH("B"&amp;MID($A264,2,99),tblBatidas[Batida ID],0)))*24,"")</f>
        <v/>
      </c>
      <c r="L264" t="str">
        <f>IFERROR(INDEX(tblBatidas[Observação],MATCH("B"&amp;MID($A264,2,99),tblBatidas[Início vinculado],0)),"")</f>
        <v/>
      </c>
      <c r="M264" t="str">
        <f>IFERROR(INDEX(tblPessoas[Base],MATCH(E264,tblPessoas[ID],0)),"")</f>
        <v/>
      </c>
      <c r="N264" s="3">
        <f>IFERROR(IF(D264="DIA ÚTIL",INDEX(tblPessoas[R$/h útil],MATCH(E264,tblPessoas[ID],0)),INDEX(tblPessoas[R$/h FDS],MATCH(E264,tblPessoas[ID],0))),0)</f>
        <v>0</v>
      </c>
      <c r="O264" s="3">
        <f>IFERROR(INDEX(tblPessoas[R$/diária],MATCH(E264,tblPessoas[ID],0)),0)</f>
        <v>0</v>
      </c>
      <c r="P264" s="3" t="str">
        <f t="shared" si="18"/>
        <v/>
      </c>
      <c r="Q264" t="str">
        <f>IF(A264="","",IF(COUNTIF(tblBatidas[Início vinculado],"B"&amp;MID($A264,2,99))=0,"EM ABERTO",IF(OR(COUNTIF(tblBatidas[Início vinculado],"B"&amp;MID($A264,2,99))&gt;1,K264&lt;0,K264&gt;16,INT(INDEX(tblBatidas[Data e hora],MATCH("B"&amp;MID($A264,2,99),tblBatidas[Início vinculado],0)))&lt;&gt;B264,INDEX(tblBatidas[ID],MATCH("B"&amp;MID($A264,2,99),tblBatidas[Início vinculado],0))&lt;&gt;E264,INDEX(tblBatidas[Projeto],MATCH("B"&amp;MID($A264,2,99),tblBatidas[Início vinculado],0))&lt;&gt;G264,INDEX(tblBatidas[Atividade],MATCH("B"&amp;MID($A264,2,99),tblBatidas[Início vinculado],0))&lt;&gt;H264),"REVISAR","CONCLUÍDO")))</f>
        <v/>
      </c>
      <c r="R264">
        <f>IF(Q264&lt;&gt;"CONCLUÍDO",0,IF(COUNTIFS($E$5:E264,E264,$B$5:B264,B264,$Q$5:Q264,"CONCLUÍDO")=1,1,0))</f>
        <v>0</v>
      </c>
      <c r="S264" t="str">
        <f t="shared" si="19"/>
        <v/>
      </c>
      <c r="T264" t="str">
        <f>IF(E264="","",E264*100000+COUNTIFS(tblRegistros[ID],E264,tblRegistros[Data],"&lt;"&amp;B264)+COUNTIFS(tblRegistros[ID],E264,tblRegistros[Data],B264,tblRegistros[Início],"&lt;"&amp;I264)+COUNTIFS($E$5:E264,E264,$B$5:B264,B264,$I$5:I264,I264))</f>
        <v/>
      </c>
    </row>
    <row r="265" spans="2:20">
      <c r="B265" s="2" t="str">
        <f>IFERROR(INT(INDEX(tblBatidas[Data e hora],MATCH("B"&amp;MID($A265,2,99),tblBatidas[Batida ID],0))),"")</f>
        <v/>
      </c>
      <c r="C265" t="str">
        <f t="shared" si="16"/>
        <v/>
      </c>
      <c r="D265" t="str">
        <f t="shared" si="17"/>
        <v/>
      </c>
      <c r="E265" t="str">
        <f>IFERROR(INDEX(tblBatidas[ID],MATCH("B"&amp;MID($A265,2,99),tblBatidas[Batida ID],0)),"")</f>
        <v/>
      </c>
      <c r="F265" t="str">
        <f>IFERROR(INDEX(tblPessoas[Pessoa],MATCH(E265,tblPessoas[ID],0)),"")</f>
        <v/>
      </c>
      <c r="G265" t="str">
        <f>IFERROR(INDEX(tblBatidas[Projeto],MATCH("B"&amp;MID($A265,2,99),tblBatidas[Batida ID],0)),"")</f>
        <v/>
      </c>
      <c r="H265" t="str">
        <f>IFERROR(INDEX(tblBatidas[Atividade],MATCH("B"&amp;MID($A265,2,99),tblBatidas[Batida ID],0)),"")</f>
        <v/>
      </c>
      <c r="I265" s="4" t="str">
        <f>IFERROR(MOD(INDEX(tblBatidas[Data e hora],MATCH("B"&amp;MID($A265,2,99),tblBatidas[Batida ID],0)),1),"")</f>
        <v/>
      </c>
      <c r="J265" s="4" t="str">
        <f>IFERROR(MOD(INDEX(tblBatidas[Data e hora],MATCH("B"&amp;MID($A265,2,99),tblBatidas[Início vinculado],0)),1),"")</f>
        <v/>
      </c>
      <c r="K265" s="14" t="str">
        <f>IFERROR((INDEX(tblBatidas[Data e hora],MATCH("B"&amp;MID($A265,2,99),tblBatidas[Início vinculado],0))-INDEX(tblBatidas[Data e hora],MATCH("B"&amp;MID($A265,2,99),tblBatidas[Batida ID],0)))*24,"")</f>
        <v/>
      </c>
      <c r="L265" t="str">
        <f>IFERROR(INDEX(tblBatidas[Observação],MATCH("B"&amp;MID($A265,2,99),tblBatidas[Início vinculado],0)),"")</f>
        <v/>
      </c>
      <c r="M265" t="str">
        <f>IFERROR(INDEX(tblPessoas[Base],MATCH(E265,tblPessoas[ID],0)),"")</f>
        <v/>
      </c>
      <c r="N265" s="3">
        <f>IFERROR(IF(D265="DIA ÚTIL",INDEX(tblPessoas[R$/h útil],MATCH(E265,tblPessoas[ID],0)),INDEX(tblPessoas[R$/h FDS],MATCH(E265,tblPessoas[ID],0))),0)</f>
        <v>0</v>
      </c>
      <c r="O265" s="3">
        <f>IFERROR(INDEX(tblPessoas[R$/diária],MATCH(E265,tblPessoas[ID],0)),0)</f>
        <v>0</v>
      </c>
      <c r="P265" s="3" t="str">
        <f t="shared" si="18"/>
        <v/>
      </c>
      <c r="Q265" t="str">
        <f>IF(A265="","",IF(COUNTIF(tblBatidas[Início vinculado],"B"&amp;MID($A265,2,99))=0,"EM ABERTO",IF(OR(COUNTIF(tblBatidas[Início vinculado],"B"&amp;MID($A265,2,99))&gt;1,K265&lt;0,K265&gt;16,INT(INDEX(tblBatidas[Data e hora],MATCH("B"&amp;MID($A265,2,99),tblBatidas[Início vinculado],0)))&lt;&gt;B265,INDEX(tblBatidas[ID],MATCH("B"&amp;MID($A265,2,99),tblBatidas[Início vinculado],0))&lt;&gt;E265,INDEX(tblBatidas[Projeto],MATCH("B"&amp;MID($A265,2,99),tblBatidas[Início vinculado],0))&lt;&gt;G265,INDEX(tblBatidas[Atividade],MATCH("B"&amp;MID($A265,2,99),tblBatidas[Início vinculado],0))&lt;&gt;H265),"REVISAR","CONCLUÍDO")))</f>
        <v/>
      </c>
      <c r="R265">
        <f>IF(Q265&lt;&gt;"CONCLUÍDO",0,IF(COUNTIFS($E$5:E265,E265,$B$5:B265,B265,$Q$5:Q265,"CONCLUÍDO")=1,1,0))</f>
        <v>0</v>
      </c>
      <c r="S265" t="str">
        <f t="shared" si="19"/>
        <v/>
      </c>
      <c r="T265" t="str">
        <f>IF(E265="","",E265*100000+COUNTIFS(tblRegistros[ID],E265,tblRegistros[Data],"&lt;"&amp;B265)+COUNTIFS(tblRegistros[ID],E265,tblRegistros[Data],B265,tblRegistros[Início],"&lt;"&amp;I265)+COUNTIFS($E$5:E265,E265,$B$5:B265,B265,$I$5:I265,I265))</f>
        <v/>
      </c>
    </row>
    <row r="266" spans="2:20">
      <c r="B266" s="2" t="str">
        <f>IFERROR(INT(INDEX(tblBatidas[Data e hora],MATCH("B"&amp;MID($A266,2,99),tblBatidas[Batida ID],0))),"")</f>
        <v/>
      </c>
      <c r="C266" t="str">
        <f t="shared" si="16"/>
        <v/>
      </c>
      <c r="D266" t="str">
        <f t="shared" si="17"/>
        <v/>
      </c>
      <c r="E266" t="str">
        <f>IFERROR(INDEX(tblBatidas[ID],MATCH("B"&amp;MID($A266,2,99),tblBatidas[Batida ID],0)),"")</f>
        <v/>
      </c>
      <c r="F266" t="str">
        <f>IFERROR(INDEX(tblPessoas[Pessoa],MATCH(E266,tblPessoas[ID],0)),"")</f>
        <v/>
      </c>
      <c r="G266" t="str">
        <f>IFERROR(INDEX(tblBatidas[Projeto],MATCH("B"&amp;MID($A266,2,99),tblBatidas[Batida ID],0)),"")</f>
        <v/>
      </c>
      <c r="H266" t="str">
        <f>IFERROR(INDEX(tblBatidas[Atividade],MATCH("B"&amp;MID($A266,2,99),tblBatidas[Batida ID],0)),"")</f>
        <v/>
      </c>
      <c r="I266" s="4" t="str">
        <f>IFERROR(MOD(INDEX(tblBatidas[Data e hora],MATCH("B"&amp;MID($A266,2,99),tblBatidas[Batida ID],0)),1),"")</f>
        <v/>
      </c>
      <c r="J266" s="4" t="str">
        <f>IFERROR(MOD(INDEX(tblBatidas[Data e hora],MATCH("B"&amp;MID($A266,2,99),tblBatidas[Início vinculado],0)),1),"")</f>
        <v/>
      </c>
      <c r="K266" s="14" t="str">
        <f>IFERROR((INDEX(tblBatidas[Data e hora],MATCH("B"&amp;MID($A266,2,99),tblBatidas[Início vinculado],0))-INDEX(tblBatidas[Data e hora],MATCH("B"&amp;MID($A266,2,99),tblBatidas[Batida ID],0)))*24,"")</f>
        <v/>
      </c>
      <c r="L266" t="str">
        <f>IFERROR(INDEX(tblBatidas[Observação],MATCH("B"&amp;MID($A266,2,99),tblBatidas[Início vinculado],0)),"")</f>
        <v/>
      </c>
      <c r="M266" t="str">
        <f>IFERROR(INDEX(tblPessoas[Base],MATCH(E266,tblPessoas[ID],0)),"")</f>
        <v/>
      </c>
      <c r="N266" s="3">
        <f>IFERROR(IF(D266="DIA ÚTIL",INDEX(tblPessoas[R$/h útil],MATCH(E266,tblPessoas[ID],0)),INDEX(tblPessoas[R$/h FDS],MATCH(E266,tblPessoas[ID],0))),0)</f>
        <v>0</v>
      </c>
      <c r="O266" s="3">
        <f>IFERROR(INDEX(tblPessoas[R$/diária],MATCH(E266,tblPessoas[ID],0)),0)</f>
        <v>0</v>
      </c>
      <c r="P266" s="3" t="str">
        <f t="shared" si="18"/>
        <v/>
      </c>
      <c r="Q266" t="str">
        <f>IF(A266="","",IF(COUNTIF(tblBatidas[Início vinculado],"B"&amp;MID($A266,2,99))=0,"EM ABERTO",IF(OR(COUNTIF(tblBatidas[Início vinculado],"B"&amp;MID($A266,2,99))&gt;1,K266&lt;0,K266&gt;16,INT(INDEX(tblBatidas[Data e hora],MATCH("B"&amp;MID($A266,2,99),tblBatidas[Início vinculado],0)))&lt;&gt;B266,INDEX(tblBatidas[ID],MATCH("B"&amp;MID($A266,2,99),tblBatidas[Início vinculado],0))&lt;&gt;E266,INDEX(tblBatidas[Projeto],MATCH("B"&amp;MID($A266,2,99),tblBatidas[Início vinculado],0))&lt;&gt;G266,INDEX(tblBatidas[Atividade],MATCH("B"&amp;MID($A266,2,99),tblBatidas[Início vinculado],0))&lt;&gt;H266),"REVISAR","CONCLUÍDO")))</f>
        <v/>
      </c>
      <c r="R266">
        <f>IF(Q266&lt;&gt;"CONCLUÍDO",0,IF(COUNTIFS($E$5:E266,E266,$B$5:B266,B266,$Q$5:Q266,"CONCLUÍDO")=1,1,0))</f>
        <v>0</v>
      </c>
      <c r="S266" t="str">
        <f t="shared" si="19"/>
        <v/>
      </c>
      <c r="T266" t="str">
        <f>IF(E266="","",E266*100000+COUNTIFS(tblRegistros[ID],E266,tblRegistros[Data],"&lt;"&amp;B266)+COUNTIFS(tblRegistros[ID],E266,tblRegistros[Data],B266,tblRegistros[Início],"&lt;"&amp;I266)+COUNTIFS($E$5:E266,E266,$B$5:B266,B266,$I$5:I266,I266))</f>
        <v/>
      </c>
    </row>
    <row r="267" spans="2:20">
      <c r="B267" s="2" t="str">
        <f>IFERROR(INT(INDEX(tblBatidas[Data e hora],MATCH("B"&amp;MID($A267,2,99),tblBatidas[Batida ID],0))),"")</f>
        <v/>
      </c>
      <c r="C267" t="str">
        <f t="shared" si="16"/>
        <v/>
      </c>
      <c r="D267" t="str">
        <f t="shared" si="17"/>
        <v/>
      </c>
      <c r="E267" t="str">
        <f>IFERROR(INDEX(tblBatidas[ID],MATCH("B"&amp;MID($A267,2,99),tblBatidas[Batida ID],0)),"")</f>
        <v/>
      </c>
      <c r="F267" t="str">
        <f>IFERROR(INDEX(tblPessoas[Pessoa],MATCH(E267,tblPessoas[ID],0)),"")</f>
        <v/>
      </c>
      <c r="G267" t="str">
        <f>IFERROR(INDEX(tblBatidas[Projeto],MATCH("B"&amp;MID($A267,2,99),tblBatidas[Batida ID],0)),"")</f>
        <v/>
      </c>
      <c r="H267" t="str">
        <f>IFERROR(INDEX(tblBatidas[Atividade],MATCH("B"&amp;MID($A267,2,99),tblBatidas[Batida ID],0)),"")</f>
        <v/>
      </c>
      <c r="I267" s="4" t="str">
        <f>IFERROR(MOD(INDEX(tblBatidas[Data e hora],MATCH("B"&amp;MID($A267,2,99),tblBatidas[Batida ID],0)),1),"")</f>
        <v/>
      </c>
      <c r="J267" s="4" t="str">
        <f>IFERROR(MOD(INDEX(tblBatidas[Data e hora],MATCH("B"&amp;MID($A267,2,99),tblBatidas[Início vinculado],0)),1),"")</f>
        <v/>
      </c>
      <c r="K267" s="14" t="str">
        <f>IFERROR((INDEX(tblBatidas[Data e hora],MATCH("B"&amp;MID($A267,2,99),tblBatidas[Início vinculado],0))-INDEX(tblBatidas[Data e hora],MATCH("B"&amp;MID($A267,2,99),tblBatidas[Batida ID],0)))*24,"")</f>
        <v/>
      </c>
      <c r="L267" t="str">
        <f>IFERROR(INDEX(tblBatidas[Observação],MATCH("B"&amp;MID($A267,2,99),tblBatidas[Início vinculado],0)),"")</f>
        <v/>
      </c>
      <c r="M267" t="str">
        <f>IFERROR(INDEX(tblPessoas[Base],MATCH(E267,tblPessoas[ID],0)),"")</f>
        <v/>
      </c>
      <c r="N267" s="3">
        <f>IFERROR(IF(D267="DIA ÚTIL",INDEX(tblPessoas[R$/h útil],MATCH(E267,tblPessoas[ID],0)),INDEX(tblPessoas[R$/h FDS],MATCH(E267,tblPessoas[ID],0))),0)</f>
        <v>0</v>
      </c>
      <c r="O267" s="3">
        <f>IFERROR(INDEX(tblPessoas[R$/diária],MATCH(E267,tblPessoas[ID],0)),0)</f>
        <v>0</v>
      </c>
      <c r="P267" s="3" t="str">
        <f t="shared" si="18"/>
        <v/>
      </c>
      <c r="Q267" t="str">
        <f>IF(A267="","",IF(COUNTIF(tblBatidas[Início vinculado],"B"&amp;MID($A267,2,99))=0,"EM ABERTO",IF(OR(COUNTIF(tblBatidas[Início vinculado],"B"&amp;MID($A267,2,99))&gt;1,K267&lt;0,K267&gt;16,INT(INDEX(tblBatidas[Data e hora],MATCH("B"&amp;MID($A267,2,99),tblBatidas[Início vinculado],0)))&lt;&gt;B267,INDEX(tblBatidas[ID],MATCH("B"&amp;MID($A267,2,99),tblBatidas[Início vinculado],0))&lt;&gt;E267,INDEX(tblBatidas[Projeto],MATCH("B"&amp;MID($A267,2,99),tblBatidas[Início vinculado],0))&lt;&gt;G267,INDEX(tblBatidas[Atividade],MATCH("B"&amp;MID($A267,2,99),tblBatidas[Início vinculado],0))&lt;&gt;H267),"REVISAR","CONCLUÍDO")))</f>
        <v/>
      </c>
      <c r="R267">
        <f>IF(Q267&lt;&gt;"CONCLUÍDO",0,IF(COUNTIFS($E$5:E267,E267,$B$5:B267,B267,$Q$5:Q267,"CONCLUÍDO")=1,1,0))</f>
        <v>0</v>
      </c>
      <c r="S267" t="str">
        <f t="shared" si="19"/>
        <v/>
      </c>
      <c r="T267" t="str">
        <f>IF(E267="","",E267*100000+COUNTIFS(tblRegistros[ID],E267,tblRegistros[Data],"&lt;"&amp;B267)+COUNTIFS(tblRegistros[ID],E267,tblRegistros[Data],B267,tblRegistros[Início],"&lt;"&amp;I267)+COUNTIFS($E$5:E267,E267,$B$5:B267,B267,$I$5:I267,I267))</f>
        <v/>
      </c>
    </row>
    <row r="268" spans="2:20">
      <c r="B268" s="2" t="str">
        <f>IFERROR(INT(INDEX(tblBatidas[Data e hora],MATCH("B"&amp;MID($A268,2,99),tblBatidas[Batida ID],0))),"")</f>
        <v/>
      </c>
      <c r="C268" t="str">
        <f t="shared" si="16"/>
        <v/>
      </c>
      <c r="D268" t="str">
        <f t="shared" si="17"/>
        <v/>
      </c>
      <c r="E268" t="str">
        <f>IFERROR(INDEX(tblBatidas[ID],MATCH("B"&amp;MID($A268,2,99),tblBatidas[Batida ID],0)),"")</f>
        <v/>
      </c>
      <c r="F268" t="str">
        <f>IFERROR(INDEX(tblPessoas[Pessoa],MATCH(E268,tblPessoas[ID],0)),"")</f>
        <v/>
      </c>
      <c r="G268" t="str">
        <f>IFERROR(INDEX(tblBatidas[Projeto],MATCH("B"&amp;MID($A268,2,99),tblBatidas[Batida ID],0)),"")</f>
        <v/>
      </c>
      <c r="H268" t="str">
        <f>IFERROR(INDEX(tblBatidas[Atividade],MATCH("B"&amp;MID($A268,2,99),tblBatidas[Batida ID],0)),"")</f>
        <v/>
      </c>
      <c r="I268" s="4" t="str">
        <f>IFERROR(MOD(INDEX(tblBatidas[Data e hora],MATCH("B"&amp;MID($A268,2,99),tblBatidas[Batida ID],0)),1),"")</f>
        <v/>
      </c>
      <c r="J268" s="4" t="str">
        <f>IFERROR(MOD(INDEX(tblBatidas[Data e hora],MATCH("B"&amp;MID($A268,2,99),tblBatidas[Início vinculado],0)),1),"")</f>
        <v/>
      </c>
      <c r="K268" s="14" t="str">
        <f>IFERROR((INDEX(tblBatidas[Data e hora],MATCH("B"&amp;MID($A268,2,99),tblBatidas[Início vinculado],0))-INDEX(tblBatidas[Data e hora],MATCH("B"&amp;MID($A268,2,99),tblBatidas[Batida ID],0)))*24,"")</f>
        <v/>
      </c>
      <c r="L268" t="str">
        <f>IFERROR(INDEX(tblBatidas[Observação],MATCH("B"&amp;MID($A268,2,99),tblBatidas[Início vinculado],0)),"")</f>
        <v/>
      </c>
      <c r="M268" t="str">
        <f>IFERROR(INDEX(tblPessoas[Base],MATCH(E268,tblPessoas[ID],0)),"")</f>
        <v/>
      </c>
      <c r="N268" s="3">
        <f>IFERROR(IF(D268="DIA ÚTIL",INDEX(tblPessoas[R$/h útil],MATCH(E268,tblPessoas[ID],0)),INDEX(tblPessoas[R$/h FDS],MATCH(E268,tblPessoas[ID],0))),0)</f>
        <v>0</v>
      </c>
      <c r="O268" s="3">
        <f>IFERROR(INDEX(tblPessoas[R$/diária],MATCH(E268,tblPessoas[ID],0)),0)</f>
        <v>0</v>
      </c>
      <c r="P268" s="3" t="str">
        <f t="shared" si="18"/>
        <v/>
      </c>
      <c r="Q268" t="str">
        <f>IF(A268="","",IF(COUNTIF(tblBatidas[Início vinculado],"B"&amp;MID($A268,2,99))=0,"EM ABERTO",IF(OR(COUNTIF(tblBatidas[Início vinculado],"B"&amp;MID($A268,2,99))&gt;1,K268&lt;0,K268&gt;16,INT(INDEX(tblBatidas[Data e hora],MATCH("B"&amp;MID($A268,2,99),tblBatidas[Início vinculado],0)))&lt;&gt;B268,INDEX(tblBatidas[ID],MATCH("B"&amp;MID($A268,2,99),tblBatidas[Início vinculado],0))&lt;&gt;E268,INDEX(tblBatidas[Projeto],MATCH("B"&amp;MID($A268,2,99),tblBatidas[Início vinculado],0))&lt;&gt;G268,INDEX(tblBatidas[Atividade],MATCH("B"&amp;MID($A268,2,99),tblBatidas[Início vinculado],0))&lt;&gt;H268),"REVISAR","CONCLUÍDO")))</f>
        <v/>
      </c>
      <c r="R268">
        <f>IF(Q268&lt;&gt;"CONCLUÍDO",0,IF(COUNTIFS($E$5:E268,E268,$B$5:B268,B268,$Q$5:Q268,"CONCLUÍDO")=1,1,0))</f>
        <v>0</v>
      </c>
      <c r="S268" t="str">
        <f t="shared" si="19"/>
        <v/>
      </c>
      <c r="T268" t="str">
        <f>IF(E268="","",E268*100000+COUNTIFS(tblRegistros[ID],E268,tblRegistros[Data],"&lt;"&amp;B268)+COUNTIFS(tblRegistros[ID],E268,tblRegistros[Data],B268,tblRegistros[Início],"&lt;"&amp;I268)+COUNTIFS($E$5:E268,E268,$B$5:B268,B268,$I$5:I268,I268))</f>
        <v/>
      </c>
    </row>
    <row r="269" spans="2:20">
      <c r="B269" s="2" t="str">
        <f>IFERROR(INT(INDEX(tblBatidas[Data e hora],MATCH("B"&amp;MID($A269,2,99),tblBatidas[Batida ID],0))),"")</f>
        <v/>
      </c>
      <c r="C269" t="str">
        <f t="shared" si="16"/>
        <v/>
      </c>
      <c r="D269" t="str">
        <f t="shared" si="17"/>
        <v/>
      </c>
      <c r="E269" t="str">
        <f>IFERROR(INDEX(tblBatidas[ID],MATCH("B"&amp;MID($A269,2,99),tblBatidas[Batida ID],0)),"")</f>
        <v/>
      </c>
      <c r="F269" t="str">
        <f>IFERROR(INDEX(tblPessoas[Pessoa],MATCH(E269,tblPessoas[ID],0)),"")</f>
        <v/>
      </c>
      <c r="G269" t="str">
        <f>IFERROR(INDEX(tblBatidas[Projeto],MATCH("B"&amp;MID($A269,2,99),tblBatidas[Batida ID],0)),"")</f>
        <v/>
      </c>
      <c r="H269" t="str">
        <f>IFERROR(INDEX(tblBatidas[Atividade],MATCH("B"&amp;MID($A269,2,99),tblBatidas[Batida ID],0)),"")</f>
        <v/>
      </c>
      <c r="I269" s="4" t="str">
        <f>IFERROR(MOD(INDEX(tblBatidas[Data e hora],MATCH("B"&amp;MID($A269,2,99),tblBatidas[Batida ID],0)),1),"")</f>
        <v/>
      </c>
      <c r="J269" s="4" t="str">
        <f>IFERROR(MOD(INDEX(tblBatidas[Data e hora],MATCH("B"&amp;MID($A269,2,99),tblBatidas[Início vinculado],0)),1),"")</f>
        <v/>
      </c>
      <c r="K269" s="14" t="str">
        <f>IFERROR((INDEX(tblBatidas[Data e hora],MATCH("B"&amp;MID($A269,2,99),tblBatidas[Início vinculado],0))-INDEX(tblBatidas[Data e hora],MATCH("B"&amp;MID($A269,2,99),tblBatidas[Batida ID],0)))*24,"")</f>
        <v/>
      </c>
      <c r="L269" t="str">
        <f>IFERROR(INDEX(tblBatidas[Observação],MATCH("B"&amp;MID($A269,2,99),tblBatidas[Início vinculado],0)),"")</f>
        <v/>
      </c>
      <c r="M269" t="str">
        <f>IFERROR(INDEX(tblPessoas[Base],MATCH(E269,tblPessoas[ID],0)),"")</f>
        <v/>
      </c>
      <c r="N269" s="3">
        <f>IFERROR(IF(D269="DIA ÚTIL",INDEX(tblPessoas[R$/h útil],MATCH(E269,tblPessoas[ID],0)),INDEX(tblPessoas[R$/h FDS],MATCH(E269,tblPessoas[ID],0))),0)</f>
        <v>0</v>
      </c>
      <c r="O269" s="3">
        <f>IFERROR(INDEX(tblPessoas[R$/diária],MATCH(E269,tblPessoas[ID],0)),0)</f>
        <v>0</v>
      </c>
      <c r="P269" s="3" t="str">
        <f t="shared" si="18"/>
        <v/>
      </c>
      <c r="Q269" t="str">
        <f>IF(A269="","",IF(COUNTIF(tblBatidas[Início vinculado],"B"&amp;MID($A269,2,99))=0,"EM ABERTO",IF(OR(COUNTIF(tblBatidas[Início vinculado],"B"&amp;MID($A269,2,99))&gt;1,K269&lt;0,K269&gt;16,INT(INDEX(tblBatidas[Data e hora],MATCH("B"&amp;MID($A269,2,99),tblBatidas[Início vinculado],0)))&lt;&gt;B269,INDEX(tblBatidas[ID],MATCH("B"&amp;MID($A269,2,99),tblBatidas[Início vinculado],0))&lt;&gt;E269,INDEX(tblBatidas[Projeto],MATCH("B"&amp;MID($A269,2,99),tblBatidas[Início vinculado],0))&lt;&gt;G269,INDEX(tblBatidas[Atividade],MATCH("B"&amp;MID($A269,2,99),tblBatidas[Início vinculado],0))&lt;&gt;H269),"REVISAR","CONCLUÍDO")))</f>
        <v/>
      </c>
      <c r="R269">
        <f>IF(Q269&lt;&gt;"CONCLUÍDO",0,IF(COUNTIFS($E$5:E269,E269,$B$5:B269,B269,$Q$5:Q269,"CONCLUÍDO")=1,1,0))</f>
        <v>0</v>
      </c>
      <c r="S269" t="str">
        <f t="shared" si="19"/>
        <v/>
      </c>
      <c r="T269" t="str">
        <f>IF(E269="","",E269*100000+COUNTIFS(tblRegistros[ID],E269,tblRegistros[Data],"&lt;"&amp;B269)+COUNTIFS(tblRegistros[ID],E269,tblRegistros[Data],B269,tblRegistros[Início],"&lt;"&amp;I269)+COUNTIFS($E$5:E269,E269,$B$5:B269,B269,$I$5:I269,I269))</f>
        <v/>
      </c>
    </row>
    <row r="270" spans="2:20">
      <c r="B270" s="2" t="str">
        <f>IFERROR(INT(INDEX(tblBatidas[Data e hora],MATCH("B"&amp;MID($A270,2,99),tblBatidas[Batida ID],0))),"")</f>
        <v/>
      </c>
      <c r="C270" t="str">
        <f t="shared" si="16"/>
        <v/>
      </c>
      <c r="D270" t="str">
        <f t="shared" si="17"/>
        <v/>
      </c>
      <c r="E270" t="str">
        <f>IFERROR(INDEX(tblBatidas[ID],MATCH("B"&amp;MID($A270,2,99),tblBatidas[Batida ID],0)),"")</f>
        <v/>
      </c>
      <c r="F270" t="str">
        <f>IFERROR(INDEX(tblPessoas[Pessoa],MATCH(E270,tblPessoas[ID],0)),"")</f>
        <v/>
      </c>
      <c r="G270" t="str">
        <f>IFERROR(INDEX(tblBatidas[Projeto],MATCH("B"&amp;MID($A270,2,99),tblBatidas[Batida ID],0)),"")</f>
        <v/>
      </c>
      <c r="H270" t="str">
        <f>IFERROR(INDEX(tblBatidas[Atividade],MATCH("B"&amp;MID($A270,2,99),tblBatidas[Batida ID],0)),"")</f>
        <v/>
      </c>
      <c r="I270" s="4" t="str">
        <f>IFERROR(MOD(INDEX(tblBatidas[Data e hora],MATCH("B"&amp;MID($A270,2,99),tblBatidas[Batida ID],0)),1),"")</f>
        <v/>
      </c>
      <c r="J270" s="4" t="str">
        <f>IFERROR(MOD(INDEX(tblBatidas[Data e hora],MATCH("B"&amp;MID($A270,2,99),tblBatidas[Início vinculado],0)),1),"")</f>
        <v/>
      </c>
      <c r="K270" s="14" t="str">
        <f>IFERROR((INDEX(tblBatidas[Data e hora],MATCH("B"&amp;MID($A270,2,99),tblBatidas[Início vinculado],0))-INDEX(tblBatidas[Data e hora],MATCH("B"&amp;MID($A270,2,99),tblBatidas[Batida ID],0)))*24,"")</f>
        <v/>
      </c>
      <c r="L270" t="str">
        <f>IFERROR(INDEX(tblBatidas[Observação],MATCH("B"&amp;MID($A270,2,99),tblBatidas[Início vinculado],0)),"")</f>
        <v/>
      </c>
      <c r="M270" t="str">
        <f>IFERROR(INDEX(tblPessoas[Base],MATCH(E270,tblPessoas[ID],0)),"")</f>
        <v/>
      </c>
      <c r="N270" s="3">
        <f>IFERROR(IF(D270="DIA ÚTIL",INDEX(tblPessoas[R$/h útil],MATCH(E270,tblPessoas[ID],0)),INDEX(tblPessoas[R$/h FDS],MATCH(E270,tblPessoas[ID],0))),0)</f>
        <v>0</v>
      </c>
      <c r="O270" s="3">
        <f>IFERROR(INDEX(tblPessoas[R$/diária],MATCH(E270,tblPessoas[ID],0)),0)</f>
        <v>0</v>
      </c>
      <c r="P270" s="3" t="str">
        <f t="shared" si="18"/>
        <v/>
      </c>
      <c r="Q270" t="str">
        <f>IF(A270="","",IF(COUNTIF(tblBatidas[Início vinculado],"B"&amp;MID($A270,2,99))=0,"EM ABERTO",IF(OR(COUNTIF(tblBatidas[Início vinculado],"B"&amp;MID($A270,2,99))&gt;1,K270&lt;0,K270&gt;16,INT(INDEX(tblBatidas[Data e hora],MATCH("B"&amp;MID($A270,2,99),tblBatidas[Início vinculado],0)))&lt;&gt;B270,INDEX(tblBatidas[ID],MATCH("B"&amp;MID($A270,2,99),tblBatidas[Início vinculado],0))&lt;&gt;E270,INDEX(tblBatidas[Projeto],MATCH("B"&amp;MID($A270,2,99),tblBatidas[Início vinculado],0))&lt;&gt;G270,INDEX(tblBatidas[Atividade],MATCH("B"&amp;MID($A270,2,99),tblBatidas[Início vinculado],0))&lt;&gt;H270),"REVISAR","CONCLUÍDO")))</f>
        <v/>
      </c>
      <c r="R270">
        <f>IF(Q270&lt;&gt;"CONCLUÍDO",0,IF(COUNTIFS($E$5:E270,E270,$B$5:B270,B270,$Q$5:Q270,"CONCLUÍDO")=1,1,0))</f>
        <v>0</v>
      </c>
      <c r="S270" t="str">
        <f t="shared" si="19"/>
        <v/>
      </c>
      <c r="T270" t="str">
        <f>IF(E270="","",E270*100000+COUNTIFS(tblRegistros[ID],E270,tblRegistros[Data],"&lt;"&amp;B270)+COUNTIFS(tblRegistros[ID],E270,tblRegistros[Data],B270,tblRegistros[Início],"&lt;"&amp;I270)+COUNTIFS($E$5:E270,E270,$B$5:B270,B270,$I$5:I270,I270))</f>
        <v/>
      </c>
    </row>
    <row r="271" spans="2:20">
      <c r="B271" s="2" t="str">
        <f>IFERROR(INT(INDEX(tblBatidas[Data e hora],MATCH("B"&amp;MID($A271,2,99),tblBatidas[Batida ID],0))),"")</f>
        <v/>
      </c>
      <c r="C271" t="str">
        <f t="shared" si="16"/>
        <v/>
      </c>
      <c r="D271" t="str">
        <f t="shared" si="17"/>
        <v/>
      </c>
      <c r="E271" t="str">
        <f>IFERROR(INDEX(tblBatidas[ID],MATCH("B"&amp;MID($A271,2,99),tblBatidas[Batida ID],0)),"")</f>
        <v/>
      </c>
      <c r="F271" t="str">
        <f>IFERROR(INDEX(tblPessoas[Pessoa],MATCH(E271,tblPessoas[ID],0)),"")</f>
        <v/>
      </c>
      <c r="G271" t="str">
        <f>IFERROR(INDEX(tblBatidas[Projeto],MATCH("B"&amp;MID($A271,2,99),tblBatidas[Batida ID],0)),"")</f>
        <v/>
      </c>
      <c r="H271" t="str">
        <f>IFERROR(INDEX(tblBatidas[Atividade],MATCH("B"&amp;MID($A271,2,99),tblBatidas[Batida ID],0)),"")</f>
        <v/>
      </c>
      <c r="I271" s="4" t="str">
        <f>IFERROR(MOD(INDEX(tblBatidas[Data e hora],MATCH("B"&amp;MID($A271,2,99),tblBatidas[Batida ID],0)),1),"")</f>
        <v/>
      </c>
      <c r="J271" s="4" t="str">
        <f>IFERROR(MOD(INDEX(tblBatidas[Data e hora],MATCH("B"&amp;MID($A271,2,99),tblBatidas[Início vinculado],0)),1),"")</f>
        <v/>
      </c>
      <c r="K271" s="14" t="str">
        <f>IFERROR((INDEX(tblBatidas[Data e hora],MATCH("B"&amp;MID($A271,2,99),tblBatidas[Início vinculado],0))-INDEX(tblBatidas[Data e hora],MATCH("B"&amp;MID($A271,2,99),tblBatidas[Batida ID],0)))*24,"")</f>
        <v/>
      </c>
      <c r="L271" t="str">
        <f>IFERROR(INDEX(tblBatidas[Observação],MATCH("B"&amp;MID($A271,2,99),tblBatidas[Início vinculado],0)),"")</f>
        <v/>
      </c>
      <c r="M271" t="str">
        <f>IFERROR(INDEX(tblPessoas[Base],MATCH(E271,tblPessoas[ID],0)),"")</f>
        <v/>
      </c>
      <c r="N271" s="3">
        <f>IFERROR(IF(D271="DIA ÚTIL",INDEX(tblPessoas[R$/h útil],MATCH(E271,tblPessoas[ID],0)),INDEX(tblPessoas[R$/h FDS],MATCH(E271,tblPessoas[ID],0))),0)</f>
        <v>0</v>
      </c>
      <c r="O271" s="3">
        <f>IFERROR(INDEX(tblPessoas[R$/diária],MATCH(E271,tblPessoas[ID],0)),0)</f>
        <v>0</v>
      </c>
      <c r="P271" s="3" t="str">
        <f t="shared" si="18"/>
        <v/>
      </c>
      <c r="Q271" t="str">
        <f>IF(A271="","",IF(COUNTIF(tblBatidas[Início vinculado],"B"&amp;MID($A271,2,99))=0,"EM ABERTO",IF(OR(COUNTIF(tblBatidas[Início vinculado],"B"&amp;MID($A271,2,99))&gt;1,K271&lt;0,K271&gt;16,INT(INDEX(tblBatidas[Data e hora],MATCH("B"&amp;MID($A271,2,99),tblBatidas[Início vinculado],0)))&lt;&gt;B271,INDEX(tblBatidas[ID],MATCH("B"&amp;MID($A271,2,99),tblBatidas[Início vinculado],0))&lt;&gt;E271,INDEX(tblBatidas[Projeto],MATCH("B"&amp;MID($A271,2,99),tblBatidas[Início vinculado],0))&lt;&gt;G271,INDEX(tblBatidas[Atividade],MATCH("B"&amp;MID($A271,2,99),tblBatidas[Início vinculado],0))&lt;&gt;H271),"REVISAR","CONCLUÍDO")))</f>
        <v/>
      </c>
      <c r="R271">
        <f>IF(Q271&lt;&gt;"CONCLUÍDO",0,IF(COUNTIFS($E$5:E271,E271,$B$5:B271,B271,$Q$5:Q271,"CONCLUÍDO")=1,1,0))</f>
        <v>0</v>
      </c>
      <c r="S271" t="str">
        <f t="shared" si="19"/>
        <v/>
      </c>
      <c r="T271" t="str">
        <f>IF(E271="","",E271*100000+COUNTIFS(tblRegistros[ID],E271,tblRegistros[Data],"&lt;"&amp;B271)+COUNTIFS(tblRegistros[ID],E271,tblRegistros[Data],B271,tblRegistros[Início],"&lt;"&amp;I271)+COUNTIFS($E$5:E271,E271,$B$5:B271,B271,$I$5:I271,I271))</f>
        <v/>
      </c>
    </row>
    <row r="272" spans="2:20">
      <c r="B272" s="2" t="str">
        <f>IFERROR(INT(INDEX(tblBatidas[Data e hora],MATCH("B"&amp;MID($A272,2,99),tblBatidas[Batida ID],0))),"")</f>
        <v/>
      </c>
      <c r="C272" t="str">
        <f t="shared" si="16"/>
        <v/>
      </c>
      <c r="D272" t="str">
        <f t="shared" si="17"/>
        <v/>
      </c>
      <c r="E272" t="str">
        <f>IFERROR(INDEX(tblBatidas[ID],MATCH("B"&amp;MID($A272,2,99),tblBatidas[Batida ID],0)),"")</f>
        <v/>
      </c>
      <c r="F272" t="str">
        <f>IFERROR(INDEX(tblPessoas[Pessoa],MATCH(E272,tblPessoas[ID],0)),"")</f>
        <v/>
      </c>
      <c r="G272" t="str">
        <f>IFERROR(INDEX(tblBatidas[Projeto],MATCH("B"&amp;MID($A272,2,99),tblBatidas[Batida ID],0)),"")</f>
        <v/>
      </c>
      <c r="H272" t="str">
        <f>IFERROR(INDEX(tblBatidas[Atividade],MATCH("B"&amp;MID($A272,2,99),tblBatidas[Batida ID],0)),"")</f>
        <v/>
      </c>
      <c r="I272" s="4" t="str">
        <f>IFERROR(MOD(INDEX(tblBatidas[Data e hora],MATCH("B"&amp;MID($A272,2,99),tblBatidas[Batida ID],0)),1),"")</f>
        <v/>
      </c>
      <c r="J272" s="4" t="str">
        <f>IFERROR(MOD(INDEX(tblBatidas[Data e hora],MATCH("B"&amp;MID($A272,2,99),tblBatidas[Início vinculado],0)),1),"")</f>
        <v/>
      </c>
      <c r="K272" s="14" t="str">
        <f>IFERROR((INDEX(tblBatidas[Data e hora],MATCH("B"&amp;MID($A272,2,99),tblBatidas[Início vinculado],0))-INDEX(tblBatidas[Data e hora],MATCH("B"&amp;MID($A272,2,99),tblBatidas[Batida ID],0)))*24,"")</f>
        <v/>
      </c>
      <c r="L272" t="str">
        <f>IFERROR(INDEX(tblBatidas[Observação],MATCH("B"&amp;MID($A272,2,99),tblBatidas[Início vinculado],0)),"")</f>
        <v/>
      </c>
      <c r="M272" t="str">
        <f>IFERROR(INDEX(tblPessoas[Base],MATCH(E272,tblPessoas[ID],0)),"")</f>
        <v/>
      </c>
      <c r="N272" s="3">
        <f>IFERROR(IF(D272="DIA ÚTIL",INDEX(tblPessoas[R$/h útil],MATCH(E272,tblPessoas[ID],0)),INDEX(tblPessoas[R$/h FDS],MATCH(E272,tblPessoas[ID],0))),0)</f>
        <v>0</v>
      </c>
      <c r="O272" s="3">
        <f>IFERROR(INDEX(tblPessoas[R$/diária],MATCH(E272,tblPessoas[ID],0)),0)</f>
        <v>0</v>
      </c>
      <c r="P272" s="3" t="str">
        <f t="shared" si="18"/>
        <v/>
      </c>
      <c r="Q272" t="str">
        <f>IF(A272="","",IF(COUNTIF(tblBatidas[Início vinculado],"B"&amp;MID($A272,2,99))=0,"EM ABERTO",IF(OR(COUNTIF(tblBatidas[Início vinculado],"B"&amp;MID($A272,2,99))&gt;1,K272&lt;0,K272&gt;16,INT(INDEX(tblBatidas[Data e hora],MATCH("B"&amp;MID($A272,2,99),tblBatidas[Início vinculado],0)))&lt;&gt;B272,INDEX(tblBatidas[ID],MATCH("B"&amp;MID($A272,2,99),tblBatidas[Início vinculado],0))&lt;&gt;E272,INDEX(tblBatidas[Projeto],MATCH("B"&amp;MID($A272,2,99),tblBatidas[Início vinculado],0))&lt;&gt;G272,INDEX(tblBatidas[Atividade],MATCH("B"&amp;MID($A272,2,99),tblBatidas[Início vinculado],0))&lt;&gt;H272),"REVISAR","CONCLUÍDO")))</f>
        <v/>
      </c>
      <c r="R272">
        <f>IF(Q272&lt;&gt;"CONCLUÍDO",0,IF(COUNTIFS($E$5:E272,E272,$B$5:B272,B272,$Q$5:Q272,"CONCLUÍDO")=1,1,0))</f>
        <v>0</v>
      </c>
      <c r="S272" t="str">
        <f t="shared" si="19"/>
        <v/>
      </c>
      <c r="T272" t="str">
        <f>IF(E272="","",E272*100000+COUNTIFS(tblRegistros[ID],E272,tblRegistros[Data],"&lt;"&amp;B272)+COUNTIFS(tblRegistros[ID],E272,tblRegistros[Data],B272,tblRegistros[Início],"&lt;"&amp;I272)+COUNTIFS($E$5:E272,E272,$B$5:B272,B272,$I$5:I272,I272))</f>
        <v/>
      </c>
    </row>
    <row r="273" spans="2:20">
      <c r="B273" s="2" t="str">
        <f>IFERROR(INT(INDEX(tblBatidas[Data e hora],MATCH("B"&amp;MID($A273,2,99),tblBatidas[Batida ID],0))),"")</f>
        <v/>
      </c>
      <c r="C273" t="str">
        <f t="shared" si="16"/>
        <v/>
      </c>
      <c r="D273" t="str">
        <f t="shared" si="17"/>
        <v/>
      </c>
      <c r="E273" t="str">
        <f>IFERROR(INDEX(tblBatidas[ID],MATCH("B"&amp;MID($A273,2,99),tblBatidas[Batida ID],0)),"")</f>
        <v/>
      </c>
      <c r="F273" t="str">
        <f>IFERROR(INDEX(tblPessoas[Pessoa],MATCH(E273,tblPessoas[ID],0)),"")</f>
        <v/>
      </c>
      <c r="G273" t="str">
        <f>IFERROR(INDEX(tblBatidas[Projeto],MATCH("B"&amp;MID($A273,2,99),tblBatidas[Batida ID],0)),"")</f>
        <v/>
      </c>
      <c r="H273" t="str">
        <f>IFERROR(INDEX(tblBatidas[Atividade],MATCH("B"&amp;MID($A273,2,99),tblBatidas[Batida ID],0)),"")</f>
        <v/>
      </c>
      <c r="I273" s="4" t="str">
        <f>IFERROR(MOD(INDEX(tblBatidas[Data e hora],MATCH("B"&amp;MID($A273,2,99),tblBatidas[Batida ID],0)),1),"")</f>
        <v/>
      </c>
      <c r="J273" s="4" t="str">
        <f>IFERROR(MOD(INDEX(tblBatidas[Data e hora],MATCH("B"&amp;MID($A273,2,99),tblBatidas[Início vinculado],0)),1),"")</f>
        <v/>
      </c>
      <c r="K273" s="14" t="str">
        <f>IFERROR((INDEX(tblBatidas[Data e hora],MATCH("B"&amp;MID($A273,2,99),tblBatidas[Início vinculado],0))-INDEX(tblBatidas[Data e hora],MATCH("B"&amp;MID($A273,2,99),tblBatidas[Batida ID],0)))*24,"")</f>
        <v/>
      </c>
      <c r="L273" t="str">
        <f>IFERROR(INDEX(tblBatidas[Observação],MATCH("B"&amp;MID($A273,2,99),tblBatidas[Início vinculado],0)),"")</f>
        <v/>
      </c>
      <c r="M273" t="str">
        <f>IFERROR(INDEX(tblPessoas[Base],MATCH(E273,tblPessoas[ID],0)),"")</f>
        <v/>
      </c>
      <c r="N273" s="3">
        <f>IFERROR(IF(D273="DIA ÚTIL",INDEX(tblPessoas[R$/h útil],MATCH(E273,tblPessoas[ID],0)),INDEX(tblPessoas[R$/h FDS],MATCH(E273,tblPessoas[ID],0))),0)</f>
        <v>0</v>
      </c>
      <c r="O273" s="3">
        <f>IFERROR(INDEX(tblPessoas[R$/diária],MATCH(E273,tblPessoas[ID],0)),0)</f>
        <v>0</v>
      </c>
      <c r="P273" s="3" t="str">
        <f t="shared" si="18"/>
        <v/>
      </c>
      <c r="Q273" t="str">
        <f>IF(A273="","",IF(COUNTIF(tblBatidas[Início vinculado],"B"&amp;MID($A273,2,99))=0,"EM ABERTO",IF(OR(COUNTIF(tblBatidas[Início vinculado],"B"&amp;MID($A273,2,99))&gt;1,K273&lt;0,K273&gt;16,INT(INDEX(tblBatidas[Data e hora],MATCH("B"&amp;MID($A273,2,99),tblBatidas[Início vinculado],0)))&lt;&gt;B273,INDEX(tblBatidas[ID],MATCH("B"&amp;MID($A273,2,99),tblBatidas[Início vinculado],0))&lt;&gt;E273,INDEX(tblBatidas[Projeto],MATCH("B"&amp;MID($A273,2,99),tblBatidas[Início vinculado],0))&lt;&gt;G273,INDEX(tblBatidas[Atividade],MATCH("B"&amp;MID($A273,2,99),tblBatidas[Início vinculado],0))&lt;&gt;H273),"REVISAR","CONCLUÍDO")))</f>
        <v/>
      </c>
      <c r="R273">
        <f>IF(Q273&lt;&gt;"CONCLUÍDO",0,IF(COUNTIFS($E$5:E273,E273,$B$5:B273,B273,$Q$5:Q273,"CONCLUÍDO")=1,1,0))</f>
        <v>0</v>
      </c>
      <c r="S273" t="str">
        <f t="shared" si="19"/>
        <v/>
      </c>
      <c r="T273" t="str">
        <f>IF(E273="","",E273*100000+COUNTIFS(tblRegistros[ID],E273,tblRegistros[Data],"&lt;"&amp;B273)+COUNTIFS(tblRegistros[ID],E273,tblRegistros[Data],B273,tblRegistros[Início],"&lt;"&amp;I273)+COUNTIFS($E$5:E273,E273,$B$5:B273,B273,$I$5:I273,I273))</f>
        <v/>
      </c>
    </row>
    <row r="274" spans="2:20">
      <c r="B274" s="2" t="str">
        <f>IFERROR(INT(INDEX(tblBatidas[Data e hora],MATCH("B"&amp;MID($A274,2,99),tblBatidas[Batida ID],0))),"")</f>
        <v/>
      </c>
      <c r="C274" t="str">
        <f t="shared" si="16"/>
        <v/>
      </c>
      <c r="D274" t="str">
        <f t="shared" si="17"/>
        <v/>
      </c>
      <c r="E274" t="str">
        <f>IFERROR(INDEX(tblBatidas[ID],MATCH("B"&amp;MID($A274,2,99),tblBatidas[Batida ID],0)),"")</f>
        <v/>
      </c>
      <c r="F274" t="str">
        <f>IFERROR(INDEX(tblPessoas[Pessoa],MATCH(E274,tblPessoas[ID],0)),"")</f>
        <v/>
      </c>
      <c r="G274" t="str">
        <f>IFERROR(INDEX(tblBatidas[Projeto],MATCH("B"&amp;MID($A274,2,99),tblBatidas[Batida ID],0)),"")</f>
        <v/>
      </c>
      <c r="H274" t="str">
        <f>IFERROR(INDEX(tblBatidas[Atividade],MATCH("B"&amp;MID($A274,2,99),tblBatidas[Batida ID],0)),"")</f>
        <v/>
      </c>
      <c r="I274" s="4" t="str">
        <f>IFERROR(MOD(INDEX(tblBatidas[Data e hora],MATCH("B"&amp;MID($A274,2,99),tblBatidas[Batida ID],0)),1),"")</f>
        <v/>
      </c>
      <c r="J274" s="4" t="str">
        <f>IFERROR(MOD(INDEX(tblBatidas[Data e hora],MATCH("B"&amp;MID($A274,2,99),tblBatidas[Início vinculado],0)),1),"")</f>
        <v/>
      </c>
      <c r="K274" s="14" t="str">
        <f>IFERROR((INDEX(tblBatidas[Data e hora],MATCH("B"&amp;MID($A274,2,99),tblBatidas[Início vinculado],0))-INDEX(tblBatidas[Data e hora],MATCH("B"&amp;MID($A274,2,99),tblBatidas[Batida ID],0)))*24,"")</f>
        <v/>
      </c>
      <c r="L274" t="str">
        <f>IFERROR(INDEX(tblBatidas[Observação],MATCH("B"&amp;MID($A274,2,99),tblBatidas[Início vinculado],0)),"")</f>
        <v/>
      </c>
      <c r="M274" t="str">
        <f>IFERROR(INDEX(tblPessoas[Base],MATCH(E274,tblPessoas[ID],0)),"")</f>
        <v/>
      </c>
      <c r="N274" s="3">
        <f>IFERROR(IF(D274="DIA ÚTIL",INDEX(tblPessoas[R$/h útil],MATCH(E274,tblPessoas[ID],0)),INDEX(tblPessoas[R$/h FDS],MATCH(E274,tblPessoas[ID],0))),0)</f>
        <v>0</v>
      </c>
      <c r="O274" s="3">
        <f>IFERROR(INDEX(tblPessoas[R$/diária],MATCH(E274,tblPessoas[ID],0)),0)</f>
        <v>0</v>
      </c>
      <c r="P274" s="3" t="str">
        <f t="shared" si="18"/>
        <v/>
      </c>
      <c r="Q274" t="str">
        <f>IF(A274="","",IF(COUNTIF(tblBatidas[Início vinculado],"B"&amp;MID($A274,2,99))=0,"EM ABERTO",IF(OR(COUNTIF(tblBatidas[Início vinculado],"B"&amp;MID($A274,2,99))&gt;1,K274&lt;0,K274&gt;16,INT(INDEX(tblBatidas[Data e hora],MATCH("B"&amp;MID($A274,2,99),tblBatidas[Início vinculado],0)))&lt;&gt;B274,INDEX(tblBatidas[ID],MATCH("B"&amp;MID($A274,2,99),tblBatidas[Início vinculado],0))&lt;&gt;E274,INDEX(tblBatidas[Projeto],MATCH("B"&amp;MID($A274,2,99),tblBatidas[Início vinculado],0))&lt;&gt;G274,INDEX(tblBatidas[Atividade],MATCH("B"&amp;MID($A274,2,99),tblBatidas[Início vinculado],0))&lt;&gt;H274),"REVISAR","CONCLUÍDO")))</f>
        <v/>
      </c>
      <c r="R274">
        <f>IF(Q274&lt;&gt;"CONCLUÍDO",0,IF(COUNTIFS($E$5:E274,E274,$B$5:B274,B274,$Q$5:Q274,"CONCLUÍDO")=1,1,0))</f>
        <v>0</v>
      </c>
      <c r="S274" t="str">
        <f t="shared" si="19"/>
        <v/>
      </c>
      <c r="T274" t="str">
        <f>IF(E274="","",E274*100000+COUNTIFS(tblRegistros[ID],E274,tblRegistros[Data],"&lt;"&amp;B274)+COUNTIFS(tblRegistros[ID],E274,tblRegistros[Data],B274,tblRegistros[Início],"&lt;"&amp;I274)+COUNTIFS($E$5:E274,E274,$B$5:B274,B274,$I$5:I274,I274))</f>
        <v/>
      </c>
    </row>
    <row r="275" spans="2:20">
      <c r="B275" s="2" t="str">
        <f>IFERROR(INT(INDEX(tblBatidas[Data e hora],MATCH("B"&amp;MID($A275,2,99),tblBatidas[Batida ID],0))),"")</f>
        <v/>
      </c>
      <c r="C275" t="str">
        <f t="shared" si="16"/>
        <v/>
      </c>
      <c r="D275" t="str">
        <f t="shared" si="17"/>
        <v/>
      </c>
      <c r="E275" t="str">
        <f>IFERROR(INDEX(tblBatidas[ID],MATCH("B"&amp;MID($A275,2,99),tblBatidas[Batida ID],0)),"")</f>
        <v/>
      </c>
      <c r="F275" t="str">
        <f>IFERROR(INDEX(tblPessoas[Pessoa],MATCH(E275,tblPessoas[ID],0)),"")</f>
        <v/>
      </c>
      <c r="G275" t="str">
        <f>IFERROR(INDEX(tblBatidas[Projeto],MATCH("B"&amp;MID($A275,2,99),tblBatidas[Batida ID],0)),"")</f>
        <v/>
      </c>
      <c r="H275" t="str">
        <f>IFERROR(INDEX(tblBatidas[Atividade],MATCH("B"&amp;MID($A275,2,99),tblBatidas[Batida ID],0)),"")</f>
        <v/>
      </c>
      <c r="I275" s="4" t="str">
        <f>IFERROR(MOD(INDEX(tblBatidas[Data e hora],MATCH("B"&amp;MID($A275,2,99),tblBatidas[Batida ID],0)),1),"")</f>
        <v/>
      </c>
      <c r="J275" s="4" t="str">
        <f>IFERROR(MOD(INDEX(tblBatidas[Data e hora],MATCH("B"&amp;MID($A275,2,99),tblBatidas[Início vinculado],0)),1),"")</f>
        <v/>
      </c>
      <c r="K275" s="14" t="str">
        <f>IFERROR((INDEX(tblBatidas[Data e hora],MATCH("B"&amp;MID($A275,2,99),tblBatidas[Início vinculado],0))-INDEX(tblBatidas[Data e hora],MATCH("B"&amp;MID($A275,2,99),tblBatidas[Batida ID],0)))*24,"")</f>
        <v/>
      </c>
      <c r="L275" t="str">
        <f>IFERROR(INDEX(tblBatidas[Observação],MATCH("B"&amp;MID($A275,2,99),tblBatidas[Início vinculado],0)),"")</f>
        <v/>
      </c>
      <c r="M275" t="str">
        <f>IFERROR(INDEX(tblPessoas[Base],MATCH(E275,tblPessoas[ID],0)),"")</f>
        <v/>
      </c>
      <c r="N275" s="3">
        <f>IFERROR(IF(D275="DIA ÚTIL",INDEX(tblPessoas[R$/h útil],MATCH(E275,tblPessoas[ID],0)),INDEX(tblPessoas[R$/h FDS],MATCH(E275,tblPessoas[ID],0))),0)</f>
        <v>0</v>
      </c>
      <c r="O275" s="3">
        <f>IFERROR(INDEX(tblPessoas[R$/diária],MATCH(E275,tblPessoas[ID],0)),0)</f>
        <v>0</v>
      </c>
      <c r="P275" s="3" t="str">
        <f t="shared" si="18"/>
        <v/>
      </c>
      <c r="Q275" t="str">
        <f>IF(A275="","",IF(COUNTIF(tblBatidas[Início vinculado],"B"&amp;MID($A275,2,99))=0,"EM ABERTO",IF(OR(COUNTIF(tblBatidas[Início vinculado],"B"&amp;MID($A275,2,99))&gt;1,K275&lt;0,K275&gt;16,INT(INDEX(tblBatidas[Data e hora],MATCH("B"&amp;MID($A275,2,99),tblBatidas[Início vinculado],0)))&lt;&gt;B275,INDEX(tblBatidas[ID],MATCH("B"&amp;MID($A275,2,99),tblBatidas[Início vinculado],0))&lt;&gt;E275,INDEX(tblBatidas[Projeto],MATCH("B"&amp;MID($A275,2,99),tblBatidas[Início vinculado],0))&lt;&gt;G275,INDEX(tblBatidas[Atividade],MATCH("B"&amp;MID($A275,2,99),tblBatidas[Início vinculado],0))&lt;&gt;H275),"REVISAR","CONCLUÍDO")))</f>
        <v/>
      </c>
      <c r="R275">
        <f>IF(Q275&lt;&gt;"CONCLUÍDO",0,IF(COUNTIFS($E$5:E275,E275,$B$5:B275,B275,$Q$5:Q275,"CONCLUÍDO")=1,1,0))</f>
        <v>0</v>
      </c>
      <c r="S275" t="str">
        <f t="shared" si="19"/>
        <v/>
      </c>
      <c r="T275" t="str">
        <f>IF(E275="","",E275*100000+COUNTIFS(tblRegistros[ID],E275,tblRegistros[Data],"&lt;"&amp;B275)+COUNTIFS(tblRegistros[ID],E275,tblRegistros[Data],B275,tblRegistros[Início],"&lt;"&amp;I275)+COUNTIFS($E$5:E275,E275,$B$5:B275,B275,$I$5:I275,I275))</f>
        <v/>
      </c>
    </row>
    <row r="276" spans="2:20">
      <c r="B276" s="2" t="str">
        <f>IFERROR(INT(INDEX(tblBatidas[Data e hora],MATCH("B"&amp;MID($A276,2,99),tblBatidas[Batida ID],0))),"")</f>
        <v/>
      </c>
      <c r="C276" t="str">
        <f t="shared" si="16"/>
        <v/>
      </c>
      <c r="D276" t="str">
        <f t="shared" si="17"/>
        <v/>
      </c>
      <c r="E276" t="str">
        <f>IFERROR(INDEX(tblBatidas[ID],MATCH("B"&amp;MID($A276,2,99),tblBatidas[Batida ID],0)),"")</f>
        <v/>
      </c>
      <c r="F276" t="str">
        <f>IFERROR(INDEX(tblPessoas[Pessoa],MATCH(E276,tblPessoas[ID],0)),"")</f>
        <v/>
      </c>
      <c r="G276" t="str">
        <f>IFERROR(INDEX(tblBatidas[Projeto],MATCH("B"&amp;MID($A276,2,99),tblBatidas[Batida ID],0)),"")</f>
        <v/>
      </c>
      <c r="H276" t="str">
        <f>IFERROR(INDEX(tblBatidas[Atividade],MATCH("B"&amp;MID($A276,2,99),tblBatidas[Batida ID],0)),"")</f>
        <v/>
      </c>
      <c r="I276" s="4" t="str">
        <f>IFERROR(MOD(INDEX(tblBatidas[Data e hora],MATCH("B"&amp;MID($A276,2,99),tblBatidas[Batida ID],0)),1),"")</f>
        <v/>
      </c>
      <c r="J276" s="4" t="str">
        <f>IFERROR(MOD(INDEX(tblBatidas[Data e hora],MATCH("B"&amp;MID($A276,2,99),tblBatidas[Início vinculado],0)),1),"")</f>
        <v/>
      </c>
      <c r="K276" s="14" t="str">
        <f>IFERROR((INDEX(tblBatidas[Data e hora],MATCH("B"&amp;MID($A276,2,99),tblBatidas[Início vinculado],0))-INDEX(tblBatidas[Data e hora],MATCH("B"&amp;MID($A276,2,99),tblBatidas[Batida ID],0)))*24,"")</f>
        <v/>
      </c>
      <c r="L276" t="str">
        <f>IFERROR(INDEX(tblBatidas[Observação],MATCH("B"&amp;MID($A276,2,99),tblBatidas[Início vinculado],0)),"")</f>
        <v/>
      </c>
      <c r="M276" t="str">
        <f>IFERROR(INDEX(tblPessoas[Base],MATCH(E276,tblPessoas[ID],0)),"")</f>
        <v/>
      </c>
      <c r="N276" s="3">
        <f>IFERROR(IF(D276="DIA ÚTIL",INDEX(tblPessoas[R$/h útil],MATCH(E276,tblPessoas[ID],0)),INDEX(tblPessoas[R$/h FDS],MATCH(E276,tblPessoas[ID],0))),0)</f>
        <v>0</v>
      </c>
      <c r="O276" s="3">
        <f>IFERROR(INDEX(tblPessoas[R$/diária],MATCH(E276,tblPessoas[ID],0)),0)</f>
        <v>0</v>
      </c>
      <c r="P276" s="3" t="str">
        <f t="shared" si="18"/>
        <v/>
      </c>
      <c r="Q276" t="str">
        <f>IF(A276="","",IF(COUNTIF(tblBatidas[Início vinculado],"B"&amp;MID($A276,2,99))=0,"EM ABERTO",IF(OR(COUNTIF(tblBatidas[Início vinculado],"B"&amp;MID($A276,2,99))&gt;1,K276&lt;0,K276&gt;16,INT(INDEX(tblBatidas[Data e hora],MATCH("B"&amp;MID($A276,2,99),tblBatidas[Início vinculado],0)))&lt;&gt;B276,INDEX(tblBatidas[ID],MATCH("B"&amp;MID($A276,2,99),tblBatidas[Início vinculado],0))&lt;&gt;E276,INDEX(tblBatidas[Projeto],MATCH("B"&amp;MID($A276,2,99),tblBatidas[Início vinculado],0))&lt;&gt;G276,INDEX(tblBatidas[Atividade],MATCH("B"&amp;MID($A276,2,99),tblBatidas[Início vinculado],0))&lt;&gt;H276),"REVISAR","CONCLUÍDO")))</f>
        <v/>
      </c>
      <c r="R276">
        <f>IF(Q276&lt;&gt;"CONCLUÍDO",0,IF(COUNTIFS($E$5:E276,E276,$B$5:B276,B276,$Q$5:Q276,"CONCLUÍDO")=1,1,0))</f>
        <v>0</v>
      </c>
      <c r="S276" t="str">
        <f t="shared" si="19"/>
        <v/>
      </c>
      <c r="T276" t="str">
        <f>IF(E276="","",E276*100000+COUNTIFS(tblRegistros[ID],E276,tblRegistros[Data],"&lt;"&amp;B276)+COUNTIFS(tblRegistros[ID],E276,tblRegistros[Data],B276,tblRegistros[Início],"&lt;"&amp;I276)+COUNTIFS($E$5:E276,E276,$B$5:B276,B276,$I$5:I276,I276))</f>
        <v/>
      </c>
    </row>
    <row r="277" spans="2:20">
      <c r="B277" s="2" t="str">
        <f>IFERROR(INT(INDEX(tblBatidas[Data e hora],MATCH("B"&amp;MID($A277,2,99),tblBatidas[Batida ID],0))),"")</f>
        <v/>
      </c>
      <c r="C277" t="str">
        <f t="shared" si="16"/>
        <v/>
      </c>
      <c r="D277" t="str">
        <f t="shared" si="17"/>
        <v/>
      </c>
      <c r="E277" t="str">
        <f>IFERROR(INDEX(tblBatidas[ID],MATCH("B"&amp;MID($A277,2,99),tblBatidas[Batida ID],0)),"")</f>
        <v/>
      </c>
      <c r="F277" t="str">
        <f>IFERROR(INDEX(tblPessoas[Pessoa],MATCH(E277,tblPessoas[ID],0)),"")</f>
        <v/>
      </c>
      <c r="G277" t="str">
        <f>IFERROR(INDEX(tblBatidas[Projeto],MATCH("B"&amp;MID($A277,2,99),tblBatidas[Batida ID],0)),"")</f>
        <v/>
      </c>
      <c r="H277" t="str">
        <f>IFERROR(INDEX(tblBatidas[Atividade],MATCH("B"&amp;MID($A277,2,99),tblBatidas[Batida ID],0)),"")</f>
        <v/>
      </c>
      <c r="I277" s="4" t="str">
        <f>IFERROR(MOD(INDEX(tblBatidas[Data e hora],MATCH("B"&amp;MID($A277,2,99),tblBatidas[Batida ID],0)),1),"")</f>
        <v/>
      </c>
      <c r="J277" s="4" t="str">
        <f>IFERROR(MOD(INDEX(tblBatidas[Data e hora],MATCH("B"&amp;MID($A277,2,99),tblBatidas[Início vinculado],0)),1),"")</f>
        <v/>
      </c>
      <c r="K277" s="14" t="str">
        <f>IFERROR((INDEX(tblBatidas[Data e hora],MATCH("B"&amp;MID($A277,2,99),tblBatidas[Início vinculado],0))-INDEX(tblBatidas[Data e hora],MATCH("B"&amp;MID($A277,2,99),tblBatidas[Batida ID],0)))*24,"")</f>
        <v/>
      </c>
      <c r="L277" t="str">
        <f>IFERROR(INDEX(tblBatidas[Observação],MATCH("B"&amp;MID($A277,2,99),tblBatidas[Início vinculado],0)),"")</f>
        <v/>
      </c>
      <c r="M277" t="str">
        <f>IFERROR(INDEX(tblPessoas[Base],MATCH(E277,tblPessoas[ID],0)),"")</f>
        <v/>
      </c>
      <c r="N277" s="3">
        <f>IFERROR(IF(D277="DIA ÚTIL",INDEX(tblPessoas[R$/h útil],MATCH(E277,tblPessoas[ID],0)),INDEX(tblPessoas[R$/h FDS],MATCH(E277,tblPessoas[ID],0))),0)</f>
        <v>0</v>
      </c>
      <c r="O277" s="3">
        <f>IFERROR(INDEX(tblPessoas[R$/diária],MATCH(E277,tblPessoas[ID],0)),0)</f>
        <v>0</v>
      </c>
      <c r="P277" s="3" t="str">
        <f t="shared" si="18"/>
        <v/>
      </c>
      <c r="Q277" t="str">
        <f>IF(A277="","",IF(COUNTIF(tblBatidas[Início vinculado],"B"&amp;MID($A277,2,99))=0,"EM ABERTO",IF(OR(COUNTIF(tblBatidas[Início vinculado],"B"&amp;MID($A277,2,99))&gt;1,K277&lt;0,K277&gt;16,INT(INDEX(tblBatidas[Data e hora],MATCH("B"&amp;MID($A277,2,99),tblBatidas[Início vinculado],0)))&lt;&gt;B277,INDEX(tblBatidas[ID],MATCH("B"&amp;MID($A277,2,99),tblBatidas[Início vinculado],0))&lt;&gt;E277,INDEX(tblBatidas[Projeto],MATCH("B"&amp;MID($A277,2,99),tblBatidas[Início vinculado],0))&lt;&gt;G277,INDEX(tblBatidas[Atividade],MATCH("B"&amp;MID($A277,2,99),tblBatidas[Início vinculado],0))&lt;&gt;H277),"REVISAR","CONCLUÍDO")))</f>
        <v/>
      </c>
      <c r="R277">
        <f>IF(Q277&lt;&gt;"CONCLUÍDO",0,IF(COUNTIFS($E$5:E277,E277,$B$5:B277,B277,$Q$5:Q277,"CONCLUÍDO")=1,1,0))</f>
        <v>0</v>
      </c>
      <c r="S277" t="str">
        <f t="shared" si="19"/>
        <v/>
      </c>
      <c r="T277" t="str">
        <f>IF(E277="","",E277*100000+COUNTIFS(tblRegistros[ID],E277,tblRegistros[Data],"&lt;"&amp;B277)+COUNTIFS(tblRegistros[ID],E277,tblRegistros[Data],B277,tblRegistros[Início],"&lt;"&amp;I277)+COUNTIFS($E$5:E277,E277,$B$5:B277,B277,$I$5:I277,I277))</f>
        <v/>
      </c>
    </row>
    <row r="278" spans="2:20">
      <c r="B278" s="2" t="str">
        <f>IFERROR(INT(INDEX(tblBatidas[Data e hora],MATCH("B"&amp;MID($A278,2,99),tblBatidas[Batida ID],0))),"")</f>
        <v/>
      </c>
      <c r="C278" t="str">
        <f t="shared" si="16"/>
        <v/>
      </c>
      <c r="D278" t="str">
        <f t="shared" si="17"/>
        <v/>
      </c>
      <c r="E278" t="str">
        <f>IFERROR(INDEX(tblBatidas[ID],MATCH("B"&amp;MID($A278,2,99),tblBatidas[Batida ID],0)),"")</f>
        <v/>
      </c>
      <c r="F278" t="str">
        <f>IFERROR(INDEX(tblPessoas[Pessoa],MATCH(E278,tblPessoas[ID],0)),"")</f>
        <v/>
      </c>
      <c r="G278" t="str">
        <f>IFERROR(INDEX(tblBatidas[Projeto],MATCH("B"&amp;MID($A278,2,99),tblBatidas[Batida ID],0)),"")</f>
        <v/>
      </c>
      <c r="H278" t="str">
        <f>IFERROR(INDEX(tblBatidas[Atividade],MATCH("B"&amp;MID($A278,2,99),tblBatidas[Batida ID],0)),"")</f>
        <v/>
      </c>
      <c r="I278" s="4" t="str">
        <f>IFERROR(MOD(INDEX(tblBatidas[Data e hora],MATCH("B"&amp;MID($A278,2,99),tblBatidas[Batida ID],0)),1),"")</f>
        <v/>
      </c>
      <c r="J278" s="4" t="str">
        <f>IFERROR(MOD(INDEX(tblBatidas[Data e hora],MATCH("B"&amp;MID($A278,2,99),tblBatidas[Início vinculado],0)),1),"")</f>
        <v/>
      </c>
      <c r="K278" s="14" t="str">
        <f>IFERROR((INDEX(tblBatidas[Data e hora],MATCH("B"&amp;MID($A278,2,99),tblBatidas[Início vinculado],0))-INDEX(tblBatidas[Data e hora],MATCH("B"&amp;MID($A278,2,99),tblBatidas[Batida ID],0)))*24,"")</f>
        <v/>
      </c>
      <c r="L278" t="str">
        <f>IFERROR(INDEX(tblBatidas[Observação],MATCH("B"&amp;MID($A278,2,99),tblBatidas[Início vinculado],0)),"")</f>
        <v/>
      </c>
      <c r="M278" t="str">
        <f>IFERROR(INDEX(tblPessoas[Base],MATCH(E278,tblPessoas[ID],0)),"")</f>
        <v/>
      </c>
      <c r="N278" s="3">
        <f>IFERROR(IF(D278="DIA ÚTIL",INDEX(tblPessoas[R$/h útil],MATCH(E278,tblPessoas[ID],0)),INDEX(tblPessoas[R$/h FDS],MATCH(E278,tblPessoas[ID],0))),0)</f>
        <v>0</v>
      </c>
      <c r="O278" s="3">
        <f>IFERROR(INDEX(tblPessoas[R$/diária],MATCH(E278,tblPessoas[ID],0)),0)</f>
        <v>0</v>
      </c>
      <c r="P278" s="3" t="str">
        <f t="shared" si="18"/>
        <v/>
      </c>
      <c r="Q278" t="str">
        <f>IF(A278="","",IF(COUNTIF(tblBatidas[Início vinculado],"B"&amp;MID($A278,2,99))=0,"EM ABERTO",IF(OR(COUNTIF(tblBatidas[Início vinculado],"B"&amp;MID($A278,2,99))&gt;1,K278&lt;0,K278&gt;16,INT(INDEX(tblBatidas[Data e hora],MATCH("B"&amp;MID($A278,2,99),tblBatidas[Início vinculado],0)))&lt;&gt;B278,INDEX(tblBatidas[ID],MATCH("B"&amp;MID($A278,2,99),tblBatidas[Início vinculado],0))&lt;&gt;E278,INDEX(tblBatidas[Projeto],MATCH("B"&amp;MID($A278,2,99),tblBatidas[Início vinculado],0))&lt;&gt;G278,INDEX(tblBatidas[Atividade],MATCH("B"&amp;MID($A278,2,99),tblBatidas[Início vinculado],0))&lt;&gt;H278),"REVISAR","CONCLUÍDO")))</f>
        <v/>
      </c>
      <c r="R278">
        <f>IF(Q278&lt;&gt;"CONCLUÍDO",0,IF(COUNTIFS($E$5:E278,E278,$B$5:B278,B278,$Q$5:Q278,"CONCLUÍDO")=1,1,0))</f>
        <v>0</v>
      </c>
      <c r="S278" t="str">
        <f t="shared" si="19"/>
        <v/>
      </c>
      <c r="T278" t="str">
        <f>IF(E278="","",E278*100000+COUNTIFS(tblRegistros[ID],E278,tblRegistros[Data],"&lt;"&amp;B278)+COUNTIFS(tblRegistros[ID],E278,tblRegistros[Data],B278,tblRegistros[Início],"&lt;"&amp;I278)+COUNTIFS($E$5:E278,E278,$B$5:B278,B278,$I$5:I278,I278))</f>
        <v/>
      </c>
    </row>
    <row r="279" spans="2:20">
      <c r="B279" s="2" t="str">
        <f>IFERROR(INT(INDEX(tblBatidas[Data e hora],MATCH("B"&amp;MID($A279,2,99),tblBatidas[Batida ID],0))),"")</f>
        <v/>
      </c>
      <c r="C279" t="str">
        <f t="shared" si="16"/>
        <v/>
      </c>
      <c r="D279" t="str">
        <f t="shared" si="17"/>
        <v/>
      </c>
      <c r="E279" t="str">
        <f>IFERROR(INDEX(tblBatidas[ID],MATCH("B"&amp;MID($A279,2,99),tblBatidas[Batida ID],0)),"")</f>
        <v/>
      </c>
      <c r="F279" t="str">
        <f>IFERROR(INDEX(tblPessoas[Pessoa],MATCH(E279,tblPessoas[ID],0)),"")</f>
        <v/>
      </c>
      <c r="G279" t="str">
        <f>IFERROR(INDEX(tblBatidas[Projeto],MATCH("B"&amp;MID($A279,2,99),tblBatidas[Batida ID],0)),"")</f>
        <v/>
      </c>
      <c r="H279" t="str">
        <f>IFERROR(INDEX(tblBatidas[Atividade],MATCH("B"&amp;MID($A279,2,99),tblBatidas[Batida ID],0)),"")</f>
        <v/>
      </c>
      <c r="I279" s="4" t="str">
        <f>IFERROR(MOD(INDEX(tblBatidas[Data e hora],MATCH("B"&amp;MID($A279,2,99),tblBatidas[Batida ID],0)),1),"")</f>
        <v/>
      </c>
      <c r="J279" s="4" t="str">
        <f>IFERROR(MOD(INDEX(tblBatidas[Data e hora],MATCH("B"&amp;MID($A279,2,99),tblBatidas[Início vinculado],0)),1),"")</f>
        <v/>
      </c>
      <c r="K279" s="14" t="str">
        <f>IFERROR((INDEX(tblBatidas[Data e hora],MATCH("B"&amp;MID($A279,2,99),tblBatidas[Início vinculado],0))-INDEX(tblBatidas[Data e hora],MATCH("B"&amp;MID($A279,2,99),tblBatidas[Batida ID],0)))*24,"")</f>
        <v/>
      </c>
      <c r="L279" t="str">
        <f>IFERROR(INDEX(tblBatidas[Observação],MATCH("B"&amp;MID($A279,2,99),tblBatidas[Início vinculado],0)),"")</f>
        <v/>
      </c>
      <c r="M279" t="str">
        <f>IFERROR(INDEX(tblPessoas[Base],MATCH(E279,tblPessoas[ID],0)),"")</f>
        <v/>
      </c>
      <c r="N279" s="3">
        <f>IFERROR(IF(D279="DIA ÚTIL",INDEX(tblPessoas[R$/h útil],MATCH(E279,tblPessoas[ID],0)),INDEX(tblPessoas[R$/h FDS],MATCH(E279,tblPessoas[ID],0))),0)</f>
        <v>0</v>
      </c>
      <c r="O279" s="3">
        <f>IFERROR(INDEX(tblPessoas[R$/diária],MATCH(E279,tblPessoas[ID],0)),0)</f>
        <v>0</v>
      </c>
      <c r="P279" s="3" t="str">
        <f t="shared" si="18"/>
        <v/>
      </c>
      <c r="Q279" t="str">
        <f>IF(A279="","",IF(COUNTIF(tblBatidas[Início vinculado],"B"&amp;MID($A279,2,99))=0,"EM ABERTO",IF(OR(COUNTIF(tblBatidas[Início vinculado],"B"&amp;MID($A279,2,99))&gt;1,K279&lt;0,K279&gt;16,INT(INDEX(tblBatidas[Data e hora],MATCH("B"&amp;MID($A279,2,99),tblBatidas[Início vinculado],0)))&lt;&gt;B279,INDEX(tblBatidas[ID],MATCH("B"&amp;MID($A279,2,99),tblBatidas[Início vinculado],0))&lt;&gt;E279,INDEX(tblBatidas[Projeto],MATCH("B"&amp;MID($A279,2,99),tblBatidas[Início vinculado],0))&lt;&gt;G279,INDEX(tblBatidas[Atividade],MATCH("B"&amp;MID($A279,2,99),tblBatidas[Início vinculado],0))&lt;&gt;H279),"REVISAR","CONCLUÍDO")))</f>
        <v/>
      </c>
      <c r="R279">
        <f>IF(Q279&lt;&gt;"CONCLUÍDO",0,IF(COUNTIFS($E$5:E279,E279,$B$5:B279,B279,$Q$5:Q279,"CONCLUÍDO")=1,1,0))</f>
        <v>0</v>
      </c>
      <c r="S279" t="str">
        <f t="shared" si="19"/>
        <v/>
      </c>
      <c r="T279" t="str">
        <f>IF(E279="","",E279*100000+COUNTIFS(tblRegistros[ID],E279,tblRegistros[Data],"&lt;"&amp;B279)+COUNTIFS(tblRegistros[ID],E279,tblRegistros[Data],B279,tblRegistros[Início],"&lt;"&amp;I279)+COUNTIFS($E$5:E279,E279,$B$5:B279,B279,$I$5:I279,I279))</f>
        <v/>
      </c>
    </row>
    <row r="280" spans="2:20">
      <c r="B280" s="2" t="str">
        <f>IFERROR(INT(INDEX(tblBatidas[Data e hora],MATCH("B"&amp;MID($A280,2,99),tblBatidas[Batida ID],0))),"")</f>
        <v/>
      </c>
      <c r="C280" t="str">
        <f t="shared" si="16"/>
        <v/>
      </c>
      <c r="D280" t="str">
        <f t="shared" si="17"/>
        <v/>
      </c>
      <c r="E280" t="str">
        <f>IFERROR(INDEX(tblBatidas[ID],MATCH("B"&amp;MID($A280,2,99),tblBatidas[Batida ID],0)),"")</f>
        <v/>
      </c>
      <c r="F280" t="str">
        <f>IFERROR(INDEX(tblPessoas[Pessoa],MATCH(E280,tblPessoas[ID],0)),"")</f>
        <v/>
      </c>
      <c r="G280" t="str">
        <f>IFERROR(INDEX(tblBatidas[Projeto],MATCH("B"&amp;MID($A280,2,99),tblBatidas[Batida ID],0)),"")</f>
        <v/>
      </c>
      <c r="H280" t="str">
        <f>IFERROR(INDEX(tblBatidas[Atividade],MATCH("B"&amp;MID($A280,2,99),tblBatidas[Batida ID],0)),"")</f>
        <v/>
      </c>
      <c r="I280" s="4" t="str">
        <f>IFERROR(MOD(INDEX(tblBatidas[Data e hora],MATCH("B"&amp;MID($A280,2,99),tblBatidas[Batida ID],0)),1),"")</f>
        <v/>
      </c>
      <c r="J280" s="4" t="str">
        <f>IFERROR(MOD(INDEX(tblBatidas[Data e hora],MATCH("B"&amp;MID($A280,2,99),tblBatidas[Início vinculado],0)),1),"")</f>
        <v/>
      </c>
      <c r="K280" s="14" t="str">
        <f>IFERROR((INDEX(tblBatidas[Data e hora],MATCH("B"&amp;MID($A280,2,99),tblBatidas[Início vinculado],0))-INDEX(tblBatidas[Data e hora],MATCH("B"&amp;MID($A280,2,99),tblBatidas[Batida ID],0)))*24,"")</f>
        <v/>
      </c>
      <c r="L280" t="str">
        <f>IFERROR(INDEX(tblBatidas[Observação],MATCH("B"&amp;MID($A280,2,99),tblBatidas[Início vinculado],0)),"")</f>
        <v/>
      </c>
      <c r="M280" t="str">
        <f>IFERROR(INDEX(tblPessoas[Base],MATCH(E280,tblPessoas[ID],0)),"")</f>
        <v/>
      </c>
      <c r="N280" s="3">
        <f>IFERROR(IF(D280="DIA ÚTIL",INDEX(tblPessoas[R$/h útil],MATCH(E280,tblPessoas[ID],0)),INDEX(tblPessoas[R$/h FDS],MATCH(E280,tblPessoas[ID],0))),0)</f>
        <v>0</v>
      </c>
      <c r="O280" s="3">
        <f>IFERROR(INDEX(tblPessoas[R$/diária],MATCH(E280,tblPessoas[ID],0)),0)</f>
        <v>0</v>
      </c>
      <c r="P280" s="3" t="str">
        <f t="shared" si="18"/>
        <v/>
      </c>
      <c r="Q280" t="str">
        <f>IF(A280="","",IF(COUNTIF(tblBatidas[Início vinculado],"B"&amp;MID($A280,2,99))=0,"EM ABERTO",IF(OR(COUNTIF(tblBatidas[Início vinculado],"B"&amp;MID($A280,2,99))&gt;1,K280&lt;0,K280&gt;16,INT(INDEX(tblBatidas[Data e hora],MATCH("B"&amp;MID($A280,2,99),tblBatidas[Início vinculado],0)))&lt;&gt;B280,INDEX(tblBatidas[ID],MATCH("B"&amp;MID($A280,2,99),tblBatidas[Início vinculado],0))&lt;&gt;E280,INDEX(tblBatidas[Projeto],MATCH("B"&amp;MID($A280,2,99),tblBatidas[Início vinculado],0))&lt;&gt;G280,INDEX(tblBatidas[Atividade],MATCH("B"&amp;MID($A280,2,99),tblBatidas[Início vinculado],0))&lt;&gt;H280),"REVISAR","CONCLUÍDO")))</f>
        <v/>
      </c>
      <c r="R280">
        <f>IF(Q280&lt;&gt;"CONCLUÍDO",0,IF(COUNTIFS($E$5:E280,E280,$B$5:B280,B280,$Q$5:Q280,"CONCLUÍDO")=1,1,0))</f>
        <v>0</v>
      </c>
      <c r="S280" t="str">
        <f t="shared" si="19"/>
        <v/>
      </c>
      <c r="T280" t="str">
        <f>IF(E280="","",E280*100000+COUNTIFS(tblRegistros[ID],E280,tblRegistros[Data],"&lt;"&amp;B280)+COUNTIFS(tblRegistros[ID],E280,tblRegistros[Data],B280,tblRegistros[Início],"&lt;"&amp;I280)+COUNTIFS($E$5:E280,E280,$B$5:B280,B280,$I$5:I280,I280))</f>
        <v/>
      </c>
    </row>
    <row r="281" spans="2:20">
      <c r="B281" s="2" t="str">
        <f>IFERROR(INT(INDEX(tblBatidas[Data e hora],MATCH("B"&amp;MID($A281,2,99),tblBatidas[Batida ID],0))),"")</f>
        <v/>
      </c>
      <c r="C281" t="str">
        <f t="shared" si="16"/>
        <v/>
      </c>
      <c r="D281" t="str">
        <f t="shared" si="17"/>
        <v/>
      </c>
      <c r="E281" t="str">
        <f>IFERROR(INDEX(tblBatidas[ID],MATCH("B"&amp;MID($A281,2,99),tblBatidas[Batida ID],0)),"")</f>
        <v/>
      </c>
      <c r="F281" t="str">
        <f>IFERROR(INDEX(tblPessoas[Pessoa],MATCH(E281,tblPessoas[ID],0)),"")</f>
        <v/>
      </c>
      <c r="G281" t="str">
        <f>IFERROR(INDEX(tblBatidas[Projeto],MATCH("B"&amp;MID($A281,2,99),tblBatidas[Batida ID],0)),"")</f>
        <v/>
      </c>
      <c r="H281" t="str">
        <f>IFERROR(INDEX(tblBatidas[Atividade],MATCH("B"&amp;MID($A281,2,99),tblBatidas[Batida ID],0)),"")</f>
        <v/>
      </c>
      <c r="I281" s="4" t="str">
        <f>IFERROR(MOD(INDEX(tblBatidas[Data e hora],MATCH("B"&amp;MID($A281,2,99),tblBatidas[Batida ID],0)),1),"")</f>
        <v/>
      </c>
      <c r="J281" s="4" t="str">
        <f>IFERROR(MOD(INDEX(tblBatidas[Data e hora],MATCH("B"&amp;MID($A281,2,99),tblBatidas[Início vinculado],0)),1),"")</f>
        <v/>
      </c>
      <c r="K281" s="14" t="str">
        <f>IFERROR((INDEX(tblBatidas[Data e hora],MATCH("B"&amp;MID($A281,2,99),tblBatidas[Início vinculado],0))-INDEX(tblBatidas[Data e hora],MATCH("B"&amp;MID($A281,2,99),tblBatidas[Batida ID],0)))*24,"")</f>
        <v/>
      </c>
      <c r="L281" t="str">
        <f>IFERROR(INDEX(tblBatidas[Observação],MATCH("B"&amp;MID($A281,2,99),tblBatidas[Início vinculado],0)),"")</f>
        <v/>
      </c>
      <c r="M281" t="str">
        <f>IFERROR(INDEX(tblPessoas[Base],MATCH(E281,tblPessoas[ID],0)),"")</f>
        <v/>
      </c>
      <c r="N281" s="3">
        <f>IFERROR(IF(D281="DIA ÚTIL",INDEX(tblPessoas[R$/h útil],MATCH(E281,tblPessoas[ID],0)),INDEX(tblPessoas[R$/h FDS],MATCH(E281,tblPessoas[ID],0))),0)</f>
        <v>0</v>
      </c>
      <c r="O281" s="3">
        <f>IFERROR(INDEX(tblPessoas[R$/diária],MATCH(E281,tblPessoas[ID],0)),0)</f>
        <v>0</v>
      </c>
      <c r="P281" s="3" t="str">
        <f t="shared" si="18"/>
        <v/>
      </c>
      <c r="Q281" t="str">
        <f>IF(A281="","",IF(COUNTIF(tblBatidas[Início vinculado],"B"&amp;MID($A281,2,99))=0,"EM ABERTO",IF(OR(COUNTIF(tblBatidas[Início vinculado],"B"&amp;MID($A281,2,99))&gt;1,K281&lt;0,K281&gt;16,INT(INDEX(tblBatidas[Data e hora],MATCH("B"&amp;MID($A281,2,99),tblBatidas[Início vinculado],0)))&lt;&gt;B281,INDEX(tblBatidas[ID],MATCH("B"&amp;MID($A281,2,99),tblBatidas[Início vinculado],0))&lt;&gt;E281,INDEX(tblBatidas[Projeto],MATCH("B"&amp;MID($A281,2,99),tblBatidas[Início vinculado],0))&lt;&gt;G281,INDEX(tblBatidas[Atividade],MATCH("B"&amp;MID($A281,2,99),tblBatidas[Início vinculado],0))&lt;&gt;H281),"REVISAR","CONCLUÍDO")))</f>
        <v/>
      </c>
      <c r="R281">
        <f>IF(Q281&lt;&gt;"CONCLUÍDO",0,IF(COUNTIFS($E$5:E281,E281,$B$5:B281,B281,$Q$5:Q281,"CONCLUÍDO")=1,1,0))</f>
        <v>0</v>
      </c>
      <c r="S281" t="str">
        <f t="shared" si="19"/>
        <v/>
      </c>
      <c r="T281" t="str">
        <f>IF(E281="","",E281*100000+COUNTIFS(tblRegistros[ID],E281,tblRegistros[Data],"&lt;"&amp;B281)+COUNTIFS(tblRegistros[ID],E281,tblRegistros[Data],B281,tblRegistros[Início],"&lt;"&amp;I281)+COUNTIFS($E$5:E281,E281,$B$5:B281,B281,$I$5:I281,I281))</f>
        <v/>
      </c>
    </row>
    <row r="282" spans="2:20">
      <c r="B282" s="2" t="str">
        <f>IFERROR(INT(INDEX(tblBatidas[Data e hora],MATCH("B"&amp;MID($A282,2,99),tblBatidas[Batida ID],0))),"")</f>
        <v/>
      </c>
      <c r="C282" t="str">
        <f t="shared" si="16"/>
        <v/>
      </c>
      <c r="D282" t="str">
        <f t="shared" si="17"/>
        <v/>
      </c>
      <c r="E282" t="str">
        <f>IFERROR(INDEX(tblBatidas[ID],MATCH("B"&amp;MID($A282,2,99),tblBatidas[Batida ID],0)),"")</f>
        <v/>
      </c>
      <c r="F282" t="str">
        <f>IFERROR(INDEX(tblPessoas[Pessoa],MATCH(E282,tblPessoas[ID],0)),"")</f>
        <v/>
      </c>
      <c r="G282" t="str">
        <f>IFERROR(INDEX(tblBatidas[Projeto],MATCH("B"&amp;MID($A282,2,99),tblBatidas[Batida ID],0)),"")</f>
        <v/>
      </c>
      <c r="H282" t="str">
        <f>IFERROR(INDEX(tblBatidas[Atividade],MATCH("B"&amp;MID($A282,2,99),tblBatidas[Batida ID],0)),"")</f>
        <v/>
      </c>
      <c r="I282" s="4" t="str">
        <f>IFERROR(MOD(INDEX(tblBatidas[Data e hora],MATCH("B"&amp;MID($A282,2,99),tblBatidas[Batida ID],0)),1),"")</f>
        <v/>
      </c>
      <c r="J282" s="4" t="str">
        <f>IFERROR(MOD(INDEX(tblBatidas[Data e hora],MATCH("B"&amp;MID($A282,2,99),tblBatidas[Início vinculado],0)),1),"")</f>
        <v/>
      </c>
      <c r="K282" s="14" t="str">
        <f>IFERROR((INDEX(tblBatidas[Data e hora],MATCH("B"&amp;MID($A282,2,99),tblBatidas[Início vinculado],0))-INDEX(tblBatidas[Data e hora],MATCH("B"&amp;MID($A282,2,99),tblBatidas[Batida ID],0)))*24,"")</f>
        <v/>
      </c>
      <c r="L282" t="str">
        <f>IFERROR(INDEX(tblBatidas[Observação],MATCH("B"&amp;MID($A282,2,99),tblBatidas[Início vinculado],0)),"")</f>
        <v/>
      </c>
      <c r="M282" t="str">
        <f>IFERROR(INDEX(tblPessoas[Base],MATCH(E282,tblPessoas[ID],0)),"")</f>
        <v/>
      </c>
      <c r="N282" s="3">
        <f>IFERROR(IF(D282="DIA ÚTIL",INDEX(tblPessoas[R$/h útil],MATCH(E282,tblPessoas[ID],0)),INDEX(tblPessoas[R$/h FDS],MATCH(E282,tblPessoas[ID],0))),0)</f>
        <v>0</v>
      </c>
      <c r="O282" s="3">
        <f>IFERROR(INDEX(tblPessoas[R$/diária],MATCH(E282,tblPessoas[ID],0)),0)</f>
        <v>0</v>
      </c>
      <c r="P282" s="3" t="str">
        <f t="shared" si="18"/>
        <v/>
      </c>
      <c r="Q282" t="str">
        <f>IF(A282="","",IF(COUNTIF(tblBatidas[Início vinculado],"B"&amp;MID($A282,2,99))=0,"EM ABERTO",IF(OR(COUNTIF(tblBatidas[Início vinculado],"B"&amp;MID($A282,2,99))&gt;1,K282&lt;0,K282&gt;16,INT(INDEX(tblBatidas[Data e hora],MATCH("B"&amp;MID($A282,2,99),tblBatidas[Início vinculado],0)))&lt;&gt;B282,INDEX(tblBatidas[ID],MATCH("B"&amp;MID($A282,2,99),tblBatidas[Início vinculado],0))&lt;&gt;E282,INDEX(tblBatidas[Projeto],MATCH("B"&amp;MID($A282,2,99),tblBatidas[Início vinculado],0))&lt;&gt;G282,INDEX(tblBatidas[Atividade],MATCH("B"&amp;MID($A282,2,99),tblBatidas[Início vinculado],0))&lt;&gt;H282),"REVISAR","CONCLUÍDO")))</f>
        <v/>
      </c>
      <c r="R282">
        <f>IF(Q282&lt;&gt;"CONCLUÍDO",0,IF(COUNTIFS($E$5:E282,E282,$B$5:B282,B282,$Q$5:Q282,"CONCLUÍDO")=1,1,0))</f>
        <v>0</v>
      </c>
      <c r="S282" t="str">
        <f t="shared" si="19"/>
        <v/>
      </c>
      <c r="T282" t="str">
        <f>IF(E282="","",E282*100000+COUNTIFS(tblRegistros[ID],E282,tblRegistros[Data],"&lt;"&amp;B282)+COUNTIFS(tblRegistros[ID],E282,tblRegistros[Data],B282,tblRegistros[Início],"&lt;"&amp;I282)+COUNTIFS($E$5:E282,E282,$B$5:B282,B282,$I$5:I282,I282))</f>
        <v/>
      </c>
    </row>
    <row r="283" spans="2:20">
      <c r="B283" s="2" t="str">
        <f>IFERROR(INT(INDEX(tblBatidas[Data e hora],MATCH("B"&amp;MID($A283,2,99),tblBatidas[Batida ID],0))),"")</f>
        <v/>
      </c>
      <c r="C283" t="str">
        <f t="shared" si="16"/>
        <v/>
      </c>
      <c r="D283" t="str">
        <f t="shared" si="17"/>
        <v/>
      </c>
      <c r="E283" t="str">
        <f>IFERROR(INDEX(tblBatidas[ID],MATCH("B"&amp;MID($A283,2,99),tblBatidas[Batida ID],0)),"")</f>
        <v/>
      </c>
      <c r="F283" t="str">
        <f>IFERROR(INDEX(tblPessoas[Pessoa],MATCH(E283,tblPessoas[ID],0)),"")</f>
        <v/>
      </c>
      <c r="G283" t="str">
        <f>IFERROR(INDEX(tblBatidas[Projeto],MATCH("B"&amp;MID($A283,2,99),tblBatidas[Batida ID],0)),"")</f>
        <v/>
      </c>
      <c r="H283" t="str">
        <f>IFERROR(INDEX(tblBatidas[Atividade],MATCH("B"&amp;MID($A283,2,99),tblBatidas[Batida ID],0)),"")</f>
        <v/>
      </c>
      <c r="I283" s="4" t="str">
        <f>IFERROR(MOD(INDEX(tblBatidas[Data e hora],MATCH("B"&amp;MID($A283,2,99),tblBatidas[Batida ID],0)),1),"")</f>
        <v/>
      </c>
      <c r="J283" s="4" t="str">
        <f>IFERROR(MOD(INDEX(tblBatidas[Data e hora],MATCH("B"&amp;MID($A283,2,99),tblBatidas[Início vinculado],0)),1),"")</f>
        <v/>
      </c>
      <c r="K283" s="14" t="str">
        <f>IFERROR((INDEX(tblBatidas[Data e hora],MATCH("B"&amp;MID($A283,2,99),tblBatidas[Início vinculado],0))-INDEX(tblBatidas[Data e hora],MATCH("B"&amp;MID($A283,2,99),tblBatidas[Batida ID],0)))*24,"")</f>
        <v/>
      </c>
      <c r="L283" t="str">
        <f>IFERROR(INDEX(tblBatidas[Observação],MATCH("B"&amp;MID($A283,2,99),tblBatidas[Início vinculado],0)),"")</f>
        <v/>
      </c>
      <c r="M283" t="str">
        <f>IFERROR(INDEX(tblPessoas[Base],MATCH(E283,tblPessoas[ID],0)),"")</f>
        <v/>
      </c>
      <c r="N283" s="3">
        <f>IFERROR(IF(D283="DIA ÚTIL",INDEX(tblPessoas[R$/h útil],MATCH(E283,tblPessoas[ID],0)),INDEX(tblPessoas[R$/h FDS],MATCH(E283,tblPessoas[ID],0))),0)</f>
        <v>0</v>
      </c>
      <c r="O283" s="3">
        <f>IFERROR(INDEX(tblPessoas[R$/diária],MATCH(E283,tblPessoas[ID],0)),0)</f>
        <v>0</v>
      </c>
      <c r="P283" s="3" t="str">
        <f t="shared" si="18"/>
        <v/>
      </c>
      <c r="Q283" t="str">
        <f>IF(A283="","",IF(COUNTIF(tblBatidas[Início vinculado],"B"&amp;MID($A283,2,99))=0,"EM ABERTO",IF(OR(COUNTIF(tblBatidas[Início vinculado],"B"&amp;MID($A283,2,99))&gt;1,K283&lt;0,K283&gt;16,INT(INDEX(tblBatidas[Data e hora],MATCH("B"&amp;MID($A283,2,99),tblBatidas[Início vinculado],0)))&lt;&gt;B283,INDEX(tblBatidas[ID],MATCH("B"&amp;MID($A283,2,99),tblBatidas[Início vinculado],0))&lt;&gt;E283,INDEX(tblBatidas[Projeto],MATCH("B"&amp;MID($A283,2,99),tblBatidas[Início vinculado],0))&lt;&gt;G283,INDEX(tblBatidas[Atividade],MATCH("B"&amp;MID($A283,2,99),tblBatidas[Início vinculado],0))&lt;&gt;H283),"REVISAR","CONCLUÍDO")))</f>
        <v/>
      </c>
      <c r="R283">
        <f>IF(Q283&lt;&gt;"CONCLUÍDO",0,IF(COUNTIFS($E$5:E283,E283,$B$5:B283,B283,$Q$5:Q283,"CONCLUÍDO")=1,1,0))</f>
        <v>0</v>
      </c>
      <c r="S283" t="str">
        <f t="shared" si="19"/>
        <v/>
      </c>
      <c r="T283" t="str">
        <f>IF(E283="","",E283*100000+COUNTIFS(tblRegistros[ID],E283,tblRegistros[Data],"&lt;"&amp;B283)+COUNTIFS(tblRegistros[ID],E283,tblRegistros[Data],B283,tblRegistros[Início],"&lt;"&amp;I283)+COUNTIFS($E$5:E283,E283,$B$5:B283,B283,$I$5:I283,I283))</f>
        <v/>
      </c>
    </row>
    <row r="284" spans="2:20">
      <c r="B284" s="2" t="str">
        <f>IFERROR(INT(INDEX(tblBatidas[Data e hora],MATCH("B"&amp;MID($A284,2,99),tblBatidas[Batida ID],0))),"")</f>
        <v/>
      </c>
      <c r="C284" t="str">
        <f t="shared" si="16"/>
        <v/>
      </c>
      <c r="D284" t="str">
        <f t="shared" si="17"/>
        <v/>
      </c>
      <c r="E284" t="str">
        <f>IFERROR(INDEX(tblBatidas[ID],MATCH("B"&amp;MID($A284,2,99),tblBatidas[Batida ID],0)),"")</f>
        <v/>
      </c>
      <c r="F284" t="str">
        <f>IFERROR(INDEX(tblPessoas[Pessoa],MATCH(E284,tblPessoas[ID],0)),"")</f>
        <v/>
      </c>
      <c r="G284" t="str">
        <f>IFERROR(INDEX(tblBatidas[Projeto],MATCH("B"&amp;MID($A284,2,99),tblBatidas[Batida ID],0)),"")</f>
        <v/>
      </c>
      <c r="H284" t="str">
        <f>IFERROR(INDEX(tblBatidas[Atividade],MATCH("B"&amp;MID($A284,2,99),tblBatidas[Batida ID],0)),"")</f>
        <v/>
      </c>
      <c r="I284" s="4" t="str">
        <f>IFERROR(MOD(INDEX(tblBatidas[Data e hora],MATCH("B"&amp;MID($A284,2,99),tblBatidas[Batida ID],0)),1),"")</f>
        <v/>
      </c>
      <c r="J284" s="4" t="str">
        <f>IFERROR(MOD(INDEX(tblBatidas[Data e hora],MATCH("B"&amp;MID($A284,2,99),tblBatidas[Início vinculado],0)),1),"")</f>
        <v/>
      </c>
      <c r="K284" s="14" t="str">
        <f>IFERROR((INDEX(tblBatidas[Data e hora],MATCH("B"&amp;MID($A284,2,99),tblBatidas[Início vinculado],0))-INDEX(tblBatidas[Data e hora],MATCH("B"&amp;MID($A284,2,99),tblBatidas[Batida ID],0)))*24,"")</f>
        <v/>
      </c>
      <c r="L284" t="str">
        <f>IFERROR(INDEX(tblBatidas[Observação],MATCH("B"&amp;MID($A284,2,99),tblBatidas[Início vinculado],0)),"")</f>
        <v/>
      </c>
      <c r="M284" t="str">
        <f>IFERROR(INDEX(tblPessoas[Base],MATCH(E284,tblPessoas[ID],0)),"")</f>
        <v/>
      </c>
      <c r="N284" s="3">
        <f>IFERROR(IF(D284="DIA ÚTIL",INDEX(tblPessoas[R$/h útil],MATCH(E284,tblPessoas[ID],0)),INDEX(tblPessoas[R$/h FDS],MATCH(E284,tblPessoas[ID],0))),0)</f>
        <v>0</v>
      </c>
      <c r="O284" s="3">
        <f>IFERROR(INDEX(tblPessoas[R$/diária],MATCH(E284,tblPessoas[ID],0)),0)</f>
        <v>0</v>
      </c>
      <c r="P284" s="3" t="str">
        <f t="shared" si="18"/>
        <v/>
      </c>
      <c r="Q284" t="str">
        <f>IF(A284="","",IF(COUNTIF(tblBatidas[Início vinculado],"B"&amp;MID($A284,2,99))=0,"EM ABERTO",IF(OR(COUNTIF(tblBatidas[Início vinculado],"B"&amp;MID($A284,2,99))&gt;1,K284&lt;0,K284&gt;16,INT(INDEX(tblBatidas[Data e hora],MATCH("B"&amp;MID($A284,2,99),tblBatidas[Início vinculado],0)))&lt;&gt;B284,INDEX(tblBatidas[ID],MATCH("B"&amp;MID($A284,2,99),tblBatidas[Início vinculado],0))&lt;&gt;E284,INDEX(tblBatidas[Projeto],MATCH("B"&amp;MID($A284,2,99),tblBatidas[Início vinculado],0))&lt;&gt;G284,INDEX(tblBatidas[Atividade],MATCH("B"&amp;MID($A284,2,99),tblBatidas[Início vinculado],0))&lt;&gt;H284),"REVISAR","CONCLUÍDO")))</f>
        <v/>
      </c>
      <c r="R284">
        <f>IF(Q284&lt;&gt;"CONCLUÍDO",0,IF(COUNTIFS($E$5:E284,E284,$B$5:B284,B284,$Q$5:Q284,"CONCLUÍDO")=1,1,0))</f>
        <v>0</v>
      </c>
      <c r="S284" t="str">
        <f t="shared" si="19"/>
        <v/>
      </c>
      <c r="T284" t="str">
        <f>IF(E284="","",E284*100000+COUNTIFS(tblRegistros[ID],E284,tblRegistros[Data],"&lt;"&amp;B284)+COUNTIFS(tblRegistros[ID],E284,tblRegistros[Data],B284,tblRegistros[Início],"&lt;"&amp;I284)+COUNTIFS($E$5:E284,E284,$B$5:B284,B284,$I$5:I284,I284))</f>
        <v/>
      </c>
    </row>
    <row r="285" spans="2:20">
      <c r="B285" s="2" t="str">
        <f>IFERROR(INT(INDEX(tblBatidas[Data e hora],MATCH("B"&amp;MID($A285,2,99),tblBatidas[Batida ID],0))),"")</f>
        <v/>
      </c>
      <c r="C285" t="str">
        <f t="shared" si="16"/>
        <v/>
      </c>
      <c r="D285" t="str">
        <f t="shared" si="17"/>
        <v/>
      </c>
      <c r="E285" t="str">
        <f>IFERROR(INDEX(tblBatidas[ID],MATCH("B"&amp;MID($A285,2,99),tblBatidas[Batida ID],0)),"")</f>
        <v/>
      </c>
      <c r="F285" t="str">
        <f>IFERROR(INDEX(tblPessoas[Pessoa],MATCH(E285,tblPessoas[ID],0)),"")</f>
        <v/>
      </c>
      <c r="G285" t="str">
        <f>IFERROR(INDEX(tblBatidas[Projeto],MATCH("B"&amp;MID($A285,2,99),tblBatidas[Batida ID],0)),"")</f>
        <v/>
      </c>
      <c r="H285" t="str">
        <f>IFERROR(INDEX(tblBatidas[Atividade],MATCH("B"&amp;MID($A285,2,99),tblBatidas[Batida ID],0)),"")</f>
        <v/>
      </c>
      <c r="I285" s="4" t="str">
        <f>IFERROR(MOD(INDEX(tblBatidas[Data e hora],MATCH("B"&amp;MID($A285,2,99),tblBatidas[Batida ID],0)),1),"")</f>
        <v/>
      </c>
      <c r="J285" s="4" t="str">
        <f>IFERROR(MOD(INDEX(tblBatidas[Data e hora],MATCH("B"&amp;MID($A285,2,99),tblBatidas[Início vinculado],0)),1),"")</f>
        <v/>
      </c>
      <c r="K285" s="14" t="str">
        <f>IFERROR((INDEX(tblBatidas[Data e hora],MATCH("B"&amp;MID($A285,2,99),tblBatidas[Início vinculado],0))-INDEX(tblBatidas[Data e hora],MATCH("B"&amp;MID($A285,2,99),tblBatidas[Batida ID],0)))*24,"")</f>
        <v/>
      </c>
      <c r="L285" t="str">
        <f>IFERROR(INDEX(tblBatidas[Observação],MATCH("B"&amp;MID($A285,2,99),tblBatidas[Início vinculado],0)),"")</f>
        <v/>
      </c>
      <c r="M285" t="str">
        <f>IFERROR(INDEX(tblPessoas[Base],MATCH(E285,tblPessoas[ID],0)),"")</f>
        <v/>
      </c>
      <c r="N285" s="3">
        <f>IFERROR(IF(D285="DIA ÚTIL",INDEX(tblPessoas[R$/h útil],MATCH(E285,tblPessoas[ID],0)),INDEX(tblPessoas[R$/h FDS],MATCH(E285,tblPessoas[ID],0))),0)</f>
        <v>0</v>
      </c>
      <c r="O285" s="3">
        <f>IFERROR(INDEX(tblPessoas[R$/diária],MATCH(E285,tblPessoas[ID],0)),0)</f>
        <v>0</v>
      </c>
      <c r="P285" s="3" t="str">
        <f t="shared" si="18"/>
        <v/>
      </c>
      <c r="Q285" t="str">
        <f>IF(A285="","",IF(COUNTIF(tblBatidas[Início vinculado],"B"&amp;MID($A285,2,99))=0,"EM ABERTO",IF(OR(COUNTIF(tblBatidas[Início vinculado],"B"&amp;MID($A285,2,99))&gt;1,K285&lt;0,K285&gt;16,INT(INDEX(tblBatidas[Data e hora],MATCH("B"&amp;MID($A285,2,99),tblBatidas[Início vinculado],0)))&lt;&gt;B285,INDEX(tblBatidas[ID],MATCH("B"&amp;MID($A285,2,99),tblBatidas[Início vinculado],0))&lt;&gt;E285,INDEX(tblBatidas[Projeto],MATCH("B"&amp;MID($A285,2,99),tblBatidas[Início vinculado],0))&lt;&gt;G285,INDEX(tblBatidas[Atividade],MATCH("B"&amp;MID($A285,2,99),tblBatidas[Início vinculado],0))&lt;&gt;H285),"REVISAR","CONCLUÍDO")))</f>
        <v/>
      </c>
      <c r="R285">
        <f>IF(Q285&lt;&gt;"CONCLUÍDO",0,IF(COUNTIFS($E$5:E285,E285,$B$5:B285,B285,$Q$5:Q285,"CONCLUÍDO")=1,1,0))</f>
        <v>0</v>
      </c>
      <c r="S285" t="str">
        <f t="shared" si="19"/>
        <v/>
      </c>
      <c r="T285" t="str">
        <f>IF(E285="","",E285*100000+COUNTIFS(tblRegistros[ID],E285,tblRegistros[Data],"&lt;"&amp;B285)+COUNTIFS(tblRegistros[ID],E285,tblRegistros[Data],B285,tblRegistros[Início],"&lt;"&amp;I285)+COUNTIFS($E$5:E285,E285,$B$5:B285,B285,$I$5:I285,I285))</f>
        <v/>
      </c>
    </row>
    <row r="286" spans="2:20">
      <c r="B286" s="2" t="str">
        <f>IFERROR(INT(INDEX(tblBatidas[Data e hora],MATCH("B"&amp;MID($A286,2,99),tblBatidas[Batida ID],0))),"")</f>
        <v/>
      </c>
      <c r="C286" t="str">
        <f t="shared" si="16"/>
        <v/>
      </c>
      <c r="D286" t="str">
        <f t="shared" si="17"/>
        <v/>
      </c>
      <c r="E286" t="str">
        <f>IFERROR(INDEX(tblBatidas[ID],MATCH("B"&amp;MID($A286,2,99),tblBatidas[Batida ID],0)),"")</f>
        <v/>
      </c>
      <c r="F286" t="str">
        <f>IFERROR(INDEX(tblPessoas[Pessoa],MATCH(E286,tblPessoas[ID],0)),"")</f>
        <v/>
      </c>
      <c r="G286" t="str">
        <f>IFERROR(INDEX(tblBatidas[Projeto],MATCH("B"&amp;MID($A286,2,99),tblBatidas[Batida ID],0)),"")</f>
        <v/>
      </c>
      <c r="H286" t="str">
        <f>IFERROR(INDEX(tblBatidas[Atividade],MATCH("B"&amp;MID($A286,2,99),tblBatidas[Batida ID],0)),"")</f>
        <v/>
      </c>
      <c r="I286" s="4" t="str">
        <f>IFERROR(MOD(INDEX(tblBatidas[Data e hora],MATCH("B"&amp;MID($A286,2,99),tblBatidas[Batida ID],0)),1),"")</f>
        <v/>
      </c>
      <c r="J286" s="4" t="str">
        <f>IFERROR(MOD(INDEX(tblBatidas[Data e hora],MATCH("B"&amp;MID($A286,2,99),tblBatidas[Início vinculado],0)),1),"")</f>
        <v/>
      </c>
      <c r="K286" s="14" t="str">
        <f>IFERROR((INDEX(tblBatidas[Data e hora],MATCH("B"&amp;MID($A286,2,99),tblBatidas[Início vinculado],0))-INDEX(tblBatidas[Data e hora],MATCH("B"&amp;MID($A286,2,99),tblBatidas[Batida ID],0)))*24,"")</f>
        <v/>
      </c>
      <c r="L286" t="str">
        <f>IFERROR(INDEX(tblBatidas[Observação],MATCH("B"&amp;MID($A286,2,99),tblBatidas[Início vinculado],0)),"")</f>
        <v/>
      </c>
      <c r="M286" t="str">
        <f>IFERROR(INDEX(tblPessoas[Base],MATCH(E286,tblPessoas[ID],0)),"")</f>
        <v/>
      </c>
      <c r="N286" s="3">
        <f>IFERROR(IF(D286="DIA ÚTIL",INDEX(tblPessoas[R$/h útil],MATCH(E286,tblPessoas[ID],0)),INDEX(tblPessoas[R$/h FDS],MATCH(E286,tblPessoas[ID],0))),0)</f>
        <v>0</v>
      </c>
      <c r="O286" s="3">
        <f>IFERROR(INDEX(tblPessoas[R$/diária],MATCH(E286,tblPessoas[ID],0)),0)</f>
        <v>0</v>
      </c>
      <c r="P286" s="3" t="str">
        <f t="shared" si="18"/>
        <v/>
      </c>
      <c r="Q286" t="str">
        <f>IF(A286="","",IF(COUNTIF(tblBatidas[Início vinculado],"B"&amp;MID($A286,2,99))=0,"EM ABERTO",IF(OR(COUNTIF(tblBatidas[Início vinculado],"B"&amp;MID($A286,2,99))&gt;1,K286&lt;0,K286&gt;16,INT(INDEX(tblBatidas[Data e hora],MATCH("B"&amp;MID($A286,2,99),tblBatidas[Início vinculado],0)))&lt;&gt;B286,INDEX(tblBatidas[ID],MATCH("B"&amp;MID($A286,2,99),tblBatidas[Início vinculado],0))&lt;&gt;E286,INDEX(tblBatidas[Projeto],MATCH("B"&amp;MID($A286,2,99),tblBatidas[Início vinculado],0))&lt;&gt;G286,INDEX(tblBatidas[Atividade],MATCH("B"&amp;MID($A286,2,99),tblBatidas[Início vinculado],0))&lt;&gt;H286),"REVISAR","CONCLUÍDO")))</f>
        <v/>
      </c>
      <c r="R286">
        <f>IF(Q286&lt;&gt;"CONCLUÍDO",0,IF(COUNTIFS($E$5:E286,E286,$B$5:B286,B286,$Q$5:Q286,"CONCLUÍDO")=1,1,0))</f>
        <v>0</v>
      </c>
      <c r="S286" t="str">
        <f t="shared" si="19"/>
        <v/>
      </c>
      <c r="T286" t="str">
        <f>IF(E286="","",E286*100000+COUNTIFS(tblRegistros[ID],E286,tblRegistros[Data],"&lt;"&amp;B286)+COUNTIFS(tblRegistros[ID],E286,tblRegistros[Data],B286,tblRegistros[Início],"&lt;"&amp;I286)+COUNTIFS($E$5:E286,E286,$B$5:B286,B286,$I$5:I286,I286))</f>
        <v/>
      </c>
    </row>
    <row r="287" spans="2:20">
      <c r="B287" s="2" t="str">
        <f>IFERROR(INT(INDEX(tblBatidas[Data e hora],MATCH("B"&amp;MID($A287,2,99),tblBatidas[Batida ID],0))),"")</f>
        <v/>
      </c>
      <c r="C287" t="str">
        <f t="shared" si="16"/>
        <v/>
      </c>
      <c r="D287" t="str">
        <f t="shared" si="17"/>
        <v/>
      </c>
      <c r="E287" t="str">
        <f>IFERROR(INDEX(tblBatidas[ID],MATCH("B"&amp;MID($A287,2,99),tblBatidas[Batida ID],0)),"")</f>
        <v/>
      </c>
      <c r="F287" t="str">
        <f>IFERROR(INDEX(tblPessoas[Pessoa],MATCH(E287,tblPessoas[ID],0)),"")</f>
        <v/>
      </c>
      <c r="G287" t="str">
        <f>IFERROR(INDEX(tblBatidas[Projeto],MATCH("B"&amp;MID($A287,2,99),tblBatidas[Batida ID],0)),"")</f>
        <v/>
      </c>
      <c r="H287" t="str">
        <f>IFERROR(INDEX(tblBatidas[Atividade],MATCH("B"&amp;MID($A287,2,99),tblBatidas[Batida ID],0)),"")</f>
        <v/>
      </c>
      <c r="I287" s="4" t="str">
        <f>IFERROR(MOD(INDEX(tblBatidas[Data e hora],MATCH("B"&amp;MID($A287,2,99),tblBatidas[Batida ID],0)),1),"")</f>
        <v/>
      </c>
      <c r="J287" s="4" t="str">
        <f>IFERROR(MOD(INDEX(tblBatidas[Data e hora],MATCH("B"&amp;MID($A287,2,99),tblBatidas[Início vinculado],0)),1),"")</f>
        <v/>
      </c>
      <c r="K287" s="14" t="str">
        <f>IFERROR((INDEX(tblBatidas[Data e hora],MATCH("B"&amp;MID($A287,2,99),tblBatidas[Início vinculado],0))-INDEX(tblBatidas[Data e hora],MATCH("B"&amp;MID($A287,2,99),tblBatidas[Batida ID],0)))*24,"")</f>
        <v/>
      </c>
      <c r="L287" t="str">
        <f>IFERROR(INDEX(tblBatidas[Observação],MATCH("B"&amp;MID($A287,2,99),tblBatidas[Início vinculado],0)),"")</f>
        <v/>
      </c>
      <c r="M287" t="str">
        <f>IFERROR(INDEX(tblPessoas[Base],MATCH(E287,tblPessoas[ID],0)),"")</f>
        <v/>
      </c>
      <c r="N287" s="3">
        <f>IFERROR(IF(D287="DIA ÚTIL",INDEX(tblPessoas[R$/h útil],MATCH(E287,tblPessoas[ID],0)),INDEX(tblPessoas[R$/h FDS],MATCH(E287,tblPessoas[ID],0))),0)</f>
        <v>0</v>
      </c>
      <c r="O287" s="3">
        <f>IFERROR(INDEX(tblPessoas[R$/diária],MATCH(E287,tblPessoas[ID],0)),0)</f>
        <v>0</v>
      </c>
      <c r="P287" s="3" t="str">
        <f t="shared" si="18"/>
        <v/>
      </c>
      <c r="Q287" t="str">
        <f>IF(A287="","",IF(COUNTIF(tblBatidas[Início vinculado],"B"&amp;MID($A287,2,99))=0,"EM ABERTO",IF(OR(COUNTIF(tblBatidas[Início vinculado],"B"&amp;MID($A287,2,99))&gt;1,K287&lt;0,K287&gt;16,INT(INDEX(tblBatidas[Data e hora],MATCH("B"&amp;MID($A287,2,99),tblBatidas[Início vinculado],0)))&lt;&gt;B287,INDEX(tblBatidas[ID],MATCH("B"&amp;MID($A287,2,99),tblBatidas[Início vinculado],0))&lt;&gt;E287,INDEX(tblBatidas[Projeto],MATCH("B"&amp;MID($A287,2,99),tblBatidas[Início vinculado],0))&lt;&gt;G287,INDEX(tblBatidas[Atividade],MATCH("B"&amp;MID($A287,2,99),tblBatidas[Início vinculado],0))&lt;&gt;H287),"REVISAR","CONCLUÍDO")))</f>
        <v/>
      </c>
      <c r="R287">
        <f>IF(Q287&lt;&gt;"CONCLUÍDO",0,IF(COUNTIFS($E$5:E287,E287,$B$5:B287,B287,$Q$5:Q287,"CONCLUÍDO")=1,1,0))</f>
        <v>0</v>
      </c>
      <c r="S287" t="str">
        <f t="shared" si="19"/>
        <v/>
      </c>
      <c r="T287" t="str">
        <f>IF(E287="","",E287*100000+COUNTIFS(tblRegistros[ID],E287,tblRegistros[Data],"&lt;"&amp;B287)+COUNTIFS(tblRegistros[ID],E287,tblRegistros[Data],B287,tblRegistros[Início],"&lt;"&amp;I287)+COUNTIFS($E$5:E287,E287,$B$5:B287,B287,$I$5:I287,I287))</f>
        <v/>
      </c>
    </row>
    <row r="288" spans="2:20">
      <c r="B288" s="2" t="str">
        <f>IFERROR(INT(INDEX(tblBatidas[Data e hora],MATCH("B"&amp;MID($A288,2,99),tblBatidas[Batida ID],0))),"")</f>
        <v/>
      </c>
      <c r="C288" t="str">
        <f t="shared" si="16"/>
        <v/>
      </c>
      <c r="D288" t="str">
        <f t="shared" si="17"/>
        <v/>
      </c>
      <c r="E288" t="str">
        <f>IFERROR(INDEX(tblBatidas[ID],MATCH("B"&amp;MID($A288,2,99),tblBatidas[Batida ID],0)),"")</f>
        <v/>
      </c>
      <c r="F288" t="str">
        <f>IFERROR(INDEX(tblPessoas[Pessoa],MATCH(E288,tblPessoas[ID],0)),"")</f>
        <v/>
      </c>
      <c r="G288" t="str">
        <f>IFERROR(INDEX(tblBatidas[Projeto],MATCH("B"&amp;MID($A288,2,99),tblBatidas[Batida ID],0)),"")</f>
        <v/>
      </c>
      <c r="H288" t="str">
        <f>IFERROR(INDEX(tblBatidas[Atividade],MATCH("B"&amp;MID($A288,2,99),tblBatidas[Batida ID],0)),"")</f>
        <v/>
      </c>
      <c r="I288" s="4" t="str">
        <f>IFERROR(MOD(INDEX(tblBatidas[Data e hora],MATCH("B"&amp;MID($A288,2,99),tblBatidas[Batida ID],0)),1),"")</f>
        <v/>
      </c>
      <c r="J288" s="4" t="str">
        <f>IFERROR(MOD(INDEX(tblBatidas[Data e hora],MATCH("B"&amp;MID($A288,2,99),tblBatidas[Início vinculado],0)),1),"")</f>
        <v/>
      </c>
      <c r="K288" s="14" t="str">
        <f>IFERROR((INDEX(tblBatidas[Data e hora],MATCH("B"&amp;MID($A288,2,99),tblBatidas[Início vinculado],0))-INDEX(tblBatidas[Data e hora],MATCH("B"&amp;MID($A288,2,99),tblBatidas[Batida ID],0)))*24,"")</f>
        <v/>
      </c>
      <c r="L288" t="str">
        <f>IFERROR(INDEX(tblBatidas[Observação],MATCH("B"&amp;MID($A288,2,99),tblBatidas[Início vinculado],0)),"")</f>
        <v/>
      </c>
      <c r="M288" t="str">
        <f>IFERROR(INDEX(tblPessoas[Base],MATCH(E288,tblPessoas[ID],0)),"")</f>
        <v/>
      </c>
      <c r="N288" s="3">
        <f>IFERROR(IF(D288="DIA ÚTIL",INDEX(tblPessoas[R$/h útil],MATCH(E288,tblPessoas[ID],0)),INDEX(tblPessoas[R$/h FDS],MATCH(E288,tblPessoas[ID],0))),0)</f>
        <v>0</v>
      </c>
      <c r="O288" s="3">
        <f>IFERROR(INDEX(tblPessoas[R$/diária],MATCH(E288,tblPessoas[ID],0)),0)</f>
        <v>0</v>
      </c>
      <c r="P288" s="3" t="str">
        <f t="shared" si="18"/>
        <v/>
      </c>
      <c r="Q288" t="str">
        <f>IF(A288="","",IF(COUNTIF(tblBatidas[Início vinculado],"B"&amp;MID($A288,2,99))=0,"EM ABERTO",IF(OR(COUNTIF(tblBatidas[Início vinculado],"B"&amp;MID($A288,2,99))&gt;1,K288&lt;0,K288&gt;16,INT(INDEX(tblBatidas[Data e hora],MATCH("B"&amp;MID($A288,2,99),tblBatidas[Início vinculado],0)))&lt;&gt;B288,INDEX(tblBatidas[ID],MATCH("B"&amp;MID($A288,2,99),tblBatidas[Início vinculado],0))&lt;&gt;E288,INDEX(tblBatidas[Projeto],MATCH("B"&amp;MID($A288,2,99),tblBatidas[Início vinculado],0))&lt;&gt;G288,INDEX(tblBatidas[Atividade],MATCH("B"&amp;MID($A288,2,99),tblBatidas[Início vinculado],0))&lt;&gt;H288),"REVISAR","CONCLUÍDO")))</f>
        <v/>
      </c>
      <c r="R288">
        <f>IF(Q288&lt;&gt;"CONCLUÍDO",0,IF(COUNTIFS($E$5:E288,E288,$B$5:B288,B288,$Q$5:Q288,"CONCLUÍDO")=1,1,0))</f>
        <v>0</v>
      </c>
      <c r="S288" t="str">
        <f t="shared" si="19"/>
        <v/>
      </c>
      <c r="T288" t="str">
        <f>IF(E288="","",E288*100000+COUNTIFS(tblRegistros[ID],E288,tblRegistros[Data],"&lt;"&amp;B288)+COUNTIFS(tblRegistros[ID],E288,tblRegistros[Data],B288,tblRegistros[Início],"&lt;"&amp;I288)+COUNTIFS($E$5:E288,E288,$B$5:B288,B288,$I$5:I288,I288))</f>
        <v/>
      </c>
    </row>
    <row r="289" spans="2:20">
      <c r="B289" s="2" t="str">
        <f>IFERROR(INT(INDEX(tblBatidas[Data e hora],MATCH("B"&amp;MID($A289,2,99),tblBatidas[Batida ID],0))),"")</f>
        <v/>
      </c>
      <c r="C289" t="str">
        <f t="shared" si="16"/>
        <v/>
      </c>
      <c r="D289" t="str">
        <f t="shared" si="17"/>
        <v/>
      </c>
      <c r="E289" t="str">
        <f>IFERROR(INDEX(tblBatidas[ID],MATCH("B"&amp;MID($A289,2,99),tblBatidas[Batida ID],0)),"")</f>
        <v/>
      </c>
      <c r="F289" t="str">
        <f>IFERROR(INDEX(tblPessoas[Pessoa],MATCH(E289,tblPessoas[ID],0)),"")</f>
        <v/>
      </c>
      <c r="G289" t="str">
        <f>IFERROR(INDEX(tblBatidas[Projeto],MATCH("B"&amp;MID($A289,2,99),tblBatidas[Batida ID],0)),"")</f>
        <v/>
      </c>
      <c r="H289" t="str">
        <f>IFERROR(INDEX(tblBatidas[Atividade],MATCH("B"&amp;MID($A289,2,99),tblBatidas[Batida ID],0)),"")</f>
        <v/>
      </c>
      <c r="I289" s="4" t="str">
        <f>IFERROR(MOD(INDEX(tblBatidas[Data e hora],MATCH("B"&amp;MID($A289,2,99),tblBatidas[Batida ID],0)),1),"")</f>
        <v/>
      </c>
      <c r="J289" s="4" t="str">
        <f>IFERROR(MOD(INDEX(tblBatidas[Data e hora],MATCH("B"&amp;MID($A289,2,99),tblBatidas[Início vinculado],0)),1),"")</f>
        <v/>
      </c>
      <c r="K289" s="14" t="str">
        <f>IFERROR((INDEX(tblBatidas[Data e hora],MATCH("B"&amp;MID($A289,2,99),tblBatidas[Início vinculado],0))-INDEX(tblBatidas[Data e hora],MATCH("B"&amp;MID($A289,2,99),tblBatidas[Batida ID],0)))*24,"")</f>
        <v/>
      </c>
      <c r="L289" t="str">
        <f>IFERROR(INDEX(tblBatidas[Observação],MATCH("B"&amp;MID($A289,2,99),tblBatidas[Início vinculado],0)),"")</f>
        <v/>
      </c>
      <c r="M289" t="str">
        <f>IFERROR(INDEX(tblPessoas[Base],MATCH(E289,tblPessoas[ID],0)),"")</f>
        <v/>
      </c>
      <c r="N289" s="3">
        <f>IFERROR(IF(D289="DIA ÚTIL",INDEX(tblPessoas[R$/h útil],MATCH(E289,tblPessoas[ID],0)),INDEX(tblPessoas[R$/h FDS],MATCH(E289,tblPessoas[ID],0))),0)</f>
        <v>0</v>
      </c>
      <c r="O289" s="3">
        <f>IFERROR(INDEX(tblPessoas[R$/diária],MATCH(E289,tblPessoas[ID],0)),0)</f>
        <v>0</v>
      </c>
      <c r="P289" s="3" t="str">
        <f t="shared" si="18"/>
        <v/>
      </c>
      <c r="Q289" t="str">
        <f>IF(A289="","",IF(COUNTIF(tblBatidas[Início vinculado],"B"&amp;MID($A289,2,99))=0,"EM ABERTO",IF(OR(COUNTIF(tblBatidas[Início vinculado],"B"&amp;MID($A289,2,99))&gt;1,K289&lt;0,K289&gt;16,INT(INDEX(tblBatidas[Data e hora],MATCH("B"&amp;MID($A289,2,99),tblBatidas[Início vinculado],0)))&lt;&gt;B289,INDEX(tblBatidas[ID],MATCH("B"&amp;MID($A289,2,99),tblBatidas[Início vinculado],0))&lt;&gt;E289,INDEX(tblBatidas[Projeto],MATCH("B"&amp;MID($A289,2,99),tblBatidas[Início vinculado],0))&lt;&gt;G289,INDEX(tblBatidas[Atividade],MATCH("B"&amp;MID($A289,2,99),tblBatidas[Início vinculado],0))&lt;&gt;H289),"REVISAR","CONCLUÍDO")))</f>
        <v/>
      </c>
      <c r="R289">
        <f>IF(Q289&lt;&gt;"CONCLUÍDO",0,IF(COUNTIFS($E$5:E289,E289,$B$5:B289,B289,$Q$5:Q289,"CONCLUÍDO")=1,1,0))</f>
        <v>0</v>
      </c>
      <c r="S289" t="str">
        <f t="shared" si="19"/>
        <v/>
      </c>
      <c r="T289" t="str">
        <f>IF(E289="","",E289*100000+COUNTIFS(tblRegistros[ID],E289,tblRegistros[Data],"&lt;"&amp;B289)+COUNTIFS(tblRegistros[ID],E289,tblRegistros[Data],B289,tblRegistros[Início],"&lt;"&amp;I289)+COUNTIFS($E$5:E289,E289,$B$5:B289,B289,$I$5:I289,I289))</f>
        <v/>
      </c>
    </row>
    <row r="290" spans="2:20">
      <c r="B290" s="2" t="str">
        <f>IFERROR(INT(INDEX(tblBatidas[Data e hora],MATCH("B"&amp;MID($A290,2,99),tblBatidas[Batida ID],0))),"")</f>
        <v/>
      </c>
      <c r="C290" t="str">
        <f t="shared" si="16"/>
        <v/>
      </c>
      <c r="D290" t="str">
        <f t="shared" si="17"/>
        <v/>
      </c>
      <c r="E290" t="str">
        <f>IFERROR(INDEX(tblBatidas[ID],MATCH("B"&amp;MID($A290,2,99),tblBatidas[Batida ID],0)),"")</f>
        <v/>
      </c>
      <c r="F290" t="str">
        <f>IFERROR(INDEX(tblPessoas[Pessoa],MATCH(E290,tblPessoas[ID],0)),"")</f>
        <v/>
      </c>
      <c r="G290" t="str">
        <f>IFERROR(INDEX(tblBatidas[Projeto],MATCH("B"&amp;MID($A290,2,99),tblBatidas[Batida ID],0)),"")</f>
        <v/>
      </c>
      <c r="H290" t="str">
        <f>IFERROR(INDEX(tblBatidas[Atividade],MATCH("B"&amp;MID($A290,2,99),tblBatidas[Batida ID],0)),"")</f>
        <v/>
      </c>
      <c r="I290" s="4" t="str">
        <f>IFERROR(MOD(INDEX(tblBatidas[Data e hora],MATCH("B"&amp;MID($A290,2,99),tblBatidas[Batida ID],0)),1),"")</f>
        <v/>
      </c>
      <c r="J290" s="4" t="str">
        <f>IFERROR(MOD(INDEX(tblBatidas[Data e hora],MATCH("B"&amp;MID($A290,2,99),tblBatidas[Início vinculado],0)),1),"")</f>
        <v/>
      </c>
      <c r="K290" s="14" t="str">
        <f>IFERROR((INDEX(tblBatidas[Data e hora],MATCH("B"&amp;MID($A290,2,99),tblBatidas[Início vinculado],0))-INDEX(tblBatidas[Data e hora],MATCH("B"&amp;MID($A290,2,99),tblBatidas[Batida ID],0)))*24,"")</f>
        <v/>
      </c>
      <c r="L290" t="str">
        <f>IFERROR(INDEX(tblBatidas[Observação],MATCH("B"&amp;MID($A290,2,99),tblBatidas[Início vinculado],0)),"")</f>
        <v/>
      </c>
      <c r="M290" t="str">
        <f>IFERROR(INDEX(tblPessoas[Base],MATCH(E290,tblPessoas[ID],0)),"")</f>
        <v/>
      </c>
      <c r="N290" s="3">
        <f>IFERROR(IF(D290="DIA ÚTIL",INDEX(tblPessoas[R$/h útil],MATCH(E290,tblPessoas[ID],0)),INDEX(tblPessoas[R$/h FDS],MATCH(E290,tblPessoas[ID],0))),0)</f>
        <v>0</v>
      </c>
      <c r="O290" s="3">
        <f>IFERROR(INDEX(tblPessoas[R$/diária],MATCH(E290,tblPessoas[ID],0)),0)</f>
        <v>0</v>
      </c>
      <c r="P290" s="3" t="str">
        <f t="shared" si="18"/>
        <v/>
      </c>
      <c r="Q290" t="str">
        <f>IF(A290="","",IF(COUNTIF(tblBatidas[Início vinculado],"B"&amp;MID($A290,2,99))=0,"EM ABERTO",IF(OR(COUNTIF(tblBatidas[Início vinculado],"B"&amp;MID($A290,2,99))&gt;1,K290&lt;0,K290&gt;16,INT(INDEX(tblBatidas[Data e hora],MATCH("B"&amp;MID($A290,2,99),tblBatidas[Início vinculado],0)))&lt;&gt;B290,INDEX(tblBatidas[ID],MATCH("B"&amp;MID($A290,2,99),tblBatidas[Início vinculado],0))&lt;&gt;E290,INDEX(tblBatidas[Projeto],MATCH("B"&amp;MID($A290,2,99),tblBatidas[Início vinculado],0))&lt;&gt;G290,INDEX(tblBatidas[Atividade],MATCH("B"&amp;MID($A290,2,99),tblBatidas[Início vinculado],0))&lt;&gt;H290),"REVISAR","CONCLUÍDO")))</f>
        <v/>
      </c>
      <c r="R290">
        <f>IF(Q290&lt;&gt;"CONCLUÍDO",0,IF(COUNTIFS($E$5:E290,E290,$B$5:B290,B290,$Q$5:Q290,"CONCLUÍDO")=1,1,0))</f>
        <v>0</v>
      </c>
      <c r="S290" t="str">
        <f t="shared" si="19"/>
        <v/>
      </c>
      <c r="T290" t="str">
        <f>IF(E290="","",E290*100000+COUNTIFS(tblRegistros[ID],E290,tblRegistros[Data],"&lt;"&amp;B290)+COUNTIFS(tblRegistros[ID],E290,tblRegistros[Data],B290,tblRegistros[Início],"&lt;"&amp;I290)+COUNTIFS($E$5:E290,E290,$B$5:B290,B290,$I$5:I290,I290))</f>
        <v/>
      </c>
    </row>
    <row r="291" spans="2:20">
      <c r="B291" s="2" t="str">
        <f>IFERROR(INT(INDEX(tblBatidas[Data e hora],MATCH("B"&amp;MID($A291,2,99),tblBatidas[Batida ID],0))),"")</f>
        <v/>
      </c>
      <c r="C291" t="str">
        <f t="shared" si="16"/>
        <v/>
      </c>
      <c r="D291" t="str">
        <f t="shared" si="17"/>
        <v/>
      </c>
      <c r="E291" t="str">
        <f>IFERROR(INDEX(tblBatidas[ID],MATCH("B"&amp;MID($A291,2,99),tblBatidas[Batida ID],0)),"")</f>
        <v/>
      </c>
      <c r="F291" t="str">
        <f>IFERROR(INDEX(tblPessoas[Pessoa],MATCH(E291,tblPessoas[ID],0)),"")</f>
        <v/>
      </c>
      <c r="G291" t="str">
        <f>IFERROR(INDEX(tblBatidas[Projeto],MATCH("B"&amp;MID($A291,2,99),tblBatidas[Batida ID],0)),"")</f>
        <v/>
      </c>
      <c r="H291" t="str">
        <f>IFERROR(INDEX(tblBatidas[Atividade],MATCH("B"&amp;MID($A291,2,99),tblBatidas[Batida ID],0)),"")</f>
        <v/>
      </c>
      <c r="I291" s="4" t="str">
        <f>IFERROR(MOD(INDEX(tblBatidas[Data e hora],MATCH("B"&amp;MID($A291,2,99),tblBatidas[Batida ID],0)),1),"")</f>
        <v/>
      </c>
      <c r="J291" s="4" t="str">
        <f>IFERROR(MOD(INDEX(tblBatidas[Data e hora],MATCH("B"&amp;MID($A291,2,99),tblBatidas[Início vinculado],0)),1),"")</f>
        <v/>
      </c>
      <c r="K291" s="14" t="str">
        <f>IFERROR((INDEX(tblBatidas[Data e hora],MATCH("B"&amp;MID($A291,2,99),tblBatidas[Início vinculado],0))-INDEX(tblBatidas[Data e hora],MATCH("B"&amp;MID($A291,2,99),tblBatidas[Batida ID],0)))*24,"")</f>
        <v/>
      </c>
      <c r="L291" t="str">
        <f>IFERROR(INDEX(tblBatidas[Observação],MATCH("B"&amp;MID($A291,2,99),tblBatidas[Início vinculado],0)),"")</f>
        <v/>
      </c>
      <c r="M291" t="str">
        <f>IFERROR(INDEX(tblPessoas[Base],MATCH(E291,tblPessoas[ID],0)),"")</f>
        <v/>
      </c>
      <c r="N291" s="3">
        <f>IFERROR(IF(D291="DIA ÚTIL",INDEX(tblPessoas[R$/h útil],MATCH(E291,tblPessoas[ID],0)),INDEX(tblPessoas[R$/h FDS],MATCH(E291,tblPessoas[ID],0))),0)</f>
        <v>0</v>
      </c>
      <c r="O291" s="3">
        <f>IFERROR(INDEX(tblPessoas[R$/diária],MATCH(E291,tblPessoas[ID],0)),0)</f>
        <v>0</v>
      </c>
      <c r="P291" s="3" t="str">
        <f t="shared" si="18"/>
        <v/>
      </c>
      <c r="Q291" t="str">
        <f>IF(A291="","",IF(COUNTIF(tblBatidas[Início vinculado],"B"&amp;MID($A291,2,99))=0,"EM ABERTO",IF(OR(COUNTIF(tblBatidas[Início vinculado],"B"&amp;MID($A291,2,99))&gt;1,K291&lt;0,K291&gt;16,INT(INDEX(tblBatidas[Data e hora],MATCH("B"&amp;MID($A291,2,99),tblBatidas[Início vinculado],0)))&lt;&gt;B291,INDEX(tblBatidas[ID],MATCH("B"&amp;MID($A291,2,99),tblBatidas[Início vinculado],0))&lt;&gt;E291,INDEX(tblBatidas[Projeto],MATCH("B"&amp;MID($A291,2,99),tblBatidas[Início vinculado],0))&lt;&gt;G291,INDEX(tblBatidas[Atividade],MATCH("B"&amp;MID($A291,2,99),tblBatidas[Início vinculado],0))&lt;&gt;H291),"REVISAR","CONCLUÍDO")))</f>
        <v/>
      </c>
      <c r="R291">
        <f>IF(Q291&lt;&gt;"CONCLUÍDO",0,IF(COUNTIFS($E$5:E291,E291,$B$5:B291,B291,$Q$5:Q291,"CONCLUÍDO")=1,1,0))</f>
        <v>0</v>
      </c>
      <c r="S291" t="str">
        <f t="shared" si="19"/>
        <v/>
      </c>
      <c r="T291" t="str">
        <f>IF(E291="","",E291*100000+COUNTIFS(tblRegistros[ID],E291,tblRegistros[Data],"&lt;"&amp;B291)+COUNTIFS(tblRegistros[ID],E291,tblRegistros[Data],B291,tblRegistros[Início],"&lt;"&amp;I291)+COUNTIFS($E$5:E291,E291,$B$5:B291,B291,$I$5:I291,I291))</f>
        <v/>
      </c>
    </row>
    <row r="292" spans="2:20">
      <c r="B292" s="2" t="str">
        <f>IFERROR(INT(INDEX(tblBatidas[Data e hora],MATCH("B"&amp;MID($A292,2,99),tblBatidas[Batida ID],0))),"")</f>
        <v/>
      </c>
      <c r="C292" t="str">
        <f t="shared" si="16"/>
        <v/>
      </c>
      <c r="D292" t="str">
        <f t="shared" si="17"/>
        <v/>
      </c>
      <c r="E292" t="str">
        <f>IFERROR(INDEX(tblBatidas[ID],MATCH("B"&amp;MID($A292,2,99),tblBatidas[Batida ID],0)),"")</f>
        <v/>
      </c>
      <c r="F292" t="str">
        <f>IFERROR(INDEX(tblPessoas[Pessoa],MATCH(E292,tblPessoas[ID],0)),"")</f>
        <v/>
      </c>
      <c r="G292" t="str">
        <f>IFERROR(INDEX(tblBatidas[Projeto],MATCH("B"&amp;MID($A292,2,99),tblBatidas[Batida ID],0)),"")</f>
        <v/>
      </c>
      <c r="H292" t="str">
        <f>IFERROR(INDEX(tblBatidas[Atividade],MATCH("B"&amp;MID($A292,2,99),tblBatidas[Batida ID],0)),"")</f>
        <v/>
      </c>
      <c r="I292" s="4" t="str">
        <f>IFERROR(MOD(INDEX(tblBatidas[Data e hora],MATCH("B"&amp;MID($A292,2,99),tblBatidas[Batida ID],0)),1),"")</f>
        <v/>
      </c>
      <c r="J292" s="4" t="str">
        <f>IFERROR(MOD(INDEX(tblBatidas[Data e hora],MATCH("B"&amp;MID($A292,2,99),tblBatidas[Início vinculado],0)),1),"")</f>
        <v/>
      </c>
      <c r="K292" s="14" t="str">
        <f>IFERROR((INDEX(tblBatidas[Data e hora],MATCH("B"&amp;MID($A292,2,99),tblBatidas[Início vinculado],0))-INDEX(tblBatidas[Data e hora],MATCH("B"&amp;MID($A292,2,99),tblBatidas[Batida ID],0)))*24,"")</f>
        <v/>
      </c>
      <c r="L292" t="str">
        <f>IFERROR(INDEX(tblBatidas[Observação],MATCH("B"&amp;MID($A292,2,99),tblBatidas[Início vinculado],0)),"")</f>
        <v/>
      </c>
      <c r="M292" t="str">
        <f>IFERROR(INDEX(tblPessoas[Base],MATCH(E292,tblPessoas[ID],0)),"")</f>
        <v/>
      </c>
      <c r="N292" s="3">
        <f>IFERROR(IF(D292="DIA ÚTIL",INDEX(tblPessoas[R$/h útil],MATCH(E292,tblPessoas[ID],0)),INDEX(tblPessoas[R$/h FDS],MATCH(E292,tblPessoas[ID],0))),0)</f>
        <v>0</v>
      </c>
      <c r="O292" s="3">
        <f>IFERROR(INDEX(tblPessoas[R$/diária],MATCH(E292,tblPessoas[ID],0)),0)</f>
        <v>0</v>
      </c>
      <c r="P292" s="3" t="str">
        <f t="shared" si="18"/>
        <v/>
      </c>
      <c r="Q292" t="str">
        <f>IF(A292="","",IF(COUNTIF(tblBatidas[Início vinculado],"B"&amp;MID($A292,2,99))=0,"EM ABERTO",IF(OR(COUNTIF(tblBatidas[Início vinculado],"B"&amp;MID($A292,2,99))&gt;1,K292&lt;0,K292&gt;16,INT(INDEX(tblBatidas[Data e hora],MATCH("B"&amp;MID($A292,2,99),tblBatidas[Início vinculado],0)))&lt;&gt;B292,INDEX(tblBatidas[ID],MATCH("B"&amp;MID($A292,2,99),tblBatidas[Início vinculado],0))&lt;&gt;E292,INDEX(tblBatidas[Projeto],MATCH("B"&amp;MID($A292,2,99),tblBatidas[Início vinculado],0))&lt;&gt;G292,INDEX(tblBatidas[Atividade],MATCH("B"&amp;MID($A292,2,99),tblBatidas[Início vinculado],0))&lt;&gt;H292),"REVISAR","CONCLUÍDO")))</f>
        <v/>
      </c>
      <c r="R292">
        <f>IF(Q292&lt;&gt;"CONCLUÍDO",0,IF(COUNTIFS($E$5:E292,E292,$B$5:B292,B292,$Q$5:Q292,"CONCLUÍDO")=1,1,0))</f>
        <v>0</v>
      </c>
      <c r="S292" t="str">
        <f t="shared" si="19"/>
        <v/>
      </c>
      <c r="T292" t="str">
        <f>IF(E292="","",E292*100000+COUNTIFS(tblRegistros[ID],E292,tblRegistros[Data],"&lt;"&amp;B292)+COUNTIFS(tblRegistros[ID],E292,tblRegistros[Data],B292,tblRegistros[Início],"&lt;"&amp;I292)+COUNTIFS($E$5:E292,E292,$B$5:B292,B292,$I$5:I292,I292))</f>
        <v/>
      </c>
    </row>
    <row r="293" spans="2:20">
      <c r="B293" s="2" t="str">
        <f>IFERROR(INT(INDEX(tblBatidas[Data e hora],MATCH("B"&amp;MID($A293,2,99),tblBatidas[Batida ID],0))),"")</f>
        <v/>
      </c>
      <c r="C293" t="str">
        <f t="shared" si="16"/>
        <v/>
      </c>
      <c r="D293" t="str">
        <f t="shared" si="17"/>
        <v/>
      </c>
      <c r="E293" t="str">
        <f>IFERROR(INDEX(tblBatidas[ID],MATCH("B"&amp;MID($A293,2,99),tblBatidas[Batida ID],0)),"")</f>
        <v/>
      </c>
      <c r="F293" t="str">
        <f>IFERROR(INDEX(tblPessoas[Pessoa],MATCH(E293,tblPessoas[ID],0)),"")</f>
        <v/>
      </c>
      <c r="G293" t="str">
        <f>IFERROR(INDEX(tblBatidas[Projeto],MATCH("B"&amp;MID($A293,2,99),tblBatidas[Batida ID],0)),"")</f>
        <v/>
      </c>
      <c r="H293" t="str">
        <f>IFERROR(INDEX(tblBatidas[Atividade],MATCH("B"&amp;MID($A293,2,99),tblBatidas[Batida ID],0)),"")</f>
        <v/>
      </c>
      <c r="I293" s="4" t="str">
        <f>IFERROR(MOD(INDEX(tblBatidas[Data e hora],MATCH("B"&amp;MID($A293,2,99),tblBatidas[Batida ID],0)),1),"")</f>
        <v/>
      </c>
      <c r="J293" s="4" t="str">
        <f>IFERROR(MOD(INDEX(tblBatidas[Data e hora],MATCH("B"&amp;MID($A293,2,99),tblBatidas[Início vinculado],0)),1),"")</f>
        <v/>
      </c>
      <c r="K293" s="14" t="str">
        <f>IFERROR((INDEX(tblBatidas[Data e hora],MATCH("B"&amp;MID($A293,2,99),tblBatidas[Início vinculado],0))-INDEX(tblBatidas[Data e hora],MATCH("B"&amp;MID($A293,2,99),tblBatidas[Batida ID],0)))*24,"")</f>
        <v/>
      </c>
      <c r="L293" t="str">
        <f>IFERROR(INDEX(tblBatidas[Observação],MATCH("B"&amp;MID($A293,2,99),tblBatidas[Início vinculado],0)),"")</f>
        <v/>
      </c>
      <c r="M293" t="str">
        <f>IFERROR(INDEX(tblPessoas[Base],MATCH(E293,tblPessoas[ID],0)),"")</f>
        <v/>
      </c>
      <c r="N293" s="3">
        <f>IFERROR(IF(D293="DIA ÚTIL",INDEX(tblPessoas[R$/h útil],MATCH(E293,tblPessoas[ID],0)),INDEX(tblPessoas[R$/h FDS],MATCH(E293,tblPessoas[ID],0))),0)</f>
        <v>0</v>
      </c>
      <c r="O293" s="3">
        <f>IFERROR(INDEX(tblPessoas[R$/diária],MATCH(E293,tblPessoas[ID],0)),0)</f>
        <v>0</v>
      </c>
      <c r="P293" s="3" t="str">
        <f t="shared" si="18"/>
        <v/>
      </c>
      <c r="Q293" t="str">
        <f>IF(A293="","",IF(COUNTIF(tblBatidas[Início vinculado],"B"&amp;MID($A293,2,99))=0,"EM ABERTO",IF(OR(COUNTIF(tblBatidas[Início vinculado],"B"&amp;MID($A293,2,99))&gt;1,K293&lt;0,K293&gt;16,INT(INDEX(tblBatidas[Data e hora],MATCH("B"&amp;MID($A293,2,99),tblBatidas[Início vinculado],0)))&lt;&gt;B293,INDEX(tblBatidas[ID],MATCH("B"&amp;MID($A293,2,99),tblBatidas[Início vinculado],0))&lt;&gt;E293,INDEX(tblBatidas[Projeto],MATCH("B"&amp;MID($A293,2,99),tblBatidas[Início vinculado],0))&lt;&gt;G293,INDEX(tblBatidas[Atividade],MATCH("B"&amp;MID($A293,2,99),tblBatidas[Início vinculado],0))&lt;&gt;H293),"REVISAR","CONCLUÍDO")))</f>
        <v/>
      </c>
      <c r="R293">
        <f>IF(Q293&lt;&gt;"CONCLUÍDO",0,IF(COUNTIFS($E$5:E293,E293,$B$5:B293,B293,$Q$5:Q293,"CONCLUÍDO")=1,1,0))</f>
        <v>0</v>
      </c>
      <c r="S293" t="str">
        <f t="shared" si="19"/>
        <v/>
      </c>
      <c r="T293" t="str">
        <f>IF(E293="","",E293*100000+COUNTIFS(tblRegistros[ID],E293,tblRegistros[Data],"&lt;"&amp;B293)+COUNTIFS(tblRegistros[ID],E293,tblRegistros[Data],B293,tblRegistros[Início],"&lt;"&amp;I293)+COUNTIFS($E$5:E293,E293,$B$5:B293,B293,$I$5:I293,I293))</f>
        <v/>
      </c>
    </row>
    <row r="294" spans="2:20">
      <c r="B294" s="2" t="str">
        <f>IFERROR(INT(INDEX(tblBatidas[Data e hora],MATCH("B"&amp;MID($A294,2,99),tblBatidas[Batida ID],0))),"")</f>
        <v/>
      </c>
      <c r="C294" t="str">
        <f t="shared" si="16"/>
        <v/>
      </c>
      <c r="D294" t="str">
        <f t="shared" si="17"/>
        <v/>
      </c>
      <c r="E294" t="str">
        <f>IFERROR(INDEX(tblBatidas[ID],MATCH("B"&amp;MID($A294,2,99),tblBatidas[Batida ID],0)),"")</f>
        <v/>
      </c>
      <c r="F294" t="str">
        <f>IFERROR(INDEX(tblPessoas[Pessoa],MATCH(E294,tblPessoas[ID],0)),"")</f>
        <v/>
      </c>
      <c r="G294" t="str">
        <f>IFERROR(INDEX(tblBatidas[Projeto],MATCH("B"&amp;MID($A294,2,99),tblBatidas[Batida ID],0)),"")</f>
        <v/>
      </c>
      <c r="H294" t="str">
        <f>IFERROR(INDEX(tblBatidas[Atividade],MATCH("B"&amp;MID($A294,2,99),tblBatidas[Batida ID],0)),"")</f>
        <v/>
      </c>
      <c r="I294" s="4" t="str">
        <f>IFERROR(MOD(INDEX(tblBatidas[Data e hora],MATCH("B"&amp;MID($A294,2,99),tblBatidas[Batida ID],0)),1),"")</f>
        <v/>
      </c>
      <c r="J294" s="4" t="str">
        <f>IFERROR(MOD(INDEX(tblBatidas[Data e hora],MATCH("B"&amp;MID($A294,2,99),tblBatidas[Início vinculado],0)),1),"")</f>
        <v/>
      </c>
      <c r="K294" s="14" t="str">
        <f>IFERROR((INDEX(tblBatidas[Data e hora],MATCH("B"&amp;MID($A294,2,99),tblBatidas[Início vinculado],0))-INDEX(tblBatidas[Data e hora],MATCH("B"&amp;MID($A294,2,99),tblBatidas[Batida ID],0)))*24,"")</f>
        <v/>
      </c>
      <c r="L294" t="str">
        <f>IFERROR(INDEX(tblBatidas[Observação],MATCH("B"&amp;MID($A294,2,99),tblBatidas[Início vinculado],0)),"")</f>
        <v/>
      </c>
      <c r="M294" t="str">
        <f>IFERROR(INDEX(tblPessoas[Base],MATCH(E294,tblPessoas[ID],0)),"")</f>
        <v/>
      </c>
      <c r="N294" s="3">
        <f>IFERROR(IF(D294="DIA ÚTIL",INDEX(tblPessoas[R$/h útil],MATCH(E294,tblPessoas[ID],0)),INDEX(tblPessoas[R$/h FDS],MATCH(E294,tblPessoas[ID],0))),0)</f>
        <v>0</v>
      </c>
      <c r="O294" s="3">
        <f>IFERROR(INDEX(tblPessoas[R$/diária],MATCH(E294,tblPessoas[ID],0)),0)</f>
        <v>0</v>
      </c>
      <c r="P294" s="3" t="str">
        <f t="shared" si="18"/>
        <v/>
      </c>
      <c r="Q294" t="str">
        <f>IF(A294="","",IF(COUNTIF(tblBatidas[Início vinculado],"B"&amp;MID($A294,2,99))=0,"EM ABERTO",IF(OR(COUNTIF(tblBatidas[Início vinculado],"B"&amp;MID($A294,2,99))&gt;1,K294&lt;0,K294&gt;16,INT(INDEX(tblBatidas[Data e hora],MATCH("B"&amp;MID($A294,2,99),tblBatidas[Início vinculado],0)))&lt;&gt;B294,INDEX(tblBatidas[ID],MATCH("B"&amp;MID($A294,2,99),tblBatidas[Início vinculado],0))&lt;&gt;E294,INDEX(tblBatidas[Projeto],MATCH("B"&amp;MID($A294,2,99),tblBatidas[Início vinculado],0))&lt;&gt;G294,INDEX(tblBatidas[Atividade],MATCH("B"&amp;MID($A294,2,99),tblBatidas[Início vinculado],0))&lt;&gt;H294),"REVISAR","CONCLUÍDO")))</f>
        <v/>
      </c>
      <c r="R294">
        <f>IF(Q294&lt;&gt;"CONCLUÍDO",0,IF(COUNTIFS($E$5:E294,E294,$B$5:B294,B294,$Q$5:Q294,"CONCLUÍDO")=1,1,0))</f>
        <v>0</v>
      </c>
      <c r="S294" t="str">
        <f t="shared" si="19"/>
        <v/>
      </c>
      <c r="T294" t="str">
        <f>IF(E294="","",E294*100000+COUNTIFS(tblRegistros[ID],E294,tblRegistros[Data],"&lt;"&amp;B294)+COUNTIFS(tblRegistros[ID],E294,tblRegistros[Data],B294,tblRegistros[Início],"&lt;"&amp;I294)+COUNTIFS($E$5:E294,E294,$B$5:B294,B294,$I$5:I294,I294))</f>
        <v/>
      </c>
    </row>
    <row r="295" spans="2:20">
      <c r="B295" s="2" t="str">
        <f>IFERROR(INT(INDEX(tblBatidas[Data e hora],MATCH("B"&amp;MID($A295,2,99),tblBatidas[Batida ID],0))),"")</f>
        <v/>
      </c>
      <c r="C295" t="str">
        <f t="shared" si="16"/>
        <v/>
      </c>
      <c r="D295" t="str">
        <f t="shared" si="17"/>
        <v/>
      </c>
      <c r="E295" t="str">
        <f>IFERROR(INDEX(tblBatidas[ID],MATCH("B"&amp;MID($A295,2,99),tblBatidas[Batida ID],0)),"")</f>
        <v/>
      </c>
      <c r="F295" t="str">
        <f>IFERROR(INDEX(tblPessoas[Pessoa],MATCH(E295,tblPessoas[ID],0)),"")</f>
        <v/>
      </c>
      <c r="G295" t="str">
        <f>IFERROR(INDEX(tblBatidas[Projeto],MATCH("B"&amp;MID($A295,2,99),tblBatidas[Batida ID],0)),"")</f>
        <v/>
      </c>
      <c r="H295" t="str">
        <f>IFERROR(INDEX(tblBatidas[Atividade],MATCH("B"&amp;MID($A295,2,99),tblBatidas[Batida ID],0)),"")</f>
        <v/>
      </c>
      <c r="I295" s="4" t="str">
        <f>IFERROR(MOD(INDEX(tblBatidas[Data e hora],MATCH("B"&amp;MID($A295,2,99),tblBatidas[Batida ID],0)),1),"")</f>
        <v/>
      </c>
      <c r="J295" s="4" t="str">
        <f>IFERROR(MOD(INDEX(tblBatidas[Data e hora],MATCH("B"&amp;MID($A295,2,99),tblBatidas[Início vinculado],0)),1),"")</f>
        <v/>
      </c>
      <c r="K295" s="14" t="str">
        <f>IFERROR((INDEX(tblBatidas[Data e hora],MATCH("B"&amp;MID($A295,2,99),tblBatidas[Início vinculado],0))-INDEX(tblBatidas[Data e hora],MATCH("B"&amp;MID($A295,2,99),tblBatidas[Batida ID],0)))*24,"")</f>
        <v/>
      </c>
      <c r="L295" t="str">
        <f>IFERROR(INDEX(tblBatidas[Observação],MATCH("B"&amp;MID($A295,2,99),tblBatidas[Início vinculado],0)),"")</f>
        <v/>
      </c>
      <c r="M295" t="str">
        <f>IFERROR(INDEX(tblPessoas[Base],MATCH(E295,tblPessoas[ID],0)),"")</f>
        <v/>
      </c>
      <c r="N295" s="3">
        <f>IFERROR(IF(D295="DIA ÚTIL",INDEX(tblPessoas[R$/h útil],MATCH(E295,tblPessoas[ID],0)),INDEX(tblPessoas[R$/h FDS],MATCH(E295,tblPessoas[ID],0))),0)</f>
        <v>0</v>
      </c>
      <c r="O295" s="3">
        <f>IFERROR(INDEX(tblPessoas[R$/diária],MATCH(E295,tblPessoas[ID],0)),0)</f>
        <v>0</v>
      </c>
      <c r="P295" s="3" t="str">
        <f t="shared" si="18"/>
        <v/>
      </c>
      <c r="Q295" t="str">
        <f>IF(A295="","",IF(COUNTIF(tblBatidas[Início vinculado],"B"&amp;MID($A295,2,99))=0,"EM ABERTO",IF(OR(COUNTIF(tblBatidas[Início vinculado],"B"&amp;MID($A295,2,99))&gt;1,K295&lt;0,K295&gt;16,INT(INDEX(tblBatidas[Data e hora],MATCH("B"&amp;MID($A295,2,99),tblBatidas[Início vinculado],0)))&lt;&gt;B295,INDEX(tblBatidas[ID],MATCH("B"&amp;MID($A295,2,99),tblBatidas[Início vinculado],0))&lt;&gt;E295,INDEX(tblBatidas[Projeto],MATCH("B"&amp;MID($A295,2,99),tblBatidas[Início vinculado],0))&lt;&gt;G295,INDEX(tblBatidas[Atividade],MATCH("B"&amp;MID($A295,2,99),tblBatidas[Início vinculado],0))&lt;&gt;H295),"REVISAR","CONCLUÍDO")))</f>
        <v/>
      </c>
      <c r="R295">
        <f>IF(Q295&lt;&gt;"CONCLUÍDO",0,IF(COUNTIFS($E$5:E295,E295,$B$5:B295,B295,$Q$5:Q295,"CONCLUÍDO")=1,1,0))</f>
        <v>0</v>
      </c>
      <c r="S295" t="str">
        <f t="shared" si="19"/>
        <v/>
      </c>
      <c r="T295" t="str">
        <f>IF(E295="","",E295*100000+COUNTIFS(tblRegistros[ID],E295,tblRegistros[Data],"&lt;"&amp;B295)+COUNTIFS(tblRegistros[ID],E295,tblRegistros[Data],B295,tblRegistros[Início],"&lt;"&amp;I295)+COUNTIFS($E$5:E295,E295,$B$5:B295,B295,$I$5:I295,I295))</f>
        <v/>
      </c>
    </row>
    <row r="296" spans="2:20">
      <c r="B296" s="2" t="str">
        <f>IFERROR(INT(INDEX(tblBatidas[Data e hora],MATCH("B"&amp;MID($A296,2,99),tblBatidas[Batida ID],0))),"")</f>
        <v/>
      </c>
      <c r="C296" t="str">
        <f t="shared" si="16"/>
        <v/>
      </c>
      <c r="D296" t="str">
        <f t="shared" si="17"/>
        <v/>
      </c>
      <c r="E296" t="str">
        <f>IFERROR(INDEX(tblBatidas[ID],MATCH("B"&amp;MID($A296,2,99),tblBatidas[Batida ID],0)),"")</f>
        <v/>
      </c>
      <c r="F296" t="str">
        <f>IFERROR(INDEX(tblPessoas[Pessoa],MATCH(E296,tblPessoas[ID],0)),"")</f>
        <v/>
      </c>
      <c r="G296" t="str">
        <f>IFERROR(INDEX(tblBatidas[Projeto],MATCH("B"&amp;MID($A296,2,99),tblBatidas[Batida ID],0)),"")</f>
        <v/>
      </c>
      <c r="H296" t="str">
        <f>IFERROR(INDEX(tblBatidas[Atividade],MATCH("B"&amp;MID($A296,2,99),tblBatidas[Batida ID],0)),"")</f>
        <v/>
      </c>
      <c r="I296" s="4" t="str">
        <f>IFERROR(MOD(INDEX(tblBatidas[Data e hora],MATCH("B"&amp;MID($A296,2,99),tblBatidas[Batida ID],0)),1),"")</f>
        <v/>
      </c>
      <c r="J296" s="4" t="str">
        <f>IFERROR(MOD(INDEX(tblBatidas[Data e hora],MATCH("B"&amp;MID($A296,2,99),tblBatidas[Início vinculado],0)),1),"")</f>
        <v/>
      </c>
      <c r="K296" s="14" t="str">
        <f>IFERROR((INDEX(tblBatidas[Data e hora],MATCH("B"&amp;MID($A296,2,99),tblBatidas[Início vinculado],0))-INDEX(tblBatidas[Data e hora],MATCH("B"&amp;MID($A296,2,99),tblBatidas[Batida ID],0)))*24,"")</f>
        <v/>
      </c>
      <c r="L296" t="str">
        <f>IFERROR(INDEX(tblBatidas[Observação],MATCH("B"&amp;MID($A296,2,99),tblBatidas[Início vinculado],0)),"")</f>
        <v/>
      </c>
      <c r="M296" t="str">
        <f>IFERROR(INDEX(tblPessoas[Base],MATCH(E296,tblPessoas[ID],0)),"")</f>
        <v/>
      </c>
      <c r="N296" s="3">
        <f>IFERROR(IF(D296="DIA ÚTIL",INDEX(tblPessoas[R$/h útil],MATCH(E296,tblPessoas[ID],0)),INDEX(tblPessoas[R$/h FDS],MATCH(E296,tblPessoas[ID],0))),0)</f>
        <v>0</v>
      </c>
      <c r="O296" s="3">
        <f>IFERROR(INDEX(tblPessoas[R$/diária],MATCH(E296,tblPessoas[ID],0)),0)</f>
        <v>0</v>
      </c>
      <c r="P296" s="3" t="str">
        <f t="shared" si="18"/>
        <v/>
      </c>
      <c r="Q296" t="str">
        <f>IF(A296="","",IF(COUNTIF(tblBatidas[Início vinculado],"B"&amp;MID($A296,2,99))=0,"EM ABERTO",IF(OR(COUNTIF(tblBatidas[Início vinculado],"B"&amp;MID($A296,2,99))&gt;1,K296&lt;0,K296&gt;16,INT(INDEX(tblBatidas[Data e hora],MATCH("B"&amp;MID($A296,2,99),tblBatidas[Início vinculado],0)))&lt;&gt;B296,INDEX(tblBatidas[ID],MATCH("B"&amp;MID($A296,2,99),tblBatidas[Início vinculado],0))&lt;&gt;E296,INDEX(tblBatidas[Projeto],MATCH("B"&amp;MID($A296,2,99),tblBatidas[Início vinculado],0))&lt;&gt;G296,INDEX(tblBatidas[Atividade],MATCH("B"&amp;MID($A296,2,99),tblBatidas[Início vinculado],0))&lt;&gt;H296),"REVISAR","CONCLUÍDO")))</f>
        <v/>
      </c>
      <c r="R296">
        <f>IF(Q296&lt;&gt;"CONCLUÍDO",0,IF(COUNTIFS($E$5:E296,E296,$B$5:B296,B296,$Q$5:Q296,"CONCLUÍDO")=1,1,0))</f>
        <v>0</v>
      </c>
      <c r="S296" t="str">
        <f t="shared" si="19"/>
        <v/>
      </c>
      <c r="T296" t="str">
        <f>IF(E296="","",E296*100000+COUNTIFS(tblRegistros[ID],E296,tblRegistros[Data],"&lt;"&amp;B296)+COUNTIFS(tblRegistros[ID],E296,tblRegistros[Data],B296,tblRegistros[Início],"&lt;"&amp;I296)+COUNTIFS($E$5:E296,E296,$B$5:B296,B296,$I$5:I296,I296))</f>
        <v/>
      </c>
    </row>
    <row r="297" spans="2:20">
      <c r="B297" s="2" t="str">
        <f>IFERROR(INT(INDEX(tblBatidas[Data e hora],MATCH("B"&amp;MID($A297,2,99),tblBatidas[Batida ID],0))),"")</f>
        <v/>
      </c>
      <c r="C297" t="str">
        <f t="shared" si="16"/>
        <v/>
      </c>
      <c r="D297" t="str">
        <f t="shared" si="17"/>
        <v/>
      </c>
      <c r="E297" t="str">
        <f>IFERROR(INDEX(tblBatidas[ID],MATCH("B"&amp;MID($A297,2,99),tblBatidas[Batida ID],0)),"")</f>
        <v/>
      </c>
      <c r="F297" t="str">
        <f>IFERROR(INDEX(tblPessoas[Pessoa],MATCH(E297,tblPessoas[ID],0)),"")</f>
        <v/>
      </c>
      <c r="G297" t="str">
        <f>IFERROR(INDEX(tblBatidas[Projeto],MATCH("B"&amp;MID($A297,2,99),tblBatidas[Batida ID],0)),"")</f>
        <v/>
      </c>
      <c r="H297" t="str">
        <f>IFERROR(INDEX(tblBatidas[Atividade],MATCH("B"&amp;MID($A297,2,99),tblBatidas[Batida ID],0)),"")</f>
        <v/>
      </c>
      <c r="I297" s="4" t="str">
        <f>IFERROR(MOD(INDEX(tblBatidas[Data e hora],MATCH("B"&amp;MID($A297,2,99),tblBatidas[Batida ID],0)),1),"")</f>
        <v/>
      </c>
      <c r="J297" s="4" t="str">
        <f>IFERROR(MOD(INDEX(tblBatidas[Data e hora],MATCH("B"&amp;MID($A297,2,99),tblBatidas[Início vinculado],0)),1),"")</f>
        <v/>
      </c>
      <c r="K297" s="14" t="str">
        <f>IFERROR((INDEX(tblBatidas[Data e hora],MATCH("B"&amp;MID($A297,2,99),tblBatidas[Início vinculado],0))-INDEX(tblBatidas[Data e hora],MATCH("B"&amp;MID($A297,2,99),tblBatidas[Batida ID],0)))*24,"")</f>
        <v/>
      </c>
      <c r="L297" t="str">
        <f>IFERROR(INDEX(tblBatidas[Observação],MATCH("B"&amp;MID($A297,2,99),tblBatidas[Início vinculado],0)),"")</f>
        <v/>
      </c>
      <c r="M297" t="str">
        <f>IFERROR(INDEX(tblPessoas[Base],MATCH(E297,tblPessoas[ID],0)),"")</f>
        <v/>
      </c>
      <c r="N297" s="3">
        <f>IFERROR(IF(D297="DIA ÚTIL",INDEX(tblPessoas[R$/h útil],MATCH(E297,tblPessoas[ID],0)),INDEX(tblPessoas[R$/h FDS],MATCH(E297,tblPessoas[ID],0))),0)</f>
        <v>0</v>
      </c>
      <c r="O297" s="3">
        <f>IFERROR(INDEX(tblPessoas[R$/diária],MATCH(E297,tblPessoas[ID],0)),0)</f>
        <v>0</v>
      </c>
      <c r="P297" s="3" t="str">
        <f t="shared" si="18"/>
        <v/>
      </c>
      <c r="Q297" t="str">
        <f>IF(A297="","",IF(COUNTIF(tblBatidas[Início vinculado],"B"&amp;MID($A297,2,99))=0,"EM ABERTO",IF(OR(COUNTIF(tblBatidas[Início vinculado],"B"&amp;MID($A297,2,99))&gt;1,K297&lt;0,K297&gt;16,INT(INDEX(tblBatidas[Data e hora],MATCH("B"&amp;MID($A297,2,99),tblBatidas[Início vinculado],0)))&lt;&gt;B297,INDEX(tblBatidas[ID],MATCH("B"&amp;MID($A297,2,99),tblBatidas[Início vinculado],0))&lt;&gt;E297,INDEX(tblBatidas[Projeto],MATCH("B"&amp;MID($A297,2,99),tblBatidas[Início vinculado],0))&lt;&gt;G297,INDEX(tblBatidas[Atividade],MATCH("B"&amp;MID($A297,2,99),tblBatidas[Início vinculado],0))&lt;&gt;H297),"REVISAR","CONCLUÍDO")))</f>
        <v/>
      </c>
      <c r="R297">
        <f>IF(Q297&lt;&gt;"CONCLUÍDO",0,IF(COUNTIFS($E$5:E297,E297,$B$5:B297,B297,$Q$5:Q297,"CONCLUÍDO")=1,1,0))</f>
        <v>0</v>
      </c>
      <c r="S297" t="str">
        <f t="shared" si="19"/>
        <v/>
      </c>
      <c r="T297" t="str">
        <f>IF(E297="","",E297*100000+COUNTIFS(tblRegistros[ID],E297,tblRegistros[Data],"&lt;"&amp;B297)+COUNTIFS(tblRegistros[ID],E297,tblRegistros[Data],B297,tblRegistros[Início],"&lt;"&amp;I297)+COUNTIFS($E$5:E297,E297,$B$5:B297,B297,$I$5:I297,I297))</f>
        <v/>
      </c>
    </row>
    <row r="298" spans="2:20">
      <c r="B298" s="2" t="str">
        <f>IFERROR(INT(INDEX(tblBatidas[Data e hora],MATCH("B"&amp;MID($A298,2,99),tblBatidas[Batida ID],0))),"")</f>
        <v/>
      </c>
      <c r="C298" t="str">
        <f t="shared" si="16"/>
        <v/>
      </c>
      <c r="D298" t="str">
        <f t="shared" si="17"/>
        <v/>
      </c>
      <c r="E298" t="str">
        <f>IFERROR(INDEX(tblBatidas[ID],MATCH("B"&amp;MID($A298,2,99),tblBatidas[Batida ID],0)),"")</f>
        <v/>
      </c>
      <c r="F298" t="str">
        <f>IFERROR(INDEX(tblPessoas[Pessoa],MATCH(E298,tblPessoas[ID],0)),"")</f>
        <v/>
      </c>
      <c r="G298" t="str">
        <f>IFERROR(INDEX(tblBatidas[Projeto],MATCH("B"&amp;MID($A298,2,99),tblBatidas[Batida ID],0)),"")</f>
        <v/>
      </c>
      <c r="H298" t="str">
        <f>IFERROR(INDEX(tblBatidas[Atividade],MATCH("B"&amp;MID($A298,2,99),tblBatidas[Batida ID],0)),"")</f>
        <v/>
      </c>
      <c r="I298" s="4" t="str">
        <f>IFERROR(MOD(INDEX(tblBatidas[Data e hora],MATCH("B"&amp;MID($A298,2,99),tblBatidas[Batida ID],0)),1),"")</f>
        <v/>
      </c>
      <c r="J298" s="4" t="str">
        <f>IFERROR(MOD(INDEX(tblBatidas[Data e hora],MATCH("B"&amp;MID($A298,2,99),tblBatidas[Início vinculado],0)),1),"")</f>
        <v/>
      </c>
      <c r="K298" s="14" t="str">
        <f>IFERROR((INDEX(tblBatidas[Data e hora],MATCH("B"&amp;MID($A298,2,99),tblBatidas[Início vinculado],0))-INDEX(tblBatidas[Data e hora],MATCH("B"&amp;MID($A298,2,99),tblBatidas[Batida ID],0)))*24,"")</f>
        <v/>
      </c>
      <c r="L298" t="str">
        <f>IFERROR(INDEX(tblBatidas[Observação],MATCH("B"&amp;MID($A298,2,99),tblBatidas[Início vinculado],0)),"")</f>
        <v/>
      </c>
      <c r="M298" t="str">
        <f>IFERROR(INDEX(tblPessoas[Base],MATCH(E298,tblPessoas[ID],0)),"")</f>
        <v/>
      </c>
      <c r="N298" s="3">
        <f>IFERROR(IF(D298="DIA ÚTIL",INDEX(tblPessoas[R$/h útil],MATCH(E298,tblPessoas[ID],0)),INDEX(tblPessoas[R$/h FDS],MATCH(E298,tblPessoas[ID],0))),0)</f>
        <v>0</v>
      </c>
      <c r="O298" s="3">
        <f>IFERROR(INDEX(tblPessoas[R$/diária],MATCH(E298,tblPessoas[ID],0)),0)</f>
        <v>0</v>
      </c>
      <c r="P298" s="3" t="str">
        <f t="shared" si="18"/>
        <v/>
      </c>
      <c r="Q298" t="str">
        <f>IF(A298="","",IF(COUNTIF(tblBatidas[Início vinculado],"B"&amp;MID($A298,2,99))=0,"EM ABERTO",IF(OR(COUNTIF(tblBatidas[Início vinculado],"B"&amp;MID($A298,2,99))&gt;1,K298&lt;0,K298&gt;16,INT(INDEX(tblBatidas[Data e hora],MATCH("B"&amp;MID($A298,2,99),tblBatidas[Início vinculado],0)))&lt;&gt;B298,INDEX(tblBatidas[ID],MATCH("B"&amp;MID($A298,2,99),tblBatidas[Início vinculado],0))&lt;&gt;E298,INDEX(tblBatidas[Projeto],MATCH("B"&amp;MID($A298,2,99),tblBatidas[Início vinculado],0))&lt;&gt;G298,INDEX(tblBatidas[Atividade],MATCH("B"&amp;MID($A298,2,99),tblBatidas[Início vinculado],0))&lt;&gt;H298),"REVISAR","CONCLUÍDO")))</f>
        <v/>
      </c>
      <c r="R298">
        <f>IF(Q298&lt;&gt;"CONCLUÍDO",0,IF(COUNTIFS($E$5:E298,E298,$B$5:B298,B298,$Q$5:Q298,"CONCLUÍDO")=1,1,0))</f>
        <v>0</v>
      </c>
      <c r="S298" t="str">
        <f t="shared" si="19"/>
        <v/>
      </c>
      <c r="T298" t="str">
        <f>IF(E298="","",E298*100000+COUNTIFS(tblRegistros[ID],E298,tblRegistros[Data],"&lt;"&amp;B298)+COUNTIFS(tblRegistros[ID],E298,tblRegistros[Data],B298,tblRegistros[Início],"&lt;"&amp;I298)+COUNTIFS($E$5:E298,E298,$B$5:B298,B298,$I$5:I298,I298))</f>
        <v/>
      </c>
    </row>
    <row r="299" spans="2:20">
      <c r="B299" s="2" t="str">
        <f>IFERROR(INT(INDEX(tblBatidas[Data e hora],MATCH("B"&amp;MID($A299,2,99),tblBatidas[Batida ID],0))),"")</f>
        <v/>
      </c>
      <c r="C299" t="str">
        <f t="shared" si="16"/>
        <v/>
      </c>
      <c r="D299" t="str">
        <f t="shared" si="17"/>
        <v/>
      </c>
      <c r="E299" t="str">
        <f>IFERROR(INDEX(tblBatidas[ID],MATCH("B"&amp;MID($A299,2,99),tblBatidas[Batida ID],0)),"")</f>
        <v/>
      </c>
      <c r="F299" t="str">
        <f>IFERROR(INDEX(tblPessoas[Pessoa],MATCH(E299,tblPessoas[ID],0)),"")</f>
        <v/>
      </c>
      <c r="G299" t="str">
        <f>IFERROR(INDEX(tblBatidas[Projeto],MATCH("B"&amp;MID($A299,2,99),tblBatidas[Batida ID],0)),"")</f>
        <v/>
      </c>
      <c r="H299" t="str">
        <f>IFERROR(INDEX(tblBatidas[Atividade],MATCH("B"&amp;MID($A299,2,99),tblBatidas[Batida ID],0)),"")</f>
        <v/>
      </c>
      <c r="I299" s="4" t="str">
        <f>IFERROR(MOD(INDEX(tblBatidas[Data e hora],MATCH("B"&amp;MID($A299,2,99),tblBatidas[Batida ID],0)),1),"")</f>
        <v/>
      </c>
      <c r="J299" s="4" t="str">
        <f>IFERROR(MOD(INDEX(tblBatidas[Data e hora],MATCH("B"&amp;MID($A299,2,99),tblBatidas[Início vinculado],0)),1),"")</f>
        <v/>
      </c>
      <c r="K299" s="14" t="str">
        <f>IFERROR((INDEX(tblBatidas[Data e hora],MATCH("B"&amp;MID($A299,2,99),tblBatidas[Início vinculado],0))-INDEX(tblBatidas[Data e hora],MATCH("B"&amp;MID($A299,2,99),tblBatidas[Batida ID],0)))*24,"")</f>
        <v/>
      </c>
      <c r="L299" t="str">
        <f>IFERROR(INDEX(tblBatidas[Observação],MATCH("B"&amp;MID($A299,2,99),tblBatidas[Início vinculado],0)),"")</f>
        <v/>
      </c>
      <c r="M299" t="str">
        <f>IFERROR(INDEX(tblPessoas[Base],MATCH(E299,tblPessoas[ID],0)),"")</f>
        <v/>
      </c>
      <c r="N299" s="3">
        <f>IFERROR(IF(D299="DIA ÚTIL",INDEX(tblPessoas[R$/h útil],MATCH(E299,tblPessoas[ID],0)),INDEX(tblPessoas[R$/h FDS],MATCH(E299,tblPessoas[ID],0))),0)</f>
        <v>0</v>
      </c>
      <c r="O299" s="3">
        <f>IFERROR(INDEX(tblPessoas[R$/diária],MATCH(E299,tblPessoas[ID],0)),0)</f>
        <v>0</v>
      </c>
      <c r="P299" s="3" t="str">
        <f t="shared" si="18"/>
        <v/>
      </c>
      <c r="Q299" t="str">
        <f>IF(A299="","",IF(COUNTIF(tblBatidas[Início vinculado],"B"&amp;MID($A299,2,99))=0,"EM ABERTO",IF(OR(COUNTIF(tblBatidas[Início vinculado],"B"&amp;MID($A299,2,99))&gt;1,K299&lt;0,K299&gt;16,INT(INDEX(tblBatidas[Data e hora],MATCH("B"&amp;MID($A299,2,99),tblBatidas[Início vinculado],0)))&lt;&gt;B299,INDEX(tblBatidas[ID],MATCH("B"&amp;MID($A299,2,99),tblBatidas[Início vinculado],0))&lt;&gt;E299,INDEX(tblBatidas[Projeto],MATCH("B"&amp;MID($A299,2,99),tblBatidas[Início vinculado],0))&lt;&gt;G299,INDEX(tblBatidas[Atividade],MATCH("B"&amp;MID($A299,2,99),tblBatidas[Início vinculado],0))&lt;&gt;H299),"REVISAR","CONCLUÍDO")))</f>
        <v/>
      </c>
      <c r="R299">
        <f>IF(Q299&lt;&gt;"CONCLUÍDO",0,IF(COUNTIFS($E$5:E299,E299,$B$5:B299,B299,$Q$5:Q299,"CONCLUÍDO")=1,1,0))</f>
        <v>0</v>
      </c>
      <c r="S299" t="str">
        <f t="shared" si="19"/>
        <v/>
      </c>
      <c r="T299" t="str">
        <f>IF(E299="","",E299*100000+COUNTIFS(tblRegistros[ID],E299,tblRegistros[Data],"&lt;"&amp;B299)+COUNTIFS(tblRegistros[ID],E299,tblRegistros[Data],B299,tblRegistros[Início],"&lt;"&amp;I299)+COUNTIFS($E$5:E299,E299,$B$5:B299,B299,$I$5:I299,I299))</f>
        <v/>
      </c>
    </row>
    <row r="300" spans="2:20">
      <c r="B300" s="2" t="str">
        <f>IFERROR(INT(INDEX(tblBatidas[Data e hora],MATCH("B"&amp;MID($A300,2,99),tblBatidas[Batida ID],0))),"")</f>
        <v/>
      </c>
      <c r="C300" t="str">
        <f t="shared" si="16"/>
        <v/>
      </c>
      <c r="D300" t="str">
        <f t="shared" si="17"/>
        <v/>
      </c>
      <c r="E300" t="str">
        <f>IFERROR(INDEX(tblBatidas[ID],MATCH("B"&amp;MID($A300,2,99),tblBatidas[Batida ID],0)),"")</f>
        <v/>
      </c>
      <c r="F300" t="str">
        <f>IFERROR(INDEX(tblPessoas[Pessoa],MATCH(E300,tblPessoas[ID],0)),"")</f>
        <v/>
      </c>
      <c r="G300" t="str">
        <f>IFERROR(INDEX(tblBatidas[Projeto],MATCH("B"&amp;MID($A300,2,99),tblBatidas[Batida ID],0)),"")</f>
        <v/>
      </c>
      <c r="H300" t="str">
        <f>IFERROR(INDEX(tblBatidas[Atividade],MATCH("B"&amp;MID($A300,2,99),tblBatidas[Batida ID],0)),"")</f>
        <v/>
      </c>
      <c r="I300" s="4" t="str">
        <f>IFERROR(MOD(INDEX(tblBatidas[Data e hora],MATCH("B"&amp;MID($A300,2,99),tblBatidas[Batida ID],0)),1),"")</f>
        <v/>
      </c>
      <c r="J300" s="4" t="str">
        <f>IFERROR(MOD(INDEX(tblBatidas[Data e hora],MATCH("B"&amp;MID($A300,2,99),tblBatidas[Início vinculado],0)),1),"")</f>
        <v/>
      </c>
      <c r="K300" s="14" t="str">
        <f>IFERROR((INDEX(tblBatidas[Data e hora],MATCH("B"&amp;MID($A300,2,99),tblBatidas[Início vinculado],0))-INDEX(tblBatidas[Data e hora],MATCH("B"&amp;MID($A300,2,99),tblBatidas[Batida ID],0)))*24,"")</f>
        <v/>
      </c>
      <c r="L300" t="str">
        <f>IFERROR(INDEX(tblBatidas[Observação],MATCH("B"&amp;MID($A300,2,99),tblBatidas[Início vinculado],0)),"")</f>
        <v/>
      </c>
      <c r="M300" t="str">
        <f>IFERROR(INDEX(tblPessoas[Base],MATCH(E300,tblPessoas[ID],0)),"")</f>
        <v/>
      </c>
      <c r="N300" s="3">
        <f>IFERROR(IF(D300="DIA ÚTIL",INDEX(tblPessoas[R$/h útil],MATCH(E300,tblPessoas[ID],0)),INDEX(tblPessoas[R$/h FDS],MATCH(E300,tblPessoas[ID],0))),0)</f>
        <v>0</v>
      </c>
      <c r="O300" s="3">
        <f>IFERROR(INDEX(tblPessoas[R$/diária],MATCH(E300,tblPessoas[ID],0)),0)</f>
        <v>0</v>
      </c>
      <c r="P300" s="3" t="str">
        <f t="shared" si="18"/>
        <v/>
      </c>
      <c r="Q300" t="str">
        <f>IF(A300="","",IF(COUNTIF(tblBatidas[Início vinculado],"B"&amp;MID($A300,2,99))=0,"EM ABERTO",IF(OR(COUNTIF(tblBatidas[Início vinculado],"B"&amp;MID($A300,2,99))&gt;1,K300&lt;0,K300&gt;16,INT(INDEX(tblBatidas[Data e hora],MATCH("B"&amp;MID($A300,2,99),tblBatidas[Início vinculado],0)))&lt;&gt;B300,INDEX(tblBatidas[ID],MATCH("B"&amp;MID($A300,2,99),tblBatidas[Início vinculado],0))&lt;&gt;E300,INDEX(tblBatidas[Projeto],MATCH("B"&amp;MID($A300,2,99),tblBatidas[Início vinculado],0))&lt;&gt;G300,INDEX(tblBatidas[Atividade],MATCH("B"&amp;MID($A300,2,99),tblBatidas[Início vinculado],0))&lt;&gt;H300),"REVISAR","CONCLUÍDO")))</f>
        <v/>
      </c>
      <c r="R300">
        <f>IF(Q300&lt;&gt;"CONCLUÍDO",0,IF(COUNTIFS($E$5:E300,E300,$B$5:B300,B300,$Q$5:Q300,"CONCLUÍDO")=1,1,0))</f>
        <v>0</v>
      </c>
      <c r="S300" t="str">
        <f t="shared" si="19"/>
        <v/>
      </c>
      <c r="T300" t="str">
        <f>IF(E300="","",E300*100000+COUNTIFS(tblRegistros[ID],E300,tblRegistros[Data],"&lt;"&amp;B300)+COUNTIFS(tblRegistros[ID],E300,tblRegistros[Data],B300,tblRegistros[Início],"&lt;"&amp;I300)+COUNTIFS($E$5:E300,E300,$B$5:B300,B300,$I$5:I300,I300))</f>
        <v/>
      </c>
    </row>
    <row r="301" spans="2:20">
      <c r="B301" s="2" t="str">
        <f>IFERROR(INT(INDEX(tblBatidas[Data e hora],MATCH("B"&amp;MID($A301,2,99),tblBatidas[Batida ID],0))),"")</f>
        <v/>
      </c>
      <c r="C301" t="str">
        <f t="shared" si="16"/>
        <v/>
      </c>
      <c r="D301" t="str">
        <f t="shared" si="17"/>
        <v/>
      </c>
      <c r="E301" t="str">
        <f>IFERROR(INDEX(tblBatidas[ID],MATCH("B"&amp;MID($A301,2,99),tblBatidas[Batida ID],0)),"")</f>
        <v/>
      </c>
      <c r="F301" t="str">
        <f>IFERROR(INDEX(tblPessoas[Pessoa],MATCH(E301,tblPessoas[ID],0)),"")</f>
        <v/>
      </c>
      <c r="G301" t="str">
        <f>IFERROR(INDEX(tblBatidas[Projeto],MATCH("B"&amp;MID($A301,2,99),tblBatidas[Batida ID],0)),"")</f>
        <v/>
      </c>
      <c r="H301" t="str">
        <f>IFERROR(INDEX(tblBatidas[Atividade],MATCH("B"&amp;MID($A301,2,99),tblBatidas[Batida ID],0)),"")</f>
        <v/>
      </c>
      <c r="I301" s="4" t="str">
        <f>IFERROR(MOD(INDEX(tblBatidas[Data e hora],MATCH("B"&amp;MID($A301,2,99),tblBatidas[Batida ID],0)),1),"")</f>
        <v/>
      </c>
      <c r="J301" s="4" t="str">
        <f>IFERROR(MOD(INDEX(tblBatidas[Data e hora],MATCH("B"&amp;MID($A301,2,99),tblBatidas[Início vinculado],0)),1),"")</f>
        <v/>
      </c>
      <c r="K301" s="14" t="str">
        <f>IFERROR((INDEX(tblBatidas[Data e hora],MATCH("B"&amp;MID($A301,2,99),tblBatidas[Início vinculado],0))-INDEX(tblBatidas[Data e hora],MATCH("B"&amp;MID($A301,2,99),tblBatidas[Batida ID],0)))*24,"")</f>
        <v/>
      </c>
      <c r="L301" t="str">
        <f>IFERROR(INDEX(tblBatidas[Observação],MATCH("B"&amp;MID($A301,2,99),tblBatidas[Início vinculado],0)),"")</f>
        <v/>
      </c>
      <c r="M301" t="str">
        <f>IFERROR(INDEX(tblPessoas[Base],MATCH(E301,tblPessoas[ID],0)),"")</f>
        <v/>
      </c>
      <c r="N301" s="3">
        <f>IFERROR(IF(D301="DIA ÚTIL",INDEX(tblPessoas[R$/h útil],MATCH(E301,tblPessoas[ID],0)),INDEX(tblPessoas[R$/h FDS],MATCH(E301,tblPessoas[ID],0))),0)</f>
        <v>0</v>
      </c>
      <c r="O301" s="3">
        <f>IFERROR(INDEX(tblPessoas[R$/diária],MATCH(E301,tblPessoas[ID],0)),0)</f>
        <v>0</v>
      </c>
      <c r="P301" s="3" t="str">
        <f t="shared" si="18"/>
        <v/>
      </c>
      <c r="Q301" t="str">
        <f>IF(A301="","",IF(COUNTIF(tblBatidas[Início vinculado],"B"&amp;MID($A301,2,99))=0,"EM ABERTO",IF(OR(COUNTIF(tblBatidas[Início vinculado],"B"&amp;MID($A301,2,99))&gt;1,K301&lt;0,K301&gt;16,INT(INDEX(tblBatidas[Data e hora],MATCH("B"&amp;MID($A301,2,99),tblBatidas[Início vinculado],0)))&lt;&gt;B301,INDEX(tblBatidas[ID],MATCH("B"&amp;MID($A301,2,99),tblBatidas[Início vinculado],0))&lt;&gt;E301,INDEX(tblBatidas[Projeto],MATCH("B"&amp;MID($A301,2,99),tblBatidas[Início vinculado],0))&lt;&gt;G301,INDEX(tblBatidas[Atividade],MATCH("B"&amp;MID($A301,2,99),tblBatidas[Início vinculado],0))&lt;&gt;H301),"REVISAR","CONCLUÍDO")))</f>
        <v/>
      </c>
      <c r="R301">
        <f>IF(Q301&lt;&gt;"CONCLUÍDO",0,IF(COUNTIFS($E$5:E301,E301,$B$5:B301,B301,$Q$5:Q301,"CONCLUÍDO")=1,1,0))</f>
        <v>0</v>
      </c>
      <c r="S301" t="str">
        <f t="shared" si="19"/>
        <v/>
      </c>
      <c r="T301" t="str">
        <f>IF(E301="","",E301*100000+COUNTIFS(tblRegistros[ID],E301,tblRegistros[Data],"&lt;"&amp;B301)+COUNTIFS(tblRegistros[ID],E301,tblRegistros[Data],B301,tblRegistros[Início],"&lt;"&amp;I301)+COUNTIFS($E$5:E301,E301,$B$5:B301,B301,$I$5:I301,I301))</f>
        <v/>
      </c>
    </row>
    <row r="302" spans="2:20">
      <c r="B302" s="2" t="str">
        <f>IFERROR(INT(INDEX(tblBatidas[Data e hora],MATCH("B"&amp;MID($A302,2,99),tblBatidas[Batida ID],0))),"")</f>
        <v/>
      </c>
      <c r="C302" t="str">
        <f t="shared" si="16"/>
        <v/>
      </c>
      <c r="D302" t="str">
        <f t="shared" si="17"/>
        <v/>
      </c>
      <c r="E302" t="str">
        <f>IFERROR(INDEX(tblBatidas[ID],MATCH("B"&amp;MID($A302,2,99),tblBatidas[Batida ID],0)),"")</f>
        <v/>
      </c>
      <c r="F302" t="str">
        <f>IFERROR(INDEX(tblPessoas[Pessoa],MATCH(E302,tblPessoas[ID],0)),"")</f>
        <v/>
      </c>
      <c r="G302" t="str">
        <f>IFERROR(INDEX(tblBatidas[Projeto],MATCH("B"&amp;MID($A302,2,99),tblBatidas[Batida ID],0)),"")</f>
        <v/>
      </c>
      <c r="H302" t="str">
        <f>IFERROR(INDEX(tblBatidas[Atividade],MATCH("B"&amp;MID($A302,2,99),tblBatidas[Batida ID],0)),"")</f>
        <v/>
      </c>
      <c r="I302" s="4" t="str">
        <f>IFERROR(MOD(INDEX(tblBatidas[Data e hora],MATCH("B"&amp;MID($A302,2,99),tblBatidas[Batida ID],0)),1),"")</f>
        <v/>
      </c>
      <c r="J302" s="4" t="str">
        <f>IFERROR(MOD(INDEX(tblBatidas[Data e hora],MATCH("B"&amp;MID($A302,2,99),tblBatidas[Início vinculado],0)),1),"")</f>
        <v/>
      </c>
      <c r="K302" s="14" t="str">
        <f>IFERROR((INDEX(tblBatidas[Data e hora],MATCH("B"&amp;MID($A302,2,99),tblBatidas[Início vinculado],0))-INDEX(tblBatidas[Data e hora],MATCH("B"&amp;MID($A302,2,99),tblBatidas[Batida ID],0)))*24,"")</f>
        <v/>
      </c>
      <c r="L302" t="str">
        <f>IFERROR(INDEX(tblBatidas[Observação],MATCH("B"&amp;MID($A302,2,99),tblBatidas[Início vinculado],0)),"")</f>
        <v/>
      </c>
      <c r="M302" t="str">
        <f>IFERROR(INDEX(tblPessoas[Base],MATCH(E302,tblPessoas[ID],0)),"")</f>
        <v/>
      </c>
      <c r="N302" s="3">
        <f>IFERROR(IF(D302="DIA ÚTIL",INDEX(tblPessoas[R$/h útil],MATCH(E302,tblPessoas[ID],0)),INDEX(tblPessoas[R$/h FDS],MATCH(E302,tblPessoas[ID],0))),0)</f>
        <v>0</v>
      </c>
      <c r="O302" s="3">
        <f>IFERROR(INDEX(tblPessoas[R$/diária],MATCH(E302,tblPessoas[ID],0)),0)</f>
        <v>0</v>
      </c>
      <c r="P302" s="3" t="str">
        <f t="shared" si="18"/>
        <v/>
      </c>
      <c r="Q302" t="str">
        <f>IF(A302="","",IF(COUNTIF(tblBatidas[Início vinculado],"B"&amp;MID($A302,2,99))=0,"EM ABERTO",IF(OR(COUNTIF(tblBatidas[Início vinculado],"B"&amp;MID($A302,2,99))&gt;1,K302&lt;0,K302&gt;16,INT(INDEX(tblBatidas[Data e hora],MATCH("B"&amp;MID($A302,2,99),tblBatidas[Início vinculado],0)))&lt;&gt;B302,INDEX(tblBatidas[ID],MATCH("B"&amp;MID($A302,2,99),tblBatidas[Início vinculado],0))&lt;&gt;E302,INDEX(tblBatidas[Projeto],MATCH("B"&amp;MID($A302,2,99),tblBatidas[Início vinculado],0))&lt;&gt;G302,INDEX(tblBatidas[Atividade],MATCH("B"&amp;MID($A302,2,99),tblBatidas[Início vinculado],0))&lt;&gt;H302),"REVISAR","CONCLUÍDO")))</f>
        <v/>
      </c>
      <c r="R302">
        <f>IF(Q302&lt;&gt;"CONCLUÍDO",0,IF(COUNTIFS($E$5:E302,E302,$B$5:B302,B302,$Q$5:Q302,"CONCLUÍDO")=1,1,0))</f>
        <v>0</v>
      </c>
      <c r="S302" t="str">
        <f t="shared" si="19"/>
        <v/>
      </c>
      <c r="T302" t="str">
        <f>IF(E302="","",E302*100000+COUNTIFS(tblRegistros[ID],E302,tblRegistros[Data],"&lt;"&amp;B302)+COUNTIFS(tblRegistros[ID],E302,tblRegistros[Data],B302,tblRegistros[Início],"&lt;"&amp;I302)+COUNTIFS($E$5:E302,E302,$B$5:B302,B302,$I$5:I302,I302))</f>
        <v/>
      </c>
    </row>
    <row r="303" spans="2:20">
      <c r="B303" s="2" t="str">
        <f>IFERROR(INT(INDEX(tblBatidas[Data e hora],MATCH("B"&amp;MID($A303,2,99),tblBatidas[Batida ID],0))),"")</f>
        <v/>
      </c>
      <c r="C303" t="str">
        <f t="shared" si="16"/>
        <v/>
      </c>
      <c r="D303" t="str">
        <f t="shared" si="17"/>
        <v/>
      </c>
      <c r="E303" t="str">
        <f>IFERROR(INDEX(tblBatidas[ID],MATCH("B"&amp;MID($A303,2,99),tblBatidas[Batida ID],0)),"")</f>
        <v/>
      </c>
      <c r="F303" t="str">
        <f>IFERROR(INDEX(tblPessoas[Pessoa],MATCH(E303,tblPessoas[ID],0)),"")</f>
        <v/>
      </c>
      <c r="G303" t="str">
        <f>IFERROR(INDEX(tblBatidas[Projeto],MATCH("B"&amp;MID($A303,2,99),tblBatidas[Batida ID],0)),"")</f>
        <v/>
      </c>
      <c r="H303" t="str">
        <f>IFERROR(INDEX(tblBatidas[Atividade],MATCH("B"&amp;MID($A303,2,99),tblBatidas[Batida ID],0)),"")</f>
        <v/>
      </c>
      <c r="I303" s="4" t="str">
        <f>IFERROR(MOD(INDEX(tblBatidas[Data e hora],MATCH("B"&amp;MID($A303,2,99),tblBatidas[Batida ID],0)),1),"")</f>
        <v/>
      </c>
      <c r="J303" s="4" t="str">
        <f>IFERROR(MOD(INDEX(tblBatidas[Data e hora],MATCH("B"&amp;MID($A303,2,99),tblBatidas[Início vinculado],0)),1),"")</f>
        <v/>
      </c>
      <c r="K303" s="14" t="str">
        <f>IFERROR((INDEX(tblBatidas[Data e hora],MATCH("B"&amp;MID($A303,2,99),tblBatidas[Início vinculado],0))-INDEX(tblBatidas[Data e hora],MATCH("B"&amp;MID($A303,2,99),tblBatidas[Batida ID],0)))*24,"")</f>
        <v/>
      </c>
      <c r="L303" t="str">
        <f>IFERROR(INDEX(tblBatidas[Observação],MATCH("B"&amp;MID($A303,2,99),tblBatidas[Início vinculado],0)),"")</f>
        <v/>
      </c>
      <c r="M303" t="str">
        <f>IFERROR(INDEX(tblPessoas[Base],MATCH(E303,tblPessoas[ID],0)),"")</f>
        <v/>
      </c>
      <c r="N303" s="3">
        <f>IFERROR(IF(D303="DIA ÚTIL",INDEX(tblPessoas[R$/h útil],MATCH(E303,tblPessoas[ID],0)),INDEX(tblPessoas[R$/h FDS],MATCH(E303,tblPessoas[ID],0))),0)</f>
        <v>0</v>
      </c>
      <c r="O303" s="3">
        <f>IFERROR(INDEX(tblPessoas[R$/diária],MATCH(E303,tblPessoas[ID],0)),0)</f>
        <v>0</v>
      </c>
      <c r="P303" s="3" t="str">
        <f t="shared" si="18"/>
        <v/>
      </c>
      <c r="Q303" t="str">
        <f>IF(A303="","",IF(COUNTIF(tblBatidas[Início vinculado],"B"&amp;MID($A303,2,99))=0,"EM ABERTO",IF(OR(COUNTIF(tblBatidas[Início vinculado],"B"&amp;MID($A303,2,99))&gt;1,K303&lt;0,K303&gt;16,INT(INDEX(tblBatidas[Data e hora],MATCH("B"&amp;MID($A303,2,99),tblBatidas[Início vinculado],0)))&lt;&gt;B303,INDEX(tblBatidas[ID],MATCH("B"&amp;MID($A303,2,99),tblBatidas[Início vinculado],0))&lt;&gt;E303,INDEX(tblBatidas[Projeto],MATCH("B"&amp;MID($A303,2,99),tblBatidas[Início vinculado],0))&lt;&gt;G303,INDEX(tblBatidas[Atividade],MATCH("B"&amp;MID($A303,2,99),tblBatidas[Início vinculado],0))&lt;&gt;H303),"REVISAR","CONCLUÍDO")))</f>
        <v/>
      </c>
      <c r="R303">
        <f>IF(Q303&lt;&gt;"CONCLUÍDO",0,IF(COUNTIFS($E$5:E303,E303,$B$5:B303,B303,$Q$5:Q303,"CONCLUÍDO")=1,1,0))</f>
        <v>0</v>
      </c>
      <c r="S303" t="str">
        <f t="shared" si="19"/>
        <v/>
      </c>
      <c r="T303" t="str">
        <f>IF(E303="","",E303*100000+COUNTIFS(tblRegistros[ID],E303,tblRegistros[Data],"&lt;"&amp;B303)+COUNTIFS(tblRegistros[ID],E303,tblRegistros[Data],B303,tblRegistros[Início],"&lt;"&amp;I303)+COUNTIFS($E$5:E303,E303,$B$5:B303,B303,$I$5:I303,I303))</f>
        <v/>
      </c>
    </row>
    <row r="304" spans="2:20">
      <c r="B304" s="2" t="str">
        <f>IFERROR(INT(INDEX(tblBatidas[Data e hora],MATCH("B"&amp;MID($A304,2,99),tblBatidas[Batida ID],0))),"")</f>
        <v/>
      </c>
      <c r="C304" t="str">
        <f t="shared" si="16"/>
        <v/>
      </c>
      <c r="D304" t="str">
        <f t="shared" si="17"/>
        <v/>
      </c>
      <c r="E304" t="str">
        <f>IFERROR(INDEX(tblBatidas[ID],MATCH("B"&amp;MID($A304,2,99),tblBatidas[Batida ID],0)),"")</f>
        <v/>
      </c>
      <c r="F304" t="str">
        <f>IFERROR(INDEX(tblPessoas[Pessoa],MATCH(E304,tblPessoas[ID],0)),"")</f>
        <v/>
      </c>
      <c r="G304" t="str">
        <f>IFERROR(INDEX(tblBatidas[Projeto],MATCH("B"&amp;MID($A304,2,99),tblBatidas[Batida ID],0)),"")</f>
        <v/>
      </c>
      <c r="H304" t="str">
        <f>IFERROR(INDEX(tblBatidas[Atividade],MATCH("B"&amp;MID($A304,2,99),tblBatidas[Batida ID],0)),"")</f>
        <v/>
      </c>
      <c r="I304" s="4" t="str">
        <f>IFERROR(MOD(INDEX(tblBatidas[Data e hora],MATCH("B"&amp;MID($A304,2,99),tblBatidas[Batida ID],0)),1),"")</f>
        <v/>
      </c>
      <c r="J304" s="4" t="str">
        <f>IFERROR(MOD(INDEX(tblBatidas[Data e hora],MATCH("B"&amp;MID($A304,2,99),tblBatidas[Início vinculado],0)),1),"")</f>
        <v/>
      </c>
      <c r="K304" s="14" t="str">
        <f>IFERROR((INDEX(tblBatidas[Data e hora],MATCH("B"&amp;MID($A304,2,99),tblBatidas[Início vinculado],0))-INDEX(tblBatidas[Data e hora],MATCH("B"&amp;MID($A304,2,99),tblBatidas[Batida ID],0)))*24,"")</f>
        <v/>
      </c>
      <c r="L304" t="str">
        <f>IFERROR(INDEX(tblBatidas[Observação],MATCH("B"&amp;MID($A304,2,99),tblBatidas[Início vinculado],0)),"")</f>
        <v/>
      </c>
      <c r="M304" t="str">
        <f>IFERROR(INDEX(tblPessoas[Base],MATCH(E304,tblPessoas[ID],0)),"")</f>
        <v/>
      </c>
      <c r="N304" s="3">
        <f>IFERROR(IF(D304="DIA ÚTIL",INDEX(tblPessoas[R$/h útil],MATCH(E304,tblPessoas[ID],0)),INDEX(tblPessoas[R$/h FDS],MATCH(E304,tblPessoas[ID],0))),0)</f>
        <v>0</v>
      </c>
      <c r="O304" s="3">
        <f>IFERROR(INDEX(tblPessoas[R$/diária],MATCH(E304,tblPessoas[ID],0)),0)</f>
        <v>0</v>
      </c>
      <c r="P304" s="3" t="str">
        <f t="shared" si="18"/>
        <v/>
      </c>
      <c r="Q304" t="str">
        <f>IF(A304="","",IF(COUNTIF(tblBatidas[Início vinculado],"B"&amp;MID($A304,2,99))=0,"EM ABERTO",IF(OR(COUNTIF(tblBatidas[Início vinculado],"B"&amp;MID($A304,2,99))&gt;1,K304&lt;0,K304&gt;16,INT(INDEX(tblBatidas[Data e hora],MATCH("B"&amp;MID($A304,2,99),tblBatidas[Início vinculado],0)))&lt;&gt;B304,INDEX(tblBatidas[ID],MATCH("B"&amp;MID($A304,2,99),tblBatidas[Início vinculado],0))&lt;&gt;E304,INDEX(tblBatidas[Projeto],MATCH("B"&amp;MID($A304,2,99),tblBatidas[Início vinculado],0))&lt;&gt;G304,INDEX(tblBatidas[Atividade],MATCH("B"&amp;MID($A304,2,99),tblBatidas[Início vinculado],0))&lt;&gt;H304),"REVISAR","CONCLUÍDO")))</f>
        <v/>
      </c>
      <c r="R304">
        <f>IF(Q304&lt;&gt;"CONCLUÍDO",0,IF(COUNTIFS($E$5:E304,E304,$B$5:B304,B304,$Q$5:Q304,"CONCLUÍDO")=1,1,0))</f>
        <v>0</v>
      </c>
      <c r="S304" t="str">
        <f t="shared" si="19"/>
        <v/>
      </c>
      <c r="T304" t="str">
        <f>IF(E304="","",E304*100000+COUNTIFS(tblRegistros[ID],E304,tblRegistros[Data],"&lt;"&amp;B304)+COUNTIFS(tblRegistros[ID],E304,tblRegistros[Data],B304,tblRegistros[Início],"&lt;"&amp;I304)+COUNTIFS($E$5:E304,E304,$B$5:B304,B304,$I$5:I304,I304))</f>
        <v/>
      </c>
    </row>
    <row r="305" spans="2:20">
      <c r="B305" s="2" t="str">
        <f>IFERROR(INT(INDEX(tblBatidas[Data e hora],MATCH("B"&amp;MID($A305,2,99),tblBatidas[Batida ID],0))),"")</f>
        <v/>
      </c>
      <c r="C305" t="str">
        <f t="shared" si="16"/>
        <v/>
      </c>
      <c r="D305" t="str">
        <f t="shared" si="17"/>
        <v/>
      </c>
      <c r="E305" t="str">
        <f>IFERROR(INDEX(tblBatidas[ID],MATCH("B"&amp;MID($A305,2,99),tblBatidas[Batida ID],0)),"")</f>
        <v/>
      </c>
      <c r="F305" t="str">
        <f>IFERROR(INDEX(tblPessoas[Pessoa],MATCH(E305,tblPessoas[ID],0)),"")</f>
        <v/>
      </c>
      <c r="G305" t="str">
        <f>IFERROR(INDEX(tblBatidas[Projeto],MATCH("B"&amp;MID($A305,2,99),tblBatidas[Batida ID],0)),"")</f>
        <v/>
      </c>
      <c r="H305" t="str">
        <f>IFERROR(INDEX(tblBatidas[Atividade],MATCH("B"&amp;MID($A305,2,99),tblBatidas[Batida ID],0)),"")</f>
        <v/>
      </c>
      <c r="I305" s="4" t="str">
        <f>IFERROR(MOD(INDEX(tblBatidas[Data e hora],MATCH("B"&amp;MID($A305,2,99),tblBatidas[Batida ID],0)),1),"")</f>
        <v/>
      </c>
      <c r="J305" s="4" t="str">
        <f>IFERROR(MOD(INDEX(tblBatidas[Data e hora],MATCH("B"&amp;MID($A305,2,99),tblBatidas[Início vinculado],0)),1),"")</f>
        <v/>
      </c>
      <c r="K305" s="14" t="str">
        <f>IFERROR((INDEX(tblBatidas[Data e hora],MATCH("B"&amp;MID($A305,2,99),tblBatidas[Início vinculado],0))-INDEX(tblBatidas[Data e hora],MATCH("B"&amp;MID($A305,2,99),tblBatidas[Batida ID],0)))*24,"")</f>
        <v/>
      </c>
      <c r="L305" t="str">
        <f>IFERROR(INDEX(tblBatidas[Observação],MATCH("B"&amp;MID($A305,2,99),tblBatidas[Início vinculado],0)),"")</f>
        <v/>
      </c>
      <c r="M305" t="str">
        <f>IFERROR(INDEX(tblPessoas[Base],MATCH(E305,tblPessoas[ID],0)),"")</f>
        <v/>
      </c>
      <c r="N305" s="3">
        <f>IFERROR(IF(D305="DIA ÚTIL",INDEX(tblPessoas[R$/h útil],MATCH(E305,tblPessoas[ID],0)),INDEX(tblPessoas[R$/h FDS],MATCH(E305,tblPessoas[ID],0))),0)</f>
        <v>0</v>
      </c>
      <c r="O305" s="3">
        <f>IFERROR(INDEX(tblPessoas[R$/diária],MATCH(E305,tblPessoas[ID],0)),0)</f>
        <v>0</v>
      </c>
      <c r="P305" s="3" t="str">
        <f t="shared" si="18"/>
        <v/>
      </c>
      <c r="Q305" t="str">
        <f>IF(A305="","",IF(COUNTIF(tblBatidas[Início vinculado],"B"&amp;MID($A305,2,99))=0,"EM ABERTO",IF(OR(COUNTIF(tblBatidas[Início vinculado],"B"&amp;MID($A305,2,99))&gt;1,K305&lt;0,K305&gt;16,INT(INDEX(tblBatidas[Data e hora],MATCH("B"&amp;MID($A305,2,99),tblBatidas[Início vinculado],0)))&lt;&gt;B305,INDEX(tblBatidas[ID],MATCH("B"&amp;MID($A305,2,99),tblBatidas[Início vinculado],0))&lt;&gt;E305,INDEX(tblBatidas[Projeto],MATCH("B"&amp;MID($A305,2,99),tblBatidas[Início vinculado],0))&lt;&gt;G305,INDEX(tblBatidas[Atividade],MATCH("B"&amp;MID($A305,2,99),tblBatidas[Início vinculado],0))&lt;&gt;H305),"REVISAR","CONCLUÍDO")))</f>
        <v/>
      </c>
      <c r="R305">
        <f>IF(Q305&lt;&gt;"CONCLUÍDO",0,IF(COUNTIFS($E$5:E305,E305,$B$5:B305,B305,$Q$5:Q305,"CONCLUÍDO")=1,1,0))</f>
        <v>0</v>
      </c>
      <c r="S305" t="str">
        <f t="shared" si="19"/>
        <v/>
      </c>
      <c r="T305" t="str">
        <f>IF(E305="","",E305*100000+COUNTIFS(tblRegistros[ID],E305,tblRegistros[Data],"&lt;"&amp;B305)+COUNTIFS(tblRegistros[ID],E305,tblRegistros[Data],B305,tblRegistros[Início],"&lt;"&amp;I305)+COUNTIFS($E$5:E305,E305,$B$5:B305,B305,$I$5:I305,I305))</f>
        <v/>
      </c>
    </row>
    <row r="306" spans="2:20">
      <c r="B306" s="2" t="str">
        <f>IFERROR(INT(INDEX(tblBatidas[Data e hora],MATCH("B"&amp;MID($A306,2,99),tblBatidas[Batida ID],0))),"")</f>
        <v/>
      </c>
      <c r="C306" t="str">
        <f t="shared" si="16"/>
        <v/>
      </c>
      <c r="D306" t="str">
        <f t="shared" si="17"/>
        <v/>
      </c>
      <c r="E306" t="str">
        <f>IFERROR(INDEX(tblBatidas[ID],MATCH("B"&amp;MID($A306,2,99),tblBatidas[Batida ID],0)),"")</f>
        <v/>
      </c>
      <c r="F306" t="str">
        <f>IFERROR(INDEX(tblPessoas[Pessoa],MATCH(E306,tblPessoas[ID],0)),"")</f>
        <v/>
      </c>
      <c r="G306" t="str">
        <f>IFERROR(INDEX(tblBatidas[Projeto],MATCH("B"&amp;MID($A306,2,99),tblBatidas[Batida ID],0)),"")</f>
        <v/>
      </c>
      <c r="H306" t="str">
        <f>IFERROR(INDEX(tblBatidas[Atividade],MATCH("B"&amp;MID($A306,2,99),tblBatidas[Batida ID],0)),"")</f>
        <v/>
      </c>
      <c r="I306" s="4" t="str">
        <f>IFERROR(MOD(INDEX(tblBatidas[Data e hora],MATCH("B"&amp;MID($A306,2,99),tblBatidas[Batida ID],0)),1),"")</f>
        <v/>
      </c>
      <c r="J306" s="4" t="str">
        <f>IFERROR(MOD(INDEX(tblBatidas[Data e hora],MATCH("B"&amp;MID($A306,2,99),tblBatidas[Início vinculado],0)),1),"")</f>
        <v/>
      </c>
      <c r="K306" s="14" t="str">
        <f>IFERROR((INDEX(tblBatidas[Data e hora],MATCH("B"&amp;MID($A306,2,99),tblBatidas[Início vinculado],0))-INDEX(tblBatidas[Data e hora],MATCH("B"&amp;MID($A306,2,99),tblBatidas[Batida ID],0)))*24,"")</f>
        <v/>
      </c>
      <c r="L306" t="str">
        <f>IFERROR(INDEX(tblBatidas[Observação],MATCH("B"&amp;MID($A306,2,99),tblBatidas[Início vinculado],0)),"")</f>
        <v/>
      </c>
      <c r="M306" t="str">
        <f>IFERROR(INDEX(tblPessoas[Base],MATCH(E306,tblPessoas[ID],0)),"")</f>
        <v/>
      </c>
      <c r="N306" s="3">
        <f>IFERROR(IF(D306="DIA ÚTIL",INDEX(tblPessoas[R$/h útil],MATCH(E306,tblPessoas[ID],0)),INDEX(tblPessoas[R$/h FDS],MATCH(E306,tblPessoas[ID],0))),0)</f>
        <v>0</v>
      </c>
      <c r="O306" s="3">
        <f>IFERROR(INDEX(tblPessoas[R$/diária],MATCH(E306,tblPessoas[ID],0)),0)</f>
        <v>0</v>
      </c>
      <c r="P306" s="3" t="str">
        <f t="shared" si="18"/>
        <v/>
      </c>
      <c r="Q306" t="str">
        <f>IF(A306="","",IF(COUNTIF(tblBatidas[Início vinculado],"B"&amp;MID($A306,2,99))=0,"EM ABERTO",IF(OR(COUNTIF(tblBatidas[Início vinculado],"B"&amp;MID($A306,2,99))&gt;1,K306&lt;0,K306&gt;16,INT(INDEX(tblBatidas[Data e hora],MATCH("B"&amp;MID($A306,2,99),tblBatidas[Início vinculado],0)))&lt;&gt;B306,INDEX(tblBatidas[ID],MATCH("B"&amp;MID($A306,2,99),tblBatidas[Início vinculado],0))&lt;&gt;E306,INDEX(tblBatidas[Projeto],MATCH("B"&amp;MID($A306,2,99),tblBatidas[Início vinculado],0))&lt;&gt;G306,INDEX(tblBatidas[Atividade],MATCH("B"&amp;MID($A306,2,99),tblBatidas[Início vinculado],0))&lt;&gt;H306),"REVISAR","CONCLUÍDO")))</f>
        <v/>
      </c>
      <c r="R306">
        <f>IF(Q306&lt;&gt;"CONCLUÍDO",0,IF(COUNTIFS($E$5:E306,E306,$B$5:B306,B306,$Q$5:Q306,"CONCLUÍDO")=1,1,0))</f>
        <v>0</v>
      </c>
      <c r="S306" t="str">
        <f t="shared" si="19"/>
        <v/>
      </c>
      <c r="T306" t="str">
        <f>IF(E306="","",E306*100000+COUNTIFS(tblRegistros[ID],E306,tblRegistros[Data],"&lt;"&amp;B306)+COUNTIFS(tblRegistros[ID],E306,tblRegistros[Data],B306,tblRegistros[Início],"&lt;"&amp;I306)+COUNTIFS($E$5:E306,E306,$B$5:B306,B306,$I$5:I306,I306))</f>
        <v/>
      </c>
    </row>
    <row r="307" spans="2:20">
      <c r="B307" s="2" t="str">
        <f>IFERROR(INT(INDEX(tblBatidas[Data e hora],MATCH("B"&amp;MID($A307,2,99),tblBatidas[Batida ID],0))),"")</f>
        <v/>
      </c>
      <c r="C307" t="str">
        <f t="shared" si="16"/>
        <v/>
      </c>
      <c r="D307" t="str">
        <f t="shared" si="17"/>
        <v/>
      </c>
      <c r="E307" t="str">
        <f>IFERROR(INDEX(tblBatidas[ID],MATCH("B"&amp;MID($A307,2,99),tblBatidas[Batida ID],0)),"")</f>
        <v/>
      </c>
      <c r="F307" t="str">
        <f>IFERROR(INDEX(tblPessoas[Pessoa],MATCH(E307,tblPessoas[ID],0)),"")</f>
        <v/>
      </c>
      <c r="G307" t="str">
        <f>IFERROR(INDEX(tblBatidas[Projeto],MATCH("B"&amp;MID($A307,2,99),tblBatidas[Batida ID],0)),"")</f>
        <v/>
      </c>
      <c r="H307" t="str">
        <f>IFERROR(INDEX(tblBatidas[Atividade],MATCH("B"&amp;MID($A307,2,99),tblBatidas[Batida ID],0)),"")</f>
        <v/>
      </c>
      <c r="I307" s="4" t="str">
        <f>IFERROR(MOD(INDEX(tblBatidas[Data e hora],MATCH("B"&amp;MID($A307,2,99),tblBatidas[Batida ID],0)),1),"")</f>
        <v/>
      </c>
      <c r="J307" s="4" t="str">
        <f>IFERROR(MOD(INDEX(tblBatidas[Data e hora],MATCH("B"&amp;MID($A307,2,99),tblBatidas[Início vinculado],0)),1),"")</f>
        <v/>
      </c>
      <c r="K307" s="14" t="str">
        <f>IFERROR((INDEX(tblBatidas[Data e hora],MATCH("B"&amp;MID($A307,2,99),tblBatidas[Início vinculado],0))-INDEX(tblBatidas[Data e hora],MATCH("B"&amp;MID($A307,2,99),tblBatidas[Batida ID],0)))*24,"")</f>
        <v/>
      </c>
      <c r="L307" t="str">
        <f>IFERROR(INDEX(tblBatidas[Observação],MATCH("B"&amp;MID($A307,2,99),tblBatidas[Início vinculado],0)),"")</f>
        <v/>
      </c>
      <c r="M307" t="str">
        <f>IFERROR(INDEX(tblPessoas[Base],MATCH(E307,tblPessoas[ID],0)),"")</f>
        <v/>
      </c>
      <c r="N307" s="3">
        <f>IFERROR(IF(D307="DIA ÚTIL",INDEX(tblPessoas[R$/h útil],MATCH(E307,tblPessoas[ID],0)),INDEX(tblPessoas[R$/h FDS],MATCH(E307,tblPessoas[ID],0))),0)</f>
        <v>0</v>
      </c>
      <c r="O307" s="3">
        <f>IFERROR(INDEX(tblPessoas[R$/diária],MATCH(E307,tblPessoas[ID],0)),0)</f>
        <v>0</v>
      </c>
      <c r="P307" s="3" t="str">
        <f t="shared" si="18"/>
        <v/>
      </c>
      <c r="Q307" t="str">
        <f>IF(A307="","",IF(COUNTIF(tblBatidas[Início vinculado],"B"&amp;MID($A307,2,99))=0,"EM ABERTO",IF(OR(COUNTIF(tblBatidas[Início vinculado],"B"&amp;MID($A307,2,99))&gt;1,K307&lt;0,K307&gt;16,INT(INDEX(tblBatidas[Data e hora],MATCH("B"&amp;MID($A307,2,99),tblBatidas[Início vinculado],0)))&lt;&gt;B307,INDEX(tblBatidas[ID],MATCH("B"&amp;MID($A307,2,99),tblBatidas[Início vinculado],0))&lt;&gt;E307,INDEX(tblBatidas[Projeto],MATCH("B"&amp;MID($A307,2,99),tblBatidas[Início vinculado],0))&lt;&gt;G307,INDEX(tblBatidas[Atividade],MATCH("B"&amp;MID($A307,2,99),tblBatidas[Início vinculado],0))&lt;&gt;H307),"REVISAR","CONCLUÍDO")))</f>
        <v/>
      </c>
      <c r="R307">
        <f>IF(Q307&lt;&gt;"CONCLUÍDO",0,IF(COUNTIFS($E$5:E307,E307,$B$5:B307,B307,$Q$5:Q307,"CONCLUÍDO")=1,1,0))</f>
        <v>0</v>
      </c>
      <c r="S307" t="str">
        <f t="shared" si="19"/>
        <v/>
      </c>
      <c r="T307" t="str">
        <f>IF(E307="","",E307*100000+COUNTIFS(tblRegistros[ID],E307,tblRegistros[Data],"&lt;"&amp;B307)+COUNTIFS(tblRegistros[ID],E307,tblRegistros[Data],B307,tblRegistros[Início],"&lt;"&amp;I307)+COUNTIFS($E$5:E307,E307,$B$5:B307,B307,$I$5:I307,I307))</f>
        <v/>
      </c>
    </row>
    <row r="308" spans="2:20">
      <c r="B308" s="2" t="str">
        <f>IFERROR(INT(INDEX(tblBatidas[Data e hora],MATCH("B"&amp;MID($A308,2,99),tblBatidas[Batida ID],0))),"")</f>
        <v/>
      </c>
      <c r="C308" t="str">
        <f t="shared" si="16"/>
        <v/>
      </c>
      <c r="D308" t="str">
        <f t="shared" si="17"/>
        <v/>
      </c>
      <c r="E308" t="str">
        <f>IFERROR(INDEX(tblBatidas[ID],MATCH("B"&amp;MID($A308,2,99),tblBatidas[Batida ID],0)),"")</f>
        <v/>
      </c>
      <c r="F308" t="str">
        <f>IFERROR(INDEX(tblPessoas[Pessoa],MATCH(E308,tblPessoas[ID],0)),"")</f>
        <v/>
      </c>
      <c r="G308" t="str">
        <f>IFERROR(INDEX(tblBatidas[Projeto],MATCH("B"&amp;MID($A308,2,99),tblBatidas[Batida ID],0)),"")</f>
        <v/>
      </c>
      <c r="H308" t="str">
        <f>IFERROR(INDEX(tblBatidas[Atividade],MATCH("B"&amp;MID($A308,2,99),tblBatidas[Batida ID],0)),"")</f>
        <v/>
      </c>
      <c r="I308" s="4" t="str">
        <f>IFERROR(MOD(INDEX(tblBatidas[Data e hora],MATCH("B"&amp;MID($A308,2,99),tblBatidas[Batida ID],0)),1),"")</f>
        <v/>
      </c>
      <c r="J308" s="4" t="str">
        <f>IFERROR(MOD(INDEX(tblBatidas[Data e hora],MATCH("B"&amp;MID($A308,2,99),tblBatidas[Início vinculado],0)),1),"")</f>
        <v/>
      </c>
      <c r="K308" s="14" t="str">
        <f>IFERROR((INDEX(tblBatidas[Data e hora],MATCH("B"&amp;MID($A308,2,99),tblBatidas[Início vinculado],0))-INDEX(tblBatidas[Data e hora],MATCH("B"&amp;MID($A308,2,99),tblBatidas[Batida ID],0)))*24,"")</f>
        <v/>
      </c>
      <c r="L308" t="str">
        <f>IFERROR(INDEX(tblBatidas[Observação],MATCH("B"&amp;MID($A308,2,99),tblBatidas[Início vinculado],0)),"")</f>
        <v/>
      </c>
      <c r="M308" t="str">
        <f>IFERROR(INDEX(tblPessoas[Base],MATCH(E308,tblPessoas[ID],0)),"")</f>
        <v/>
      </c>
      <c r="N308" s="3">
        <f>IFERROR(IF(D308="DIA ÚTIL",INDEX(tblPessoas[R$/h útil],MATCH(E308,tblPessoas[ID],0)),INDEX(tblPessoas[R$/h FDS],MATCH(E308,tblPessoas[ID],0))),0)</f>
        <v>0</v>
      </c>
      <c r="O308" s="3">
        <f>IFERROR(INDEX(tblPessoas[R$/diária],MATCH(E308,tblPessoas[ID],0)),0)</f>
        <v>0</v>
      </c>
      <c r="P308" s="3" t="str">
        <f t="shared" si="18"/>
        <v/>
      </c>
      <c r="Q308" t="str">
        <f>IF(A308="","",IF(COUNTIF(tblBatidas[Início vinculado],"B"&amp;MID($A308,2,99))=0,"EM ABERTO",IF(OR(COUNTIF(tblBatidas[Início vinculado],"B"&amp;MID($A308,2,99))&gt;1,K308&lt;0,K308&gt;16,INT(INDEX(tblBatidas[Data e hora],MATCH("B"&amp;MID($A308,2,99),tblBatidas[Início vinculado],0)))&lt;&gt;B308,INDEX(tblBatidas[ID],MATCH("B"&amp;MID($A308,2,99),tblBatidas[Início vinculado],0))&lt;&gt;E308,INDEX(tblBatidas[Projeto],MATCH("B"&amp;MID($A308,2,99),tblBatidas[Início vinculado],0))&lt;&gt;G308,INDEX(tblBatidas[Atividade],MATCH("B"&amp;MID($A308,2,99),tblBatidas[Início vinculado],0))&lt;&gt;H308),"REVISAR","CONCLUÍDO")))</f>
        <v/>
      </c>
      <c r="R308">
        <f>IF(Q308&lt;&gt;"CONCLUÍDO",0,IF(COUNTIFS($E$5:E308,E308,$B$5:B308,B308,$Q$5:Q308,"CONCLUÍDO")=1,1,0))</f>
        <v>0</v>
      </c>
      <c r="S308" t="str">
        <f t="shared" si="19"/>
        <v/>
      </c>
      <c r="T308" t="str">
        <f>IF(E308="","",E308*100000+COUNTIFS(tblRegistros[ID],E308,tblRegistros[Data],"&lt;"&amp;B308)+COUNTIFS(tblRegistros[ID],E308,tblRegistros[Data],B308,tblRegistros[Início],"&lt;"&amp;I308)+COUNTIFS($E$5:E308,E308,$B$5:B308,B308,$I$5:I308,I308))</f>
        <v/>
      </c>
    </row>
    <row r="309" spans="2:20">
      <c r="B309" s="2" t="str">
        <f>IFERROR(INT(INDEX(tblBatidas[Data e hora],MATCH("B"&amp;MID($A309,2,99),tblBatidas[Batida ID],0))),"")</f>
        <v/>
      </c>
      <c r="C309" t="str">
        <f t="shared" si="16"/>
        <v/>
      </c>
      <c r="D309" t="str">
        <f t="shared" si="17"/>
        <v/>
      </c>
      <c r="E309" t="str">
        <f>IFERROR(INDEX(tblBatidas[ID],MATCH("B"&amp;MID($A309,2,99),tblBatidas[Batida ID],0)),"")</f>
        <v/>
      </c>
      <c r="F309" t="str">
        <f>IFERROR(INDEX(tblPessoas[Pessoa],MATCH(E309,tblPessoas[ID],0)),"")</f>
        <v/>
      </c>
      <c r="G309" t="str">
        <f>IFERROR(INDEX(tblBatidas[Projeto],MATCH("B"&amp;MID($A309,2,99),tblBatidas[Batida ID],0)),"")</f>
        <v/>
      </c>
      <c r="H309" t="str">
        <f>IFERROR(INDEX(tblBatidas[Atividade],MATCH("B"&amp;MID($A309,2,99),tblBatidas[Batida ID],0)),"")</f>
        <v/>
      </c>
      <c r="I309" s="4" t="str">
        <f>IFERROR(MOD(INDEX(tblBatidas[Data e hora],MATCH("B"&amp;MID($A309,2,99),tblBatidas[Batida ID],0)),1),"")</f>
        <v/>
      </c>
      <c r="J309" s="4" t="str">
        <f>IFERROR(MOD(INDEX(tblBatidas[Data e hora],MATCH("B"&amp;MID($A309,2,99),tblBatidas[Início vinculado],0)),1),"")</f>
        <v/>
      </c>
      <c r="K309" s="14" t="str">
        <f>IFERROR((INDEX(tblBatidas[Data e hora],MATCH("B"&amp;MID($A309,2,99),tblBatidas[Início vinculado],0))-INDEX(tblBatidas[Data e hora],MATCH("B"&amp;MID($A309,2,99),tblBatidas[Batida ID],0)))*24,"")</f>
        <v/>
      </c>
      <c r="L309" t="str">
        <f>IFERROR(INDEX(tblBatidas[Observação],MATCH("B"&amp;MID($A309,2,99),tblBatidas[Início vinculado],0)),"")</f>
        <v/>
      </c>
      <c r="M309" t="str">
        <f>IFERROR(INDEX(tblPessoas[Base],MATCH(E309,tblPessoas[ID],0)),"")</f>
        <v/>
      </c>
      <c r="N309" s="3">
        <f>IFERROR(IF(D309="DIA ÚTIL",INDEX(tblPessoas[R$/h útil],MATCH(E309,tblPessoas[ID],0)),INDEX(tblPessoas[R$/h FDS],MATCH(E309,tblPessoas[ID],0))),0)</f>
        <v>0</v>
      </c>
      <c r="O309" s="3">
        <f>IFERROR(INDEX(tblPessoas[R$/diária],MATCH(E309,tblPessoas[ID],0)),0)</f>
        <v>0</v>
      </c>
      <c r="P309" s="3" t="str">
        <f t="shared" si="18"/>
        <v/>
      </c>
      <c r="Q309" t="str">
        <f>IF(A309="","",IF(COUNTIF(tblBatidas[Início vinculado],"B"&amp;MID($A309,2,99))=0,"EM ABERTO",IF(OR(COUNTIF(tblBatidas[Início vinculado],"B"&amp;MID($A309,2,99))&gt;1,K309&lt;0,K309&gt;16,INT(INDEX(tblBatidas[Data e hora],MATCH("B"&amp;MID($A309,2,99),tblBatidas[Início vinculado],0)))&lt;&gt;B309,INDEX(tblBatidas[ID],MATCH("B"&amp;MID($A309,2,99),tblBatidas[Início vinculado],0))&lt;&gt;E309,INDEX(tblBatidas[Projeto],MATCH("B"&amp;MID($A309,2,99),tblBatidas[Início vinculado],0))&lt;&gt;G309,INDEX(tblBatidas[Atividade],MATCH("B"&amp;MID($A309,2,99),tblBatidas[Início vinculado],0))&lt;&gt;H309),"REVISAR","CONCLUÍDO")))</f>
        <v/>
      </c>
      <c r="R309">
        <f>IF(Q309&lt;&gt;"CONCLUÍDO",0,IF(COUNTIFS($E$5:E309,E309,$B$5:B309,B309,$Q$5:Q309,"CONCLUÍDO")=1,1,0))</f>
        <v>0</v>
      </c>
      <c r="S309" t="str">
        <f t="shared" si="19"/>
        <v/>
      </c>
      <c r="T309" t="str">
        <f>IF(E309="","",E309*100000+COUNTIFS(tblRegistros[ID],E309,tblRegistros[Data],"&lt;"&amp;B309)+COUNTIFS(tblRegistros[ID],E309,tblRegistros[Data],B309,tblRegistros[Início],"&lt;"&amp;I309)+COUNTIFS($E$5:E309,E309,$B$5:B309,B309,$I$5:I309,I309))</f>
        <v/>
      </c>
    </row>
    <row r="310" spans="2:20">
      <c r="B310" s="2" t="str">
        <f>IFERROR(INT(INDEX(tblBatidas[Data e hora],MATCH("B"&amp;MID($A310,2,99),tblBatidas[Batida ID],0))),"")</f>
        <v/>
      </c>
      <c r="C310" t="str">
        <f t="shared" si="16"/>
        <v/>
      </c>
      <c r="D310" t="str">
        <f t="shared" si="17"/>
        <v/>
      </c>
      <c r="E310" t="str">
        <f>IFERROR(INDEX(tblBatidas[ID],MATCH("B"&amp;MID($A310,2,99),tblBatidas[Batida ID],0)),"")</f>
        <v/>
      </c>
      <c r="F310" t="str">
        <f>IFERROR(INDEX(tblPessoas[Pessoa],MATCH(E310,tblPessoas[ID],0)),"")</f>
        <v/>
      </c>
      <c r="G310" t="str">
        <f>IFERROR(INDEX(tblBatidas[Projeto],MATCH("B"&amp;MID($A310,2,99),tblBatidas[Batida ID],0)),"")</f>
        <v/>
      </c>
      <c r="H310" t="str">
        <f>IFERROR(INDEX(tblBatidas[Atividade],MATCH("B"&amp;MID($A310,2,99),tblBatidas[Batida ID],0)),"")</f>
        <v/>
      </c>
      <c r="I310" s="4" t="str">
        <f>IFERROR(MOD(INDEX(tblBatidas[Data e hora],MATCH("B"&amp;MID($A310,2,99),tblBatidas[Batida ID],0)),1),"")</f>
        <v/>
      </c>
      <c r="J310" s="4" t="str">
        <f>IFERROR(MOD(INDEX(tblBatidas[Data e hora],MATCH("B"&amp;MID($A310,2,99),tblBatidas[Início vinculado],0)),1),"")</f>
        <v/>
      </c>
      <c r="K310" s="14" t="str">
        <f>IFERROR((INDEX(tblBatidas[Data e hora],MATCH("B"&amp;MID($A310,2,99),tblBatidas[Início vinculado],0))-INDEX(tblBatidas[Data e hora],MATCH("B"&amp;MID($A310,2,99),tblBatidas[Batida ID],0)))*24,"")</f>
        <v/>
      </c>
      <c r="L310" t="str">
        <f>IFERROR(INDEX(tblBatidas[Observação],MATCH("B"&amp;MID($A310,2,99),tblBatidas[Início vinculado],0)),"")</f>
        <v/>
      </c>
      <c r="M310" t="str">
        <f>IFERROR(INDEX(tblPessoas[Base],MATCH(E310,tblPessoas[ID],0)),"")</f>
        <v/>
      </c>
      <c r="N310" s="3">
        <f>IFERROR(IF(D310="DIA ÚTIL",INDEX(tblPessoas[R$/h útil],MATCH(E310,tblPessoas[ID],0)),INDEX(tblPessoas[R$/h FDS],MATCH(E310,tblPessoas[ID],0))),0)</f>
        <v>0</v>
      </c>
      <c r="O310" s="3">
        <f>IFERROR(INDEX(tblPessoas[R$/diária],MATCH(E310,tblPessoas[ID],0)),0)</f>
        <v>0</v>
      </c>
      <c r="P310" s="3" t="str">
        <f t="shared" si="18"/>
        <v/>
      </c>
      <c r="Q310" t="str">
        <f>IF(A310="","",IF(COUNTIF(tblBatidas[Início vinculado],"B"&amp;MID($A310,2,99))=0,"EM ABERTO",IF(OR(COUNTIF(tblBatidas[Início vinculado],"B"&amp;MID($A310,2,99))&gt;1,K310&lt;0,K310&gt;16,INT(INDEX(tblBatidas[Data e hora],MATCH("B"&amp;MID($A310,2,99),tblBatidas[Início vinculado],0)))&lt;&gt;B310,INDEX(tblBatidas[ID],MATCH("B"&amp;MID($A310,2,99),tblBatidas[Início vinculado],0))&lt;&gt;E310,INDEX(tblBatidas[Projeto],MATCH("B"&amp;MID($A310,2,99),tblBatidas[Início vinculado],0))&lt;&gt;G310,INDEX(tblBatidas[Atividade],MATCH("B"&amp;MID($A310,2,99),tblBatidas[Início vinculado],0))&lt;&gt;H310),"REVISAR","CONCLUÍDO")))</f>
        <v/>
      </c>
      <c r="R310">
        <f>IF(Q310&lt;&gt;"CONCLUÍDO",0,IF(COUNTIFS($E$5:E310,E310,$B$5:B310,B310,$Q$5:Q310,"CONCLUÍDO")=1,1,0))</f>
        <v>0</v>
      </c>
      <c r="S310" t="str">
        <f t="shared" si="19"/>
        <v/>
      </c>
      <c r="T310" t="str">
        <f>IF(E310="","",E310*100000+COUNTIFS(tblRegistros[ID],E310,tblRegistros[Data],"&lt;"&amp;B310)+COUNTIFS(tblRegistros[ID],E310,tblRegistros[Data],B310,tblRegistros[Início],"&lt;"&amp;I310)+COUNTIFS($E$5:E310,E310,$B$5:B310,B310,$I$5:I310,I310))</f>
        <v/>
      </c>
    </row>
    <row r="311" spans="2:20">
      <c r="B311" s="2" t="str">
        <f>IFERROR(INT(INDEX(tblBatidas[Data e hora],MATCH("B"&amp;MID($A311,2,99),tblBatidas[Batida ID],0))),"")</f>
        <v/>
      </c>
      <c r="C311" t="str">
        <f t="shared" si="16"/>
        <v/>
      </c>
      <c r="D311" t="str">
        <f t="shared" si="17"/>
        <v/>
      </c>
      <c r="E311" t="str">
        <f>IFERROR(INDEX(tblBatidas[ID],MATCH("B"&amp;MID($A311,2,99),tblBatidas[Batida ID],0)),"")</f>
        <v/>
      </c>
      <c r="F311" t="str">
        <f>IFERROR(INDEX(tblPessoas[Pessoa],MATCH(E311,tblPessoas[ID],0)),"")</f>
        <v/>
      </c>
      <c r="G311" t="str">
        <f>IFERROR(INDEX(tblBatidas[Projeto],MATCH("B"&amp;MID($A311,2,99),tblBatidas[Batida ID],0)),"")</f>
        <v/>
      </c>
      <c r="H311" t="str">
        <f>IFERROR(INDEX(tblBatidas[Atividade],MATCH("B"&amp;MID($A311,2,99),tblBatidas[Batida ID],0)),"")</f>
        <v/>
      </c>
      <c r="I311" s="4" t="str">
        <f>IFERROR(MOD(INDEX(tblBatidas[Data e hora],MATCH("B"&amp;MID($A311,2,99),tblBatidas[Batida ID],0)),1),"")</f>
        <v/>
      </c>
      <c r="J311" s="4" t="str">
        <f>IFERROR(MOD(INDEX(tblBatidas[Data e hora],MATCH("B"&amp;MID($A311,2,99),tblBatidas[Início vinculado],0)),1),"")</f>
        <v/>
      </c>
      <c r="K311" s="14" t="str">
        <f>IFERROR((INDEX(tblBatidas[Data e hora],MATCH("B"&amp;MID($A311,2,99),tblBatidas[Início vinculado],0))-INDEX(tblBatidas[Data e hora],MATCH("B"&amp;MID($A311,2,99),tblBatidas[Batida ID],0)))*24,"")</f>
        <v/>
      </c>
      <c r="L311" t="str">
        <f>IFERROR(INDEX(tblBatidas[Observação],MATCH("B"&amp;MID($A311,2,99),tblBatidas[Início vinculado],0)),"")</f>
        <v/>
      </c>
      <c r="M311" t="str">
        <f>IFERROR(INDEX(tblPessoas[Base],MATCH(E311,tblPessoas[ID],0)),"")</f>
        <v/>
      </c>
      <c r="N311" s="3">
        <f>IFERROR(IF(D311="DIA ÚTIL",INDEX(tblPessoas[R$/h útil],MATCH(E311,tblPessoas[ID],0)),INDEX(tblPessoas[R$/h FDS],MATCH(E311,tblPessoas[ID],0))),0)</f>
        <v>0</v>
      </c>
      <c r="O311" s="3">
        <f>IFERROR(INDEX(tblPessoas[R$/diária],MATCH(E311,tblPessoas[ID],0)),0)</f>
        <v>0</v>
      </c>
      <c r="P311" s="3" t="str">
        <f t="shared" si="18"/>
        <v/>
      </c>
      <c r="Q311" t="str">
        <f>IF(A311="","",IF(COUNTIF(tblBatidas[Início vinculado],"B"&amp;MID($A311,2,99))=0,"EM ABERTO",IF(OR(COUNTIF(tblBatidas[Início vinculado],"B"&amp;MID($A311,2,99))&gt;1,K311&lt;0,K311&gt;16,INT(INDEX(tblBatidas[Data e hora],MATCH("B"&amp;MID($A311,2,99),tblBatidas[Início vinculado],0)))&lt;&gt;B311,INDEX(tblBatidas[ID],MATCH("B"&amp;MID($A311,2,99),tblBatidas[Início vinculado],0))&lt;&gt;E311,INDEX(tblBatidas[Projeto],MATCH("B"&amp;MID($A311,2,99),tblBatidas[Início vinculado],0))&lt;&gt;G311,INDEX(tblBatidas[Atividade],MATCH("B"&amp;MID($A311,2,99),tblBatidas[Início vinculado],0))&lt;&gt;H311),"REVISAR","CONCLUÍDO")))</f>
        <v/>
      </c>
      <c r="R311">
        <f>IF(Q311&lt;&gt;"CONCLUÍDO",0,IF(COUNTIFS($E$5:E311,E311,$B$5:B311,B311,$Q$5:Q311,"CONCLUÍDO")=1,1,0))</f>
        <v>0</v>
      </c>
      <c r="S311" t="str">
        <f t="shared" si="19"/>
        <v/>
      </c>
      <c r="T311" t="str">
        <f>IF(E311="","",E311*100000+COUNTIFS(tblRegistros[ID],E311,tblRegistros[Data],"&lt;"&amp;B311)+COUNTIFS(tblRegistros[ID],E311,tblRegistros[Data],B311,tblRegistros[Início],"&lt;"&amp;I311)+COUNTIFS($E$5:E311,E311,$B$5:B311,B311,$I$5:I311,I311))</f>
        <v/>
      </c>
    </row>
    <row r="312" spans="2:20">
      <c r="B312" s="2" t="str">
        <f>IFERROR(INT(INDEX(tblBatidas[Data e hora],MATCH("B"&amp;MID($A312,2,99),tblBatidas[Batida ID],0))),"")</f>
        <v/>
      </c>
      <c r="C312" t="str">
        <f t="shared" si="16"/>
        <v/>
      </c>
      <c r="D312" t="str">
        <f t="shared" si="17"/>
        <v/>
      </c>
      <c r="E312" t="str">
        <f>IFERROR(INDEX(tblBatidas[ID],MATCH("B"&amp;MID($A312,2,99),tblBatidas[Batida ID],0)),"")</f>
        <v/>
      </c>
      <c r="F312" t="str">
        <f>IFERROR(INDEX(tblPessoas[Pessoa],MATCH(E312,tblPessoas[ID],0)),"")</f>
        <v/>
      </c>
      <c r="G312" t="str">
        <f>IFERROR(INDEX(tblBatidas[Projeto],MATCH("B"&amp;MID($A312,2,99),tblBatidas[Batida ID],0)),"")</f>
        <v/>
      </c>
      <c r="H312" t="str">
        <f>IFERROR(INDEX(tblBatidas[Atividade],MATCH("B"&amp;MID($A312,2,99),tblBatidas[Batida ID],0)),"")</f>
        <v/>
      </c>
      <c r="I312" s="4" t="str">
        <f>IFERROR(MOD(INDEX(tblBatidas[Data e hora],MATCH("B"&amp;MID($A312,2,99),tblBatidas[Batida ID],0)),1),"")</f>
        <v/>
      </c>
      <c r="J312" s="4" t="str">
        <f>IFERROR(MOD(INDEX(tblBatidas[Data e hora],MATCH("B"&amp;MID($A312,2,99),tblBatidas[Início vinculado],0)),1),"")</f>
        <v/>
      </c>
      <c r="K312" s="14" t="str">
        <f>IFERROR((INDEX(tblBatidas[Data e hora],MATCH("B"&amp;MID($A312,2,99),tblBatidas[Início vinculado],0))-INDEX(tblBatidas[Data e hora],MATCH("B"&amp;MID($A312,2,99),tblBatidas[Batida ID],0)))*24,"")</f>
        <v/>
      </c>
      <c r="L312" t="str">
        <f>IFERROR(INDEX(tblBatidas[Observação],MATCH("B"&amp;MID($A312,2,99),tblBatidas[Início vinculado],0)),"")</f>
        <v/>
      </c>
      <c r="M312" t="str">
        <f>IFERROR(INDEX(tblPessoas[Base],MATCH(E312,tblPessoas[ID],0)),"")</f>
        <v/>
      </c>
      <c r="N312" s="3">
        <f>IFERROR(IF(D312="DIA ÚTIL",INDEX(tblPessoas[R$/h útil],MATCH(E312,tblPessoas[ID],0)),INDEX(tblPessoas[R$/h FDS],MATCH(E312,tblPessoas[ID],0))),0)</f>
        <v>0</v>
      </c>
      <c r="O312" s="3">
        <f>IFERROR(INDEX(tblPessoas[R$/diária],MATCH(E312,tblPessoas[ID],0)),0)</f>
        <v>0</v>
      </c>
      <c r="P312" s="3" t="str">
        <f t="shared" si="18"/>
        <v/>
      </c>
      <c r="Q312" t="str">
        <f>IF(A312="","",IF(COUNTIF(tblBatidas[Início vinculado],"B"&amp;MID($A312,2,99))=0,"EM ABERTO",IF(OR(COUNTIF(tblBatidas[Início vinculado],"B"&amp;MID($A312,2,99))&gt;1,K312&lt;0,K312&gt;16,INT(INDEX(tblBatidas[Data e hora],MATCH("B"&amp;MID($A312,2,99),tblBatidas[Início vinculado],0)))&lt;&gt;B312,INDEX(tblBatidas[ID],MATCH("B"&amp;MID($A312,2,99),tblBatidas[Início vinculado],0))&lt;&gt;E312,INDEX(tblBatidas[Projeto],MATCH("B"&amp;MID($A312,2,99),tblBatidas[Início vinculado],0))&lt;&gt;G312,INDEX(tblBatidas[Atividade],MATCH("B"&amp;MID($A312,2,99),tblBatidas[Início vinculado],0))&lt;&gt;H312),"REVISAR","CONCLUÍDO")))</f>
        <v/>
      </c>
      <c r="R312">
        <f>IF(Q312&lt;&gt;"CONCLUÍDO",0,IF(COUNTIFS($E$5:E312,E312,$B$5:B312,B312,$Q$5:Q312,"CONCLUÍDO")=1,1,0))</f>
        <v>0</v>
      </c>
      <c r="S312" t="str">
        <f t="shared" si="19"/>
        <v/>
      </c>
      <c r="T312" t="str">
        <f>IF(E312="","",E312*100000+COUNTIFS(tblRegistros[ID],E312,tblRegistros[Data],"&lt;"&amp;B312)+COUNTIFS(tblRegistros[ID],E312,tblRegistros[Data],B312,tblRegistros[Início],"&lt;"&amp;I312)+COUNTIFS($E$5:E312,E312,$B$5:B312,B312,$I$5:I312,I312))</f>
        <v/>
      </c>
    </row>
    <row r="313" spans="2:20">
      <c r="B313" s="2" t="str">
        <f>IFERROR(INT(INDEX(tblBatidas[Data e hora],MATCH("B"&amp;MID($A313,2,99),tblBatidas[Batida ID],0))),"")</f>
        <v/>
      </c>
      <c r="C313" t="str">
        <f t="shared" si="16"/>
        <v/>
      </c>
      <c r="D313" t="str">
        <f t="shared" si="17"/>
        <v/>
      </c>
      <c r="E313" t="str">
        <f>IFERROR(INDEX(tblBatidas[ID],MATCH("B"&amp;MID($A313,2,99),tblBatidas[Batida ID],0)),"")</f>
        <v/>
      </c>
      <c r="F313" t="str">
        <f>IFERROR(INDEX(tblPessoas[Pessoa],MATCH(E313,tblPessoas[ID],0)),"")</f>
        <v/>
      </c>
      <c r="G313" t="str">
        <f>IFERROR(INDEX(tblBatidas[Projeto],MATCH("B"&amp;MID($A313,2,99),tblBatidas[Batida ID],0)),"")</f>
        <v/>
      </c>
      <c r="H313" t="str">
        <f>IFERROR(INDEX(tblBatidas[Atividade],MATCH("B"&amp;MID($A313,2,99),tblBatidas[Batida ID],0)),"")</f>
        <v/>
      </c>
      <c r="I313" s="4" t="str">
        <f>IFERROR(MOD(INDEX(tblBatidas[Data e hora],MATCH("B"&amp;MID($A313,2,99),tblBatidas[Batida ID],0)),1),"")</f>
        <v/>
      </c>
      <c r="J313" s="4" t="str">
        <f>IFERROR(MOD(INDEX(tblBatidas[Data e hora],MATCH("B"&amp;MID($A313,2,99),tblBatidas[Início vinculado],0)),1),"")</f>
        <v/>
      </c>
      <c r="K313" s="14" t="str">
        <f>IFERROR((INDEX(tblBatidas[Data e hora],MATCH("B"&amp;MID($A313,2,99),tblBatidas[Início vinculado],0))-INDEX(tblBatidas[Data e hora],MATCH("B"&amp;MID($A313,2,99),tblBatidas[Batida ID],0)))*24,"")</f>
        <v/>
      </c>
      <c r="L313" t="str">
        <f>IFERROR(INDEX(tblBatidas[Observação],MATCH("B"&amp;MID($A313,2,99),tblBatidas[Início vinculado],0)),"")</f>
        <v/>
      </c>
      <c r="M313" t="str">
        <f>IFERROR(INDEX(tblPessoas[Base],MATCH(E313,tblPessoas[ID],0)),"")</f>
        <v/>
      </c>
      <c r="N313" s="3">
        <f>IFERROR(IF(D313="DIA ÚTIL",INDEX(tblPessoas[R$/h útil],MATCH(E313,tblPessoas[ID],0)),INDEX(tblPessoas[R$/h FDS],MATCH(E313,tblPessoas[ID],0))),0)</f>
        <v>0</v>
      </c>
      <c r="O313" s="3">
        <f>IFERROR(INDEX(tblPessoas[R$/diária],MATCH(E313,tblPessoas[ID],0)),0)</f>
        <v>0</v>
      </c>
      <c r="P313" s="3" t="str">
        <f t="shared" si="18"/>
        <v/>
      </c>
      <c r="Q313" t="str">
        <f>IF(A313="","",IF(COUNTIF(tblBatidas[Início vinculado],"B"&amp;MID($A313,2,99))=0,"EM ABERTO",IF(OR(COUNTIF(tblBatidas[Início vinculado],"B"&amp;MID($A313,2,99))&gt;1,K313&lt;0,K313&gt;16,INT(INDEX(tblBatidas[Data e hora],MATCH("B"&amp;MID($A313,2,99),tblBatidas[Início vinculado],0)))&lt;&gt;B313,INDEX(tblBatidas[ID],MATCH("B"&amp;MID($A313,2,99),tblBatidas[Início vinculado],0))&lt;&gt;E313,INDEX(tblBatidas[Projeto],MATCH("B"&amp;MID($A313,2,99),tblBatidas[Início vinculado],0))&lt;&gt;G313,INDEX(tblBatidas[Atividade],MATCH("B"&amp;MID($A313,2,99),tblBatidas[Início vinculado],0))&lt;&gt;H313),"REVISAR","CONCLUÍDO")))</f>
        <v/>
      </c>
      <c r="R313">
        <f>IF(Q313&lt;&gt;"CONCLUÍDO",0,IF(COUNTIFS($E$5:E313,E313,$B$5:B313,B313,$Q$5:Q313,"CONCLUÍDO")=1,1,0))</f>
        <v>0</v>
      </c>
      <c r="S313" t="str">
        <f t="shared" si="19"/>
        <v/>
      </c>
      <c r="T313" t="str">
        <f>IF(E313="","",E313*100000+COUNTIFS(tblRegistros[ID],E313,tblRegistros[Data],"&lt;"&amp;B313)+COUNTIFS(tblRegistros[ID],E313,tblRegistros[Data],B313,tblRegistros[Início],"&lt;"&amp;I313)+COUNTIFS($E$5:E313,E313,$B$5:B313,B313,$I$5:I313,I313))</f>
        <v/>
      </c>
    </row>
    <row r="314" spans="2:20">
      <c r="B314" s="2" t="str">
        <f>IFERROR(INT(INDEX(tblBatidas[Data e hora],MATCH("B"&amp;MID($A314,2,99),tblBatidas[Batida ID],0))),"")</f>
        <v/>
      </c>
      <c r="C314" t="str">
        <f t="shared" si="16"/>
        <v/>
      </c>
      <c r="D314" t="str">
        <f t="shared" si="17"/>
        <v/>
      </c>
      <c r="E314" t="str">
        <f>IFERROR(INDEX(tblBatidas[ID],MATCH("B"&amp;MID($A314,2,99),tblBatidas[Batida ID],0)),"")</f>
        <v/>
      </c>
      <c r="F314" t="str">
        <f>IFERROR(INDEX(tblPessoas[Pessoa],MATCH(E314,tblPessoas[ID],0)),"")</f>
        <v/>
      </c>
      <c r="G314" t="str">
        <f>IFERROR(INDEX(tblBatidas[Projeto],MATCH("B"&amp;MID($A314,2,99),tblBatidas[Batida ID],0)),"")</f>
        <v/>
      </c>
      <c r="H314" t="str">
        <f>IFERROR(INDEX(tblBatidas[Atividade],MATCH("B"&amp;MID($A314,2,99),tblBatidas[Batida ID],0)),"")</f>
        <v/>
      </c>
      <c r="I314" s="4" t="str">
        <f>IFERROR(MOD(INDEX(tblBatidas[Data e hora],MATCH("B"&amp;MID($A314,2,99),tblBatidas[Batida ID],0)),1),"")</f>
        <v/>
      </c>
      <c r="J314" s="4" t="str">
        <f>IFERROR(MOD(INDEX(tblBatidas[Data e hora],MATCH("B"&amp;MID($A314,2,99),tblBatidas[Início vinculado],0)),1),"")</f>
        <v/>
      </c>
      <c r="K314" s="14" t="str">
        <f>IFERROR((INDEX(tblBatidas[Data e hora],MATCH("B"&amp;MID($A314,2,99),tblBatidas[Início vinculado],0))-INDEX(tblBatidas[Data e hora],MATCH("B"&amp;MID($A314,2,99),tblBatidas[Batida ID],0)))*24,"")</f>
        <v/>
      </c>
      <c r="L314" t="str">
        <f>IFERROR(INDEX(tblBatidas[Observação],MATCH("B"&amp;MID($A314,2,99),tblBatidas[Início vinculado],0)),"")</f>
        <v/>
      </c>
      <c r="M314" t="str">
        <f>IFERROR(INDEX(tblPessoas[Base],MATCH(E314,tblPessoas[ID],0)),"")</f>
        <v/>
      </c>
      <c r="N314" s="3">
        <f>IFERROR(IF(D314="DIA ÚTIL",INDEX(tblPessoas[R$/h útil],MATCH(E314,tblPessoas[ID],0)),INDEX(tblPessoas[R$/h FDS],MATCH(E314,tblPessoas[ID],0))),0)</f>
        <v>0</v>
      </c>
      <c r="O314" s="3">
        <f>IFERROR(INDEX(tblPessoas[R$/diária],MATCH(E314,tblPessoas[ID],0)),0)</f>
        <v>0</v>
      </c>
      <c r="P314" s="3" t="str">
        <f t="shared" si="18"/>
        <v/>
      </c>
      <c r="Q314" t="str">
        <f>IF(A314="","",IF(COUNTIF(tblBatidas[Início vinculado],"B"&amp;MID($A314,2,99))=0,"EM ABERTO",IF(OR(COUNTIF(tblBatidas[Início vinculado],"B"&amp;MID($A314,2,99))&gt;1,K314&lt;0,K314&gt;16,INT(INDEX(tblBatidas[Data e hora],MATCH("B"&amp;MID($A314,2,99),tblBatidas[Início vinculado],0)))&lt;&gt;B314,INDEX(tblBatidas[ID],MATCH("B"&amp;MID($A314,2,99),tblBatidas[Início vinculado],0))&lt;&gt;E314,INDEX(tblBatidas[Projeto],MATCH("B"&amp;MID($A314,2,99),tblBatidas[Início vinculado],0))&lt;&gt;G314,INDEX(tblBatidas[Atividade],MATCH("B"&amp;MID($A314,2,99),tblBatidas[Início vinculado],0))&lt;&gt;H314),"REVISAR","CONCLUÍDO")))</f>
        <v/>
      </c>
      <c r="R314">
        <f>IF(Q314&lt;&gt;"CONCLUÍDO",0,IF(COUNTIFS($E$5:E314,E314,$B$5:B314,B314,$Q$5:Q314,"CONCLUÍDO")=1,1,0))</f>
        <v>0</v>
      </c>
      <c r="S314" t="str">
        <f t="shared" si="19"/>
        <v/>
      </c>
      <c r="T314" t="str">
        <f>IF(E314="","",E314*100000+COUNTIFS(tblRegistros[ID],E314,tblRegistros[Data],"&lt;"&amp;B314)+COUNTIFS(tblRegistros[ID],E314,tblRegistros[Data],B314,tblRegistros[Início],"&lt;"&amp;I314)+COUNTIFS($E$5:E314,E314,$B$5:B314,B314,$I$5:I314,I314))</f>
        <v/>
      </c>
    </row>
    <row r="315" spans="2:20">
      <c r="B315" s="2" t="str">
        <f>IFERROR(INT(INDEX(tblBatidas[Data e hora],MATCH("B"&amp;MID($A315,2,99),tblBatidas[Batida ID],0))),"")</f>
        <v/>
      </c>
      <c r="C315" t="str">
        <f t="shared" si="16"/>
        <v/>
      </c>
      <c r="D315" t="str">
        <f t="shared" si="17"/>
        <v/>
      </c>
      <c r="E315" t="str">
        <f>IFERROR(INDEX(tblBatidas[ID],MATCH("B"&amp;MID($A315,2,99),tblBatidas[Batida ID],0)),"")</f>
        <v/>
      </c>
      <c r="F315" t="str">
        <f>IFERROR(INDEX(tblPessoas[Pessoa],MATCH(E315,tblPessoas[ID],0)),"")</f>
        <v/>
      </c>
      <c r="G315" t="str">
        <f>IFERROR(INDEX(tblBatidas[Projeto],MATCH("B"&amp;MID($A315,2,99),tblBatidas[Batida ID],0)),"")</f>
        <v/>
      </c>
      <c r="H315" t="str">
        <f>IFERROR(INDEX(tblBatidas[Atividade],MATCH("B"&amp;MID($A315,2,99),tblBatidas[Batida ID],0)),"")</f>
        <v/>
      </c>
      <c r="I315" s="4" t="str">
        <f>IFERROR(MOD(INDEX(tblBatidas[Data e hora],MATCH("B"&amp;MID($A315,2,99),tblBatidas[Batida ID],0)),1),"")</f>
        <v/>
      </c>
      <c r="J315" s="4" t="str">
        <f>IFERROR(MOD(INDEX(tblBatidas[Data e hora],MATCH("B"&amp;MID($A315,2,99),tblBatidas[Início vinculado],0)),1),"")</f>
        <v/>
      </c>
      <c r="K315" s="14" t="str">
        <f>IFERROR((INDEX(tblBatidas[Data e hora],MATCH("B"&amp;MID($A315,2,99),tblBatidas[Início vinculado],0))-INDEX(tblBatidas[Data e hora],MATCH("B"&amp;MID($A315,2,99),tblBatidas[Batida ID],0)))*24,"")</f>
        <v/>
      </c>
      <c r="L315" t="str">
        <f>IFERROR(INDEX(tblBatidas[Observação],MATCH("B"&amp;MID($A315,2,99),tblBatidas[Início vinculado],0)),"")</f>
        <v/>
      </c>
      <c r="M315" t="str">
        <f>IFERROR(INDEX(tblPessoas[Base],MATCH(E315,tblPessoas[ID],0)),"")</f>
        <v/>
      </c>
      <c r="N315" s="3">
        <f>IFERROR(IF(D315="DIA ÚTIL",INDEX(tblPessoas[R$/h útil],MATCH(E315,tblPessoas[ID],0)),INDEX(tblPessoas[R$/h FDS],MATCH(E315,tblPessoas[ID],0))),0)</f>
        <v>0</v>
      </c>
      <c r="O315" s="3">
        <f>IFERROR(INDEX(tblPessoas[R$/diária],MATCH(E315,tblPessoas[ID],0)),0)</f>
        <v>0</v>
      </c>
      <c r="P315" s="3" t="str">
        <f t="shared" si="18"/>
        <v/>
      </c>
      <c r="Q315" t="str">
        <f>IF(A315="","",IF(COUNTIF(tblBatidas[Início vinculado],"B"&amp;MID($A315,2,99))=0,"EM ABERTO",IF(OR(COUNTIF(tblBatidas[Início vinculado],"B"&amp;MID($A315,2,99))&gt;1,K315&lt;0,K315&gt;16,INT(INDEX(tblBatidas[Data e hora],MATCH("B"&amp;MID($A315,2,99),tblBatidas[Início vinculado],0)))&lt;&gt;B315,INDEX(tblBatidas[ID],MATCH("B"&amp;MID($A315,2,99),tblBatidas[Início vinculado],0))&lt;&gt;E315,INDEX(tblBatidas[Projeto],MATCH("B"&amp;MID($A315,2,99),tblBatidas[Início vinculado],0))&lt;&gt;G315,INDEX(tblBatidas[Atividade],MATCH("B"&amp;MID($A315,2,99),tblBatidas[Início vinculado],0))&lt;&gt;H315),"REVISAR","CONCLUÍDO")))</f>
        <v/>
      </c>
      <c r="R315">
        <f>IF(Q315&lt;&gt;"CONCLUÍDO",0,IF(COUNTIFS($E$5:E315,E315,$B$5:B315,B315,$Q$5:Q315,"CONCLUÍDO")=1,1,0))</f>
        <v>0</v>
      </c>
      <c r="S315" t="str">
        <f t="shared" si="19"/>
        <v/>
      </c>
      <c r="T315" t="str">
        <f>IF(E315="","",E315*100000+COUNTIFS(tblRegistros[ID],E315,tblRegistros[Data],"&lt;"&amp;B315)+COUNTIFS(tblRegistros[ID],E315,tblRegistros[Data],B315,tblRegistros[Início],"&lt;"&amp;I315)+COUNTIFS($E$5:E315,E315,$B$5:B315,B315,$I$5:I315,I315))</f>
        <v/>
      </c>
    </row>
    <row r="316" spans="2:20">
      <c r="B316" s="2" t="str">
        <f>IFERROR(INT(INDEX(tblBatidas[Data e hora],MATCH("B"&amp;MID($A316,2,99),tblBatidas[Batida ID],0))),"")</f>
        <v/>
      </c>
      <c r="C316" t="str">
        <f t="shared" si="16"/>
        <v/>
      </c>
      <c r="D316" t="str">
        <f t="shared" si="17"/>
        <v/>
      </c>
      <c r="E316" t="str">
        <f>IFERROR(INDEX(tblBatidas[ID],MATCH("B"&amp;MID($A316,2,99),tblBatidas[Batida ID],0)),"")</f>
        <v/>
      </c>
      <c r="F316" t="str">
        <f>IFERROR(INDEX(tblPessoas[Pessoa],MATCH(E316,tblPessoas[ID],0)),"")</f>
        <v/>
      </c>
      <c r="G316" t="str">
        <f>IFERROR(INDEX(tblBatidas[Projeto],MATCH("B"&amp;MID($A316,2,99),tblBatidas[Batida ID],0)),"")</f>
        <v/>
      </c>
      <c r="H316" t="str">
        <f>IFERROR(INDEX(tblBatidas[Atividade],MATCH("B"&amp;MID($A316,2,99),tblBatidas[Batida ID],0)),"")</f>
        <v/>
      </c>
      <c r="I316" s="4" t="str">
        <f>IFERROR(MOD(INDEX(tblBatidas[Data e hora],MATCH("B"&amp;MID($A316,2,99),tblBatidas[Batida ID],0)),1),"")</f>
        <v/>
      </c>
      <c r="J316" s="4" t="str">
        <f>IFERROR(MOD(INDEX(tblBatidas[Data e hora],MATCH("B"&amp;MID($A316,2,99),tblBatidas[Início vinculado],0)),1),"")</f>
        <v/>
      </c>
      <c r="K316" s="14" t="str">
        <f>IFERROR((INDEX(tblBatidas[Data e hora],MATCH("B"&amp;MID($A316,2,99),tblBatidas[Início vinculado],0))-INDEX(tblBatidas[Data e hora],MATCH("B"&amp;MID($A316,2,99),tblBatidas[Batida ID],0)))*24,"")</f>
        <v/>
      </c>
      <c r="L316" t="str">
        <f>IFERROR(INDEX(tblBatidas[Observação],MATCH("B"&amp;MID($A316,2,99),tblBatidas[Início vinculado],0)),"")</f>
        <v/>
      </c>
      <c r="M316" t="str">
        <f>IFERROR(INDEX(tblPessoas[Base],MATCH(E316,tblPessoas[ID],0)),"")</f>
        <v/>
      </c>
      <c r="N316" s="3">
        <f>IFERROR(IF(D316="DIA ÚTIL",INDEX(tblPessoas[R$/h útil],MATCH(E316,tblPessoas[ID],0)),INDEX(tblPessoas[R$/h FDS],MATCH(E316,tblPessoas[ID],0))),0)</f>
        <v>0</v>
      </c>
      <c r="O316" s="3">
        <f>IFERROR(INDEX(tblPessoas[R$/diária],MATCH(E316,tblPessoas[ID],0)),0)</f>
        <v>0</v>
      </c>
      <c r="P316" s="3" t="str">
        <f t="shared" si="18"/>
        <v/>
      </c>
      <c r="Q316" t="str">
        <f>IF(A316="","",IF(COUNTIF(tblBatidas[Início vinculado],"B"&amp;MID($A316,2,99))=0,"EM ABERTO",IF(OR(COUNTIF(tblBatidas[Início vinculado],"B"&amp;MID($A316,2,99))&gt;1,K316&lt;0,K316&gt;16,INT(INDEX(tblBatidas[Data e hora],MATCH("B"&amp;MID($A316,2,99),tblBatidas[Início vinculado],0)))&lt;&gt;B316,INDEX(tblBatidas[ID],MATCH("B"&amp;MID($A316,2,99),tblBatidas[Início vinculado],0))&lt;&gt;E316,INDEX(tblBatidas[Projeto],MATCH("B"&amp;MID($A316,2,99),tblBatidas[Início vinculado],0))&lt;&gt;G316,INDEX(tblBatidas[Atividade],MATCH("B"&amp;MID($A316,2,99),tblBatidas[Início vinculado],0))&lt;&gt;H316),"REVISAR","CONCLUÍDO")))</f>
        <v/>
      </c>
      <c r="R316">
        <f>IF(Q316&lt;&gt;"CONCLUÍDO",0,IF(COUNTIFS($E$5:E316,E316,$B$5:B316,B316,$Q$5:Q316,"CONCLUÍDO")=1,1,0))</f>
        <v>0</v>
      </c>
      <c r="S316" t="str">
        <f t="shared" si="19"/>
        <v/>
      </c>
      <c r="T316" t="str">
        <f>IF(E316="","",E316*100000+COUNTIFS(tblRegistros[ID],E316,tblRegistros[Data],"&lt;"&amp;B316)+COUNTIFS(tblRegistros[ID],E316,tblRegistros[Data],B316,tblRegistros[Início],"&lt;"&amp;I316)+COUNTIFS($E$5:E316,E316,$B$5:B316,B316,$I$5:I316,I316))</f>
        <v/>
      </c>
    </row>
    <row r="317" spans="2:20">
      <c r="B317" s="2" t="str">
        <f>IFERROR(INT(INDEX(tblBatidas[Data e hora],MATCH("B"&amp;MID($A317,2,99),tblBatidas[Batida ID],0))),"")</f>
        <v/>
      </c>
      <c r="C317" t="str">
        <f t="shared" si="16"/>
        <v/>
      </c>
      <c r="D317" t="str">
        <f t="shared" si="17"/>
        <v/>
      </c>
      <c r="E317" t="str">
        <f>IFERROR(INDEX(tblBatidas[ID],MATCH("B"&amp;MID($A317,2,99),tblBatidas[Batida ID],0)),"")</f>
        <v/>
      </c>
      <c r="F317" t="str">
        <f>IFERROR(INDEX(tblPessoas[Pessoa],MATCH(E317,tblPessoas[ID],0)),"")</f>
        <v/>
      </c>
      <c r="G317" t="str">
        <f>IFERROR(INDEX(tblBatidas[Projeto],MATCH("B"&amp;MID($A317,2,99),tblBatidas[Batida ID],0)),"")</f>
        <v/>
      </c>
      <c r="H317" t="str">
        <f>IFERROR(INDEX(tblBatidas[Atividade],MATCH("B"&amp;MID($A317,2,99),tblBatidas[Batida ID],0)),"")</f>
        <v/>
      </c>
      <c r="I317" s="4" t="str">
        <f>IFERROR(MOD(INDEX(tblBatidas[Data e hora],MATCH("B"&amp;MID($A317,2,99),tblBatidas[Batida ID],0)),1),"")</f>
        <v/>
      </c>
      <c r="J317" s="4" t="str">
        <f>IFERROR(MOD(INDEX(tblBatidas[Data e hora],MATCH("B"&amp;MID($A317,2,99),tblBatidas[Início vinculado],0)),1),"")</f>
        <v/>
      </c>
      <c r="K317" s="14" t="str">
        <f>IFERROR((INDEX(tblBatidas[Data e hora],MATCH("B"&amp;MID($A317,2,99),tblBatidas[Início vinculado],0))-INDEX(tblBatidas[Data e hora],MATCH("B"&amp;MID($A317,2,99),tblBatidas[Batida ID],0)))*24,"")</f>
        <v/>
      </c>
      <c r="L317" t="str">
        <f>IFERROR(INDEX(tblBatidas[Observação],MATCH("B"&amp;MID($A317,2,99),tblBatidas[Início vinculado],0)),"")</f>
        <v/>
      </c>
      <c r="M317" t="str">
        <f>IFERROR(INDEX(tblPessoas[Base],MATCH(E317,tblPessoas[ID],0)),"")</f>
        <v/>
      </c>
      <c r="N317" s="3">
        <f>IFERROR(IF(D317="DIA ÚTIL",INDEX(tblPessoas[R$/h útil],MATCH(E317,tblPessoas[ID],0)),INDEX(tblPessoas[R$/h FDS],MATCH(E317,tblPessoas[ID],0))),0)</f>
        <v>0</v>
      </c>
      <c r="O317" s="3">
        <f>IFERROR(INDEX(tblPessoas[R$/diária],MATCH(E317,tblPessoas[ID],0)),0)</f>
        <v>0</v>
      </c>
      <c r="P317" s="3" t="str">
        <f t="shared" si="18"/>
        <v/>
      </c>
      <c r="Q317" t="str">
        <f>IF(A317="","",IF(COUNTIF(tblBatidas[Início vinculado],"B"&amp;MID($A317,2,99))=0,"EM ABERTO",IF(OR(COUNTIF(tblBatidas[Início vinculado],"B"&amp;MID($A317,2,99))&gt;1,K317&lt;0,K317&gt;16,INT(INDEX(tblBatidas[Data e hora],MATCH("B"&amp;MID($A317,2,99),tblBatidas[Início vinculado],0)))&lt;&gt;B317,INDEX(tblBatidas[ID],MATCH("B"&amp;MID($A317,2,99),tblBatidas[Início vinculado],0))&lt;&gt;E317,INDEX(tblBatidas[Projeto],MATCH("B"&amp;MID($A317,2,99),tblBatidas[Início vinculado],0))&lt;&gt;G317,INDEX(tblBatidas[Atividade],MATCH("B"&amp;MID($A317,2,99),tblBatidas[Início vinculado],0))&lt;&gt;H317),"REVISAR","CONCLUÍDO")))</f>
        <v/>
      </c>
      <c r="R317">
        <f>IF(Q317&lt;&gt;"CONCLUÍDO",0,IF(COUNTIFS($E$5:E317,E317,$B$5:B317,B317,$Q$5:Q317,"CONCLUÍDO")=1,1,0))</f>
        <v>0</v>
      </c>
      <c r="S317" t="str">
        <f t="shared" si="19"/>
        <v/>
      </c>
      <c r="T317" t="str">
        <f>IF(E317="","",E317*100000+COUNTIFS(tblRegistros[ID],E317,tblRegistros[Data],"&lt;"&amp;B317)+COUNTIFS(tblRegistros[ID],E317,tblRegistros[Data],B317,tblRegistros[Início],"&lt;"&amp;I317)+COUNTIFS($E$5:E317,E317,$B$5:B317,B317,$I$5:I317,I317))</f>
        <v/>
      </c>
    </row>
    <row r="318" spans="2:20">
      <c r="B318" s="2" t="str">
        <f>IFERROR(INT(INDEX(tblBatidas[Data e hora],MATCH("B"&amp;MID($A318,2,99),tblBatidas[Batida ID],0))),"")</f>
        <v/>
      </c>
      <c r="C318" t="str">
        <f t="shared" si="16"/>
        <v/>
      </c>
      <c r="D318" t="str">
        <f t="shared" si="17"/>
        <v/>
      </c>
      <c r="E318" t="str">
        <f>IFERROR(INDEX(tblBatidas[ID],MATCH("B"&amp;MID($A318,2,99),tblBatidas[Batida ID],0)),"")</f>
        <v/>
      </c>
      <c r="F318" t="str">
        <f>IFERROR(INDEX(tblPessoas[Pessoa],MATCH(E318,tblPessoas[ID],0)),"")</f>
        <v/>
      </c>
      <c r="G318" t="str">
        <f>IFERROR(INDEX(tblBatidas[Projeto],MATCH("B"&amp;MID($A318,2,99),tblBatidas[Batida ID],0)),"")</f>
        <v/>
      </c>
      <c r="H318" t="str">
        <f>IFERROR(INDEX(tblBatidas[Atividade],MATCH("B"&amp;MID($A318,2,99),tblBatidas[Batida ID],0)),"")</f>
        <v/>
      </c>
      <c r="I318" s="4" t="str">
        <f>IFERROR(MOD(INDEX(tblBatidas[Data e hora],MATCH("B"&amp;MID($A318,2,99),tblBatidas[Batida ID],0)),1),"")</f>
        <v/>
      </c>
      <c r="J318" s="4" t="str">
        <f>IFERROR(MOD(INDEX(tblBatidas[Data e hora],MATCH("B"&amp;MID($A318,2,99),tblBatidas[Início vinculado],0)),1),"")</f>
        <v/>
      </c>
      <c r="K318" s="14" t="str">
        <f>IFERROR((INDEX(tblBatidas[Data e hora],MATCH("B"&amp;MID($A318,2,99),tblBatidas[Início vinculado],0))-INDEX(tblBatidas[Data e hora],MATCH("B"&amp;MID($A318,2,99),tblBatidas[Batida ID],0)))*24,"")</f>
        <v/>
      </c>
      <c r="L318" t="str">
        <f>IFERROR(INDEX(tblBatidas[Observação],MATCH("B"&amp;MID($A318,2,99),tblBatidas[Início vinculado],0)),"")</f>
        <v/>
      </c>
      <c r="M318" t="str">
        <f>IFERROR(INDEX(tblPessoas[Base],MATCH(E318,tblPessoas[ID],0)),"")</f>
        <v/>
      </c>
      <c r="N318" s="3">
        <f>IFERROR(IF(D318="DIA ÚTIL",INDEX(tblPessoas[R$/h útil],MATCH(E318,tblPessoas[ID],0)),INDEX(tblPessoas[R$/h FDS],MATCH(E318,tblPessoas[ID],0))),0)</f>
        <v>0</v>
      </c>
      <c r="O318" s="3">
        <f>IFERROR(INDEX(tblPessoas[R$/diária],MATCH(E318,tblPessoas[ID],0)),0)</f>
        <v>0</v>
      </c>
      <c r="P318" s="3" t="str">
        <f t="shared" si="18"/>
        <v/>
      </c>
      <c r="Q318" t="str">
        <f>IF(A318="","",IF(COUNTIF(tblBatidas[Início vinculado],"B"&amp;MID($A318,2,99))=0,"EM ABERTO",IF(OR(COUNTIF(tblBatidas[Início vinculado],"B"&amp;MID($A318,2,99))&gt;1,K318&lt;0,K318&gt;16,INT(INDEX(tblBatidas[Data e hora],MATCH("B"&amp;MID($A318,2,99),tblBatidas[Início vinculado],0)))&lt;&gt;B318,INDEX(tblBatidas[ID],MATCH("B"&amp;MID($A318,2,99),tblBatidas[Início vinculado],0))&lt;&gt;E318,INDEX(tblBatidas[Projeto],MATCH("B"&amp;MID($A318,2,99),tblBatidas[Início vinculado],0))&lt;&gt;G318,INDEX(tblBatidas[Atividade],MATCH("B"&amp;MID($A318,2,99),tblBatidas[Início vinculado],0))&lt;&gt;H318),"REVISAR","CONCLUÍDO")))</f>
        <v/>
      </c>
      <c r="R318">
        <f>IF(Q318&lt;&gt;"CONCLUÍDO",0,IF(COUNTIFS($E$5:E318,E318,$B$5:B318,B318,$Q$5:Q318,"CONCLUÍDO")=1,1,0))</f>
        <v>0</v>
      </c>
      <c r="S318" t="str">
        <f t="shared" si="19"/>
        <v/>
      </c>
      <c r="T318" t="str">
        <f>IF(E318="","",E318*100000+COUNTIFS(tblRegistros[ID],E318,tblRegistros[Data],"&lt;"&amp;B318)+COUNTIFS(tblRegistros[ID],E318,tblRegistros[Data],B318,tblRegistros[Início],"&lt;"&amp;I318)+COUNTIFS($E$5:E318,E318,$B$5:B318,B318,$I$5:I318,I318))</f>
        <v/>
      </c>
    </row>
    <row r="319" spans="2:20">
      <c r="B319" s="2" t="str">
        <f>IFERROR(INT(INDEX(tblBatidas[Data e hora],MATCH("B"&amp;MID($A319,2,99),tblBatidas[Batida ID],0))),"")</f>
        <v/>
      </c>
      <c r="C319" t="str">
        <f t="shared" si="16"/>
        <v/>
      </c>
      <c r="D319" t="str">
        <f t="shared" si="17"/>
        <v/>
      </c>
      <c r="E319" t="str">
        <f>IFERROR(INDEX(tblBatidas[ID],MATCH("B"&amp;MID($A319,2,99),tblBatidas[Batida ID],0)),"")</f>
        <v/>
      </c>
      <c r="F319" t="str">
        <f>IFERROR(INDEX(tblPessoas[Pessoa],MATCH(E319,tblPessoas[ID],0)),"")</f>
        <v/>
      </c>
      <c r="G319" t="str">
        <f>IFERROR(INDEX(tblBatidas[Projeto],MATCH("B"&amp;MID($A319,2,99),tblBatidas[Batida ID],0)),"")</f>
        <v/>
      </c>
      <c r="H319" t="str">
        <f>IFERROR(INDEX(tblBatidas[Atividade],MATCH("B"&amp;MID($A319,2,99),tblBatidas[Batida ID],0)),"")</f>
        <v/>
      </c>
      <c r="I319" s="4" t="str">
        <f>IFERROR(MOD(INDEX(tblBatidas[Data e hora],MATCH("B"&amp;MID($A319,2,99),tblBatidas[Batida ID],0)),1),"")</f>
        <v/>
      </c>
      <c r="J319" s="4" t="str">
        <f>IFERROR(MOD(INDEX(tblBatidas[Data e hora],MATCH("B"&amp;MID($A319,2,99),tblBatidas[Início vinculado],0)),1),"")</f>
        <v/>
      </c>
      <c r="K319" s="14" t="str">
        <f>IFERROR((INDEX(tblBatidas[Data e hora],MATCH("B"&amp;MID($A319,2,99),tblBatidas[Início vinculado],0))-INDEX(tblBatidas[Data e hora],MATCH("B"&amp;MID($A319,2,99),tblBatidas[Batida ID],0)))*24,"")</f>
        <v/>
      </c>
      <c r="L319" t="str">
        <f>IFERROR(INDEX(tblBatidas[Observação],MATCH("B"&amp;MID($A319,2,99),tblBatidas[Início vinculado],0)),"")</f>
        <v/>
      </c>
      <c r="M319" t="str">
        <f>IFERROR(INDEX(tblPessoas[Base],MATCH(E319,tblPessoas[ID],0)),"")</f>
        <v/>
      </c>
      <c r="N319" s="3">
        <f>IFERROR(IF(D319="DIA ÚTIL",INDEX(tblPessoas[R$/h útil],MATCH(E319,tblPessoas[ID],0)),INDEX(tblPessoas[R$/h FDS],MATCH(E319,tblPessoas[ID],0))),0)</f>
        <v>0</v>
      </c>
      <c r="O319" s="3">
        <f>IFERROR(INDEX(tblPessoas[R$/diária],MATCH(E319,tblPessoas[ID],0)),0)</f>
        <v>0</v>
      </c>
      <c r="P319" s="3" t="str">
        <f t="shared" si="18"/>
        <v/>
      </c>
      <c r="Q319" t="str">
        <f>IF(A319="","",IF(COUNTIF(tblBatidas[Início vinculado],"B"&amp;MID($A319,2,99))=0,"EM ABERTO",IF(OR(COUNTIF(tblBatidas[Início vinculado],"B"&amp;MID($A319,2,99))&gt;1,K319&lt;0,K319&gt;16,INT(INDEX(tblBatidas[Data e hora],MATCH("B"&amp;MID($A319,2,99),tblBatidas[Início vinculado],0)))&lt;&gt;B319,INDEX(tblBatidas[ID],MATCH("B"&amp;MID($A319,2,99),tblBatidas[Início vinculado],0))&lt;&gt;E319,INDEX(tblBatidas[Projeto],MATCH("B"&amp;MID($A319,2,99),tblBatidas[Início vinculado],0))&lt;&gt;G319,INDEX(tblBatidas[Atividade],MATCH("B"&amp;MID($A319,2,99),tblBatidas[Início vinculado],0))&lt;&gt;H319),"REVISAR","CONCLUÍDO")))</f>
        <v/>
      </c>
      <c r="R319">
        <f>IF(Q319&lt;&gt;"CONCLUÍDO",0,IF(COUNTIFS($E$5:E319,E319,$B$5:B319,B319,$Q$5:Q319,"CONCLUÍDO")=1,1,0))</f>
        <v>0</v>
      </c>
      <c r="S319" t="str">
        <f t="shared" si="19"/>
        <v/>
      </c>
      <c r="T319" t="str">
        <f>IF(E319="","",E319*100000+COUNTIFS(tblRegistros[ID],E319,tblRegistros[Data],"&lt;"&amp;B319)+COUNTIFS(tblRegistros[ID],E319,tblRegistros[Data],B319,tblRegistros[Início],"&lt;"&amp;I319)+COUNTIFS($E$5:E319,E319,$B$5:B319,B319,$I$5:I319,I319))</f>
        <v/>
      </c>
    </row>
    <row r="320" spans="2:20">
      <c r="B320" s="2" t="str">
        <f>IFERROR(INT(INDEX(tblBatidas[Data e hora],MATCH("B"&amp;MID($A320,2,99),tblBatidas[Batida ID],0))),"")</f>
        <v/>
      </c>
      <c r="C320" t="str">
        <f t="shared" si="16"/>
        <v/>
      </c>
      <c r="D320" t="str">
        <f t="shared" si="17"/>
        <v/>
      </c>
      <c r="E320" t="str">
        <f>IFERROR(INDEX(tblBatidas[ID],MATCH("B"&amp;MID($A320,2,99),tblBatidas[Batida ID],0)),"")</f>
        <v/>
      </c>
      <c r="F320" t="str">
        <f>IFERROR(INDEX(tblPessoas[Pessoa],MATCH(E320,tblPessoas[ID],0)),"")</f>
        <v/>
      </c>
      <c r="G320" t="str">
        <f>IFERROR(INDEX(tblBatidas[Projeto],MATCH("B"&amp;MID($A320,2,99),tblBatidas[Batida ID],0)),"")</f>
        <v/>
      </c>
      <c r="H320" t="str">
        <f>IFERROR(INDEX(tblBatidas[Atividade],MATCH("B"&amp;MID($A320,2,99),tblBatidas[Batida ID],0)),"")</f>
        <v/>
      </c>
      <c r="I320" s="4" t="str">
        <f>IFERROR(MOD(INDEX(tblBatidas[Data e hora],MATCH("B"&amp;MID($A320,2,99),tblBatidas[Batida ID],0)),1),"")</f>
        <v/>
      </c>
      <c r="J320" s="4" t="str">
        <f>IFERROR(MOD(INDEX(tblBatidas[Data e hora],MATCH("B"&amp;MID($A320,2,99),tblBatidas[Início vinculado],0)),1),"")</f>
        <v/>
      </c>
      <c r="K320" s="14" t="str">
        <f>IFERROR((INDEX(tblBatidas[Data e hora],MATCH("B"&amp;MID($A320,2,99),tblBatidas[Início vinculado],0))-INDEX(tblBatidas[Data e hora],MATCH("B"&amp;MID($A320,2,99),tblBatidas[Batida ID],0)))*24,"")</f>
        <v/>
      </c>
      <c r="L320" t="str">
        <f>IFERROR(INDEX(tblBatidas[Observação],MATCH("B"&amp;MID($A320,2,99),tblBatidas[Início vinculado],0)),"")</f>
        <v/>
      </c>
      <c r="M320" t="str">
        <f>IFERROR(INDEX(tblPessoas[Base],MATCH(E320,tblPessoas[ID],0)),"")</f>
        <v/>
      </c>
      <c r="N320" s="3">
        <f>IFERROR(IF(D320="DIA ÚTIL",INDEX(tblPessoas[R$/h útil],MATCH(E320,tblPessoas[ID],0)),INDEX(tblPessoas[R$/h FDS],MATCH(E320,tblPessoas[ID],0))),0)</f>
        <v>0</v>
      </c>
      <c r="O320" s="3">
        <f>IFERROR(INDEX(tblPessoas[R$/diária],MATCH(E320,tblPessoas[ID],0)),0)</f>
        <v>0</v>
      </c>
      <c r="P320" s="3" t="str">
        <f t="shared" si="18"/>
        <v/>
      </c>
      <c r="Q320" t="str">
        <f>IF(A320="","",IF(COUNTIF(tblBatidas[Início vinculado],"B"&amp;MID($A320,2,99))=0,"EM ABERTO",IF(OR(COUNTIF(tblBatidas[Início vinculado],"B"&amp;MID($A320,2,99))&gt;1,K320&lt;0,K320&gt;16,INT(INDEX(tblBatidas[Data e hora],MATCH("B"&amp;MID($A320,2,99),tblBatidas[Início vinculado],0)))&lt;&gt;B320,INDEX(tblBatidas[ID],MATCH("B"&amp;MID($A320,2,99),tblBatidas[Início vinculado],0))&lt;&gt;E320,INDEX(tblBatidas[Projeto],MATCH("B"&amp;MID($A320,2,99),tblBatidas[Início vinculado],0))&lt;&gt;G320,INDEX(tblBatidas[Atividade],MATCH("B"&amp;MID($A320,2,99),tblBatidas[Início vinculado],0))&lt;&gt;H320),"REVISAR","CONCLUÍDO")))</f>
        <v/>
      </c>
      <c r="R320">
        <f>IF(Q320&lt;&gt;"CONCLUÍDO",0,IF(COUNTIFS($E$5:E320,E320,$B$5:B320,B320,$Q$5:Q320,"CONCLUÍDO")=1,1,0))</f>
        <v>0</v>
      </c>
      <c r="S320" t="str">
        <f t="shared" si="19"/>
        <v/>
      </c>
      <c r="T320" t="str">
        <f>IF(E320="","",E320*100000+COUNTIFS(tblRegistros[ID],E320,tblRegistros[Data],"&lt;"&amp;B320)+COUNTIFS(tblRegistros[ID],E320,tblRegistros[Data],B320,tblRegistros[Início],"&lt;"&amp;I320)+COUNTIFS($E$5:E320,E320,$B$5:B320,B320,$I$5:I320,I320))</f>
        <v/>
      </c>
    </row>
    <row r="321" spans="2:20">
      <c r="B321" s="2" t="str">
        <f>IFERROR(INT(INDEX(tblBatidas[Data e hora],MATCH("B"&amp;MID($A321,2,99),tblBatidas[Batida ID],0))),"")</f>
        <v/>
      </c>
      <c r="C321" t="str">
        <f t="shared" si="16"/>
        <v/>
      </c>
      <c r="D321" t="str">
        <f t="shared" si="17"/>
        <v/>
      </c>
      <c r="E321" t="str">
        <f>IFERROR(INDEX(tblBatidas[ID],MATCH("B"&amp;MID($A321,2,99),tblBatidas[Batida ID],0)),"")</f>
        <v/>
      </c>
      <c r="F321" t="str">
        <f>IFERROR(INDEX(tblPessoas[Pessoa],MATCH(E321,tblPessoas[ID],0)),"")</f>
        <v/>
      </c>
      <c r="G321" t="str">
        <f>IFERROR(INDEX(tblBatidas[Projeto],MATCH("B"&amp;MID($A321,2,99),tblBatidas[Batida ID],0)),"")</f>
        <v/>
      </c>
      <c r="H321" t="str">
        <f>IFERROR(INDEX(tblBatidas[Atividade],MATCH("B"&amp;MID($A321,2,99),tblBatidas[Batida ID],0)),"")</f>
        <v/>
      </c>
      <c r="I321" s="4" t="str">
        <f>IFERROR(MOD(INDEX(tblBatidas[Data e hora],MATCH("B"&amp;MID($A321,2,99),tblBatidas[Batida ID],0)),1),"")</f>
        <v/>
      </c>
      <c r="J321" s="4" t="str">
        <f>IFERROR(MOD(INDEX(tblBatidas[Data e hora],MATCH("B"&amp;MID($A321,2,99),tblBatidas[Início vinculado],0)),1),"")</f>
        <v/>
      </c>
      <c r="K321" s="14" t="str">
        <f>IFERROR((INDEX(tblBatidas[Data e hora],MATCH("B"&amp;MID($A321,2,99),tblBatidas[Início vinculado],0))-INDEX(tblBatidas[Data e hora],MATCH("B"&amp;MID($A321,2,99),tblBatidas[Batida ID],0)))*24,"")</f>
        <v/>
      </c>
      <c r="L321" t="str">
        <f>IFERROR(INDEX(tblBatidas[Observação],MATCH("B"&amp;MID($A321,2,99),tblBatidas[Início vinculado],0)),"")</f>
        <v/>
      </c>
      <c r="M321" t="str">
        <f>IFERROR(INDEX(tblPessoas[Base],MATCH(E321,tblPessoas[ID],0)),"")</f>
        <v/>
      </c>
      <c r="N321" s="3">
        <f>IFERROR(IF(D321="DIA ÚTIL",INDEX(tblPessoas[R$/h útil],MATCH(E321,tblPessoas[ID],0)),INDEX(tblPessoas[R$/h FDS],MATCH(E321,tblPessoas[ID],0))),0)</f>
        <v>0</v>
      </c>
      <c r="O321" s="3">
        <f>IFERROR(INDEX(tblPessoas[R$/diária],MATCH(E321,tblPessoas[ID],0)),0)</f>
        <v>0</v>
      </c>
      <c r="P321" s="3" t="str">
        <f t="shared" si="18"/>
        <v/>
      </c>
      <c r="Q321" t="str">
        <f>IF(A321="","",IF(COUNTIF(tblBatidas[Início vinculado],"B"&amp;MID($A321,2,99))=0,"EM ABERTO",IF(OR(COUNTIF(tblBatidas[Início vinculado],"B"&amp;MID($A321,2,99))&gt;1,K321&lt;0,K321&gt;16,INT(INDEX(tblBatidas[Data e hora],MATCH("B"&amp;MID($A321,2,99),tblBatidas[Início vinculado],0)))&lt;&gt;B321,INDEX(tblBatidas[ID],MATCH("B"&amp;MID($A321,2,99),tblBatidas[Início vinculado],0))&lt;&gt;E321,INDEX(tblBatidas[Projeto],MATCH("B"&amp;MID($A321,2,99),tblBatidas[Início vinculado],0))&lt;&gt;G321,INDEX(tblBatidas[Atividade],MATCH("B"&amp;MID($A321,2,99),tblBatidas[Início vinculado],0))&lt;&gt;H321),"REVISAR","CONCLUÍDO")))</f>
        <v/>
      </c>
      <c r="R321">
        <f>IF(Q321&lt;&gt;"CONCLUÍDO",0,IF(COUNTIFS($E$5:E321,E321,$B$5:B321,B321,$Q$5:Q321,"CONCLUÍDO")=1,1,0))</f>
        <v>0</v>
      </c>
      <c r="S321" t="str">
        <f t="shared" si="19"/>
        <v/>
      </c>
      <c r="T321" t="str">
        <f>IF(E321="","",E321*100000+COUNTIFS(tblRegistros[ID],E321,tblRegistros[Data],"&lt;"&amp;B321)+COUNTIFS(tblRegistros[ID],E321,tblRegistros[Data],B321,tblRegistros[Início],"&lt;"&amp;I321)+COUNTIFS($E$5:E321,E321,$B$5:B321,B321,$I$5:I321,I321))</f>
        <v/>
      </c>
    </row>
    <row r="322" spans="2:20">
      <c r="B322" s="2" t="str">
        <f>IFERROR(INT(INDEX(tblBatidas[Data e hora],MATCH("B"&amp;MID($A322,2,99),tblBatidas[Batida ID],0))),"")</f>
        <v/>
      </c>
      <c r="C322" t="str">
        <f t="shared" si="16"/>
        <v/>
      </c>
      <c r="D322" t="str">
        <f t="shared" si="17"/>
        <v/>
      </c>
      <c r="E322" t="str">
        <f>IFERROR(INDEX(tblBatidas[ID],MATCH("B"&amp;MID($A322,2,99),tblBatidas[Batida ID],0)),"")</f>
        <v/>
      </c>
      <c r="F322" t="str">
        <f>IFERROR(INDEX(tblPessoas[Pessoa],MATCH(E322,tblPessoas[ID],0)),"")</f>
        <v/>
      </c>
      <c r="G322" t="str">
        <f>IFERROR(INDEX(tblBatidas[Projeto],MATCH("B"&amp;MID($A322,2,99),tblBatidas[Batida ID],0)),"")</f>
        <v/>
      </c>
      <c r="H322" t="str">
        <f>IFERROR(INDEX(tblBatidas[Atividade],MATCH("B"&amp;MID($A322,2,99),tblBatidas[Batida ID],0)),"")</f>
        <v/>
      </c>
      <c r="I322" s="4" t="str">
        <f>IFERROR(MOD(INDEX(tblBatidas[Data e hora],MATCH("B"&amp;MID($A322,2,99),tblBatidas[Batida ID],0)),1),"")</f>
        <v/>
      </c>
      <c r="J322" s="4" t="str">
        <f>IFERROR(MOD(INDEX(tblBatidas[Data e hora],MATCH("B"&amp;MID($A322,2,99),tblBatidas[Início vinculado],0)),1),"")</f>
        <v/>
      </c>
      <c r="K322" s="14" t="str">
        <f>IFERROR((INDEX(tblBatidas[Data e hora],MATCH("B"&amp;MID($A322,2,99),tblBatidas[Início vinculado],0))-INDEX(tblBatidas[Data e hora],MATCH("B"&amp;MID($A322,2,99),tblBatidas[Batida ID],0)))*24,"")</f>
        <v/>
      </c>
      <c r="L322" t="str">
        <f>IFERROR(INDEX(tblBatidas[Observação],MATCH("B"&amp;MID($A322,2,99),tblBatidas[Início vinculado],0)),"")</f>
        <v/>
      </c>
      <c r="M322" t="str">
        <f>IFERROR(INDEX(tblPessoas[Base],MATCH(E322,tblPessoas[ID],0)),"")</f>
        <v/>
      </c>
      <c r="N322" s="3">
        <f>IFERROR(IF(D322="DIA ÚTIL",INDEX(tblPessoas[R$/h útil],MATCH(E322,tblPessoas[ID],0)),INDEX(tblPessoas[R$/h FDS],MATCH(E322,tblPessoas[ID],0))),0)</f>
        <v>0</v>
      </c>
      <c r="O322" s="3">
        <f>IFERROR(INDEX(tblPessoas[R$/diária],MATCH(E322,tblPessoas[ID],0)),0)</f>
        <v>0</v>
      </c>
      <c r="P322" s="3" t="str">
        <f t="shared" si="18"/>
        <v/>
      </c>
      <c r="Q322" t="str">
        <f>IF(A322="","",IF(COUNTIF(tblBatidas[Início vinculado],"B"&amp;MID($A322,2,99))=0,"EM ABERTO",IF(OR(COUNTIF(tblBatidas[Início vinculado],"B"&amp;MID($A322,2,99))&gt;1,K322&lt;0,K322&gt;16,INT(INDEX(tblBatidas[Data e hora],MATCH("B"&amp;MID($A322,2,99),tblBatidas[Início vinculado],0)))&lt;&gt;B322,INDEX(tblBatidas[ID],MATCH("B"&amp;MID($A322,2,99),tblBatidas[Início vinculado],0))&lt;&gt;E322,INDEX(tblBatidas[Projeto],MATCH("B"&amp;MID($A322,2,99),tblBatidas[Início vinculado],0))&lt;&gt;G322,INDEX(tblBatidas[Atividade],MATCH("B"&amp;MID($A322,2,99),tblBatidas[Início vinculado],0))&lt;&gt;H322),"REVISAR","CONCLUÍDO")))</f>
        <v/>
      </c>
      <c r="R322">
        <f>IF(Q322&lt;&gt;"CONCLUÍDO",0,IF(COUNTIFS($E$5:E322,E322,$B$5:B322,B322,$Q$5:Q322,"CONCLUÍDO")=1,1,0))</f>
        <v>0</v>
      </c>
      <c r="S322" t="str">
        <f t="shared" si="19"/>
        <v/>
      </c>
      <c r="T322" t="str">
        <f>IF(E322="","",E322*100000+COUNTIFS(tblRegistros[ID],E322,tblRegistros[Data],"&lt;"&amp;B322)+COUNTIFS(tblRegistros[ID],E322,tblRegistros[Data],B322,tblRegistros[Início],"&lt;"&amp;I322)+COUNTIFS($E$5:E322,E322,$B$5:B322,B322,$I$5:I322,I322))</f>
        <v/>
      </c>
    </row>
    <row r="323" spans="2:20">
      <c r="B323" s="2" t="str">
        <f>IFERROR(INT(INDEX(tblBatidas[Data e hora],MATCH("B"&amp;MID($A323,2,99),tblBatidas[Batida ID],0))),"")</f>
        <v/>
      </c>
      <c r="C323" t="str">
        <f t="shared" si="16"/>
        <v/>
      </c>
      <c r="D323" t="str">
        <f t="shared" si="17"/>
        <v/>
      </c>
      <c r="E323" t="str">
        <f>IFERROR(INDEX(tblBatidas[ID],MATCH("B"&amp;MID($A323,2,99),tblBatidas[Batida ID],0)),"")</f>
        <v/>
      </c>
      <c r="F323" t="str">
        <f>IFERROR(INDEX(tblPessoas[Pessoa],MATCH(E323,tblPessoas[ID],0)),"")</f>
        <v/>
      </c>
      <c r="G323" t="str">
        <f>IFERROR(INDEX(tblBatidas[Projeto],MATCH("B"&amp;MID($A323,2,99),tblBatidas[Batida ID],0)),"")</f>
        <v/>
      </c>
      <c r="H323" t="str">
        <f>IFERROR(INDEX(tblBatidas[Atividade],MATCH("B"&amp;MID($A323,2,99),tblBatidas[Batida ID],0)),"")</f>
        <v/>
      </c>
      <c r="I323" s="4" t="str">
        <f>IFERROR(MOD(INDEX(tblBatidas[Data e hora],MATCH("B"&amp;MID($A323,2,99),tblBatidas[Batida ID],0)),1),"")</f>
        <v/>
      </c>
      <c r="J323" s="4" t="str">
        <f>IFERROR(MOD(INDEX(tblBatidas[Data e hora],MATCH("B"&amp;MID($A323,2,99),tblBatidas[Início vinculado],0)),1),"")</f>
        <v/>
      </c>
      <c r="K323" s="14" t="str">
        <f>IFERROR((INDEX(tblBatidas[Data e hora],MATCH("B"&amp;MID($A323,2,99),tblBatidas[Início vinculado],0))-INDEX(tblBatidas[Data e hora],MATCH("B"&amp;MID($A323,2,99),tblBatidas[Batida ID],0)))*24,"")</f>
        <v/>
      </c>
      <c r="L323" t="str">
        <f>IFERROR(INDEX(tblBatidas[Observação],MATCH("B"&amp;MID($A323,2,99),tblBatidas[Início vinculado],0)),"")</f>
        <v/>
      </c>
      <c r="M323" t="str">
        <f>IFERROR(INDEX(tblPessoas[Base],MATCH(E323,tblPessoas[ID],0)),"")</f>
        <v/>
      </c>
      <c r="N323" s="3">
        <f>IFERROR(IF(D323="DIA ÚTIL",INDEX(tblPessoas[R$/h útil],MATCH(E323,tblPessoas[ID],0)),INDEX(tblPessoas[R$/h FDS],MATCH(E323,tblPessoas[ID],0))),0)</f>
        <v>0</v>
      </c>
      <c r="O323" s="3">
        <f>IFERROR(INDEX(tblPessoas[R$/diária],MATCH(E323,tblPessoas[ID],0)),0)</f>
        <v>0</v>
      </c>
      <c r="P323" s="3" t="str">
        <f t="shared" si="18"/>
        <v/>
      </c>
      <c r="Q323" t="str">
        <f>IF(A323="","",IF(COUNTIF(tblBatidas[Início vinculado],"B"&amp;MID($A323,2,99))=0,"EM ABERTO",IF(OR(COUNTIF(tblBatidas[Início vinculado],"B"&amp;MID($A323,2,99))&gt;1,K323&lt;0,K323&gt;16,INT(INDEX(tblBatidas[Data e hora],MATCH("B"&amp;MID($A323,2,99),tblBatidas[Início vinculado],0)))&lt;&gt;B323,INDEX(tblBatidas[ID],MATCH("B"&amp;MID($A323,2,99),tblBatidas[Início vinculado],0))&lt;&gt;E323,INDEX(tblBatidas[Projeto],MATCH("B"&amp;MID($A323,2,99),tblBatidas[Início vinculado],0))&lt;&gt;G323,INDEX(tblBatidas[Atividade],MATCH("B"&amp;MID($A323,2,99),tblBatidas[Início vinculado],0))&lt;&gt;H323),"REVISAR","CONCLUÍDO")))</f>
        <v/>
      </c>
      <c r="R323">
        <f>IF(Q323&lt;&gt;"CONCLUÍDO",0,IF(COUNTIFS($E$5:E323,E323,$B$5:B323,B323,$Q$5:Q323,"CONCLUÍDO")=1,1,0))</f>
        <v>0</v>
      </c>
      <c r="S323" t="str">
        <f t="shared" si="19"/>
        <v/>
      </c>
      <c r="T323" t="str">
        <f>IF(E323="","",E323*100000+COUNTIFS(tblRegistros[ID],E323,tblRegistros[Data],"&lt;"&amp;B323)+COUNTIFS(tblRegistros[ID],E323,tblRegistros[Data],B323,tblRegistros[Início],"&lt;"&amp;I323)+COUNTIFS($E$5:E323,E323,$B$5:B323,B323,$I$5:I323,I323))</f>
        <v/>
      </c>
    </row>
    <row r="324" spans="2:20">
      <c r="B324" s="2" t="str">
        <f>IFERROR(INT(INDEX(tblBatidas[Data e hora],MATCH("B"&amp;MID($A324,2,99),tblBatidas[Batida ID],0))),"")</f>
        <v/>
      </c>
      <c r="C324" t="str">
        <f t="shared" si="16"/>
        <v/>
      </c>
      <c r="D324" t="str">
        <f t="shared" si="17"/>
        <v/>
      </c>
      <c r="E324" t="str">
        <f>IFERROR(INDEX(tblBatidas[ID],MATCH("B"&amp;MID($A324,2,99),tblBatidas[Batida ID],0)),"")</f>
        <v/>
      </c>
      <c r="F324" t="str">
        <f>IFERROR(INDEX(tblPessoas[Pessoa],MATCH(E324,tblPessoas[ID],0)),"")</f>
        <v/>
      </c>
      <c r="G324" t="str">
        <f>IFERROR(INDEX(tblBatidas[Projeto],MATCH("B"&amp;MID($A324,2,99),tblBatidas[Batida ID],0)),"")</f>
        <v/>
      </c>
      <c r="H324" t="str">
        <f>IFERROR(INDEX(tblBatidas[Atividade],MATCH("B"&amp;MID($A324,2,99),tblBatidas[Batida ID],0)),"")</f>
        <v/>
      </c>
      <c r="I324" s="4" t="str">
        <f>IFERROR(MOD(INDEX(tblBatidas[Data e hora],MATCH("B"&amp;MID($A324,2,99),tblBatidas[Batida ID],0)),1),"")</f>
        <v/>
      </c>
      <c r="J324" s="4" t="str">
        <f>IFERROR(MOD(INDEX(tblBatidas[Data e hora],MATCH("B"&amp;MID($A324,2,99),tblBatidas[Início vinculado],0)),1),"")</f>
        <v/>
      </c>
      <c r="K324" s="14" t="str">
        <f>IFERROR((INDEX(tblBatidas[Data e hora],MATCH("B"&amp;MID($A324,2,99),tblBatidas[Início vinculado],0))-INDEX(tblBatidas[Data e hora],MATCH("B"&amp;MID($A324,2,99),tblBatidas[Batida ID],0)))*24,"")</f>
        <v/>
      </c>
      <c r="L324" t="str">
        <f>IFERROR(INDEX(tblBatidas[Observação],MATCH("B"&amp;MID($A324,2,99),tblBatidas[Início vinculado],0)),"")</f>
        <v/>
      </c>
      <c r="M324" t="str">
        <f>IFERROR(INDEX(tblPessoas[Base],MATCH(E324,tblPessoas[ID],0)),"")</f>
        <v/>
      </c>
      <c r="N324" s="3">
        <f>IFERROR(IF(D324="DIA ÚTIL",INDEX(tblPessoas[R$/h útil],MATCH(E324,tblPessoas[ID],0)),INDEX(tblPessoas[R$/h FDS],MATCH(E324,tblPessoas[ID],0))),0)</f>
        <v>0</v>
      </c>
      <c r="O324" s="3">
        <f>IFERROR(INDEX(tblPessoas[R$/diária],MATCH(E324,tblPessoas[ID],0)),0)</f>
        <v>0</v>
      </c>
      <c r="P324" s="3" t="str">
        <f t="shared" si="18"/>
        <v/>
      </c>
      <c r="Q324" t="str">
        <f>IF(A324="","",IF(COUNTIF(tblBatidas[Início vinculado],"B"&amp;MID($A324,2,99))=0,"EM ABERTO",IF(OR(COUNTIF(tblBatidas[Início vinculado],"B"&amp;MID($A324,2,99))&gt;1,K324&lt;0,K324&gt;16,INT(INDEX(tblBatidas[Data e hora],MATCH("B"&amp;MID($A324,2,99),tblBatidas[Início vinculado],0)))&lt;&gt;B324,INDEX(tblBatidas[ID],MATCH("B"&amp;MID($A324,2,99),tblBatidas[Início vinculado],0))&lt;&gt;E324,INDEX(tblBatidas[Projeto],MATCH("B"&amp;MID($A324,2,99),tblBatidas[Início vinculado],0))&lt;&gt;G324,INDEX(tblBatidas[Atividade],MATCH("B"&amp;MID($A324,2,99),tblBatidas[Início vinculado],0))&lt;&gt;H324),"REVISAR","CONCLUÍDO")))</f>
        <v/>
      </c>
      <c r="R324">
        <f>IF(Q324&lt;&gt;"CONCLUÍDO",0,IF(COUNTIFS($E$5:E324,E324,$B$5:B324,B324,$Q$5:Q324,"CONCLUÍDO")=1,1,0))</f>
        <v>0</v>
      </c>
      <c r="S324" t="str">
        <f t="shared" si="19"/>
        <v/>
      </c>
      <c r="T324" t="str">
        <f>IF(E324="","",E324*100000+COUNTIFS(tblRegistros[ID],E324,tblRegistros[Data],"&lt;"&amp;B324)+COUNTIFS(tblRegistros[ID],E324,tblRegistros[Data],B324,tblRegistros[Início],"&lt;"&amp;I324)+COUNTIFS($E$5:E324,E324,$B$5:B324,B324,$I$5:I324,I324))</f>
        <v/>
      </c>
    </row>
    <row r="325" spans="2:20">
      <c r="B325" s="2" t="str">
        <f>IFERROR(INT(INDEX(tblBatidas[Data e hora],MATCH("B"&amp;MID($A325,2,99),tblBatidas[Batida ID],0))),"")</f>
        <v/>
      </c>
      <c r="C325" t="str">
        <f t="shared" ref="C325:C388" si="20">IF(B325="","",CHOOSE(WEEKDAY(B325,2),"SEGUNDA-FEIRA","TERÇA-FEIRA","QUARTA-FEIRA","QUINTA-FEIRA","SEXTA-FEIRA","SÁBADO","DOMINGO"))</f>
        <v/>
      </c>
      <c r="D325" t="str">
        <f t="shared" ref="D325:D388" si="21">IF(B325="","",IF(WEEKDAY(B325,2)&gt;5,"FDS/FERIADO","DIA ÚTIL"))</f>
        <v/>
      </c>
      <c r="E325" t="str">
        <f>IFERROR(INDEX(tblBatidas[ID],MATCH("B"&amp;MID($A325,2,99),tblBatidas[Batida ID],0)),"")</f>
        <v/>
      </c>
      <c r="F325" t="str">
        <f>IFERROR(INDEX(tblPessoas[Pessoa],MATCH(E325,tblPessoas[ID],0)),"")</f>
        <v/>
      </c>
      <c r="G325" t="str">
        <f>IFERROR(INDEX(tblBatidas[Projeto],MATCH("B"&amp;MID($A325,2,99),tblBatidas[Batida ID],0)),"")</f>
        <v/>
      </c>
      <c r="H325" t="str">
        <f>IFERROR(INDEX(tblBatidas[Atividade],MATCH("B"&amp;MID($A325,2,99),tblBatidas[Batida ID],0)),"")</f>
        <v/>
      </c>
      <c r="I325" s="4" t="str">
        <f>IFERROR(MOD(INDEX(tblBatidas[Data e hora],MATCH("B"&amp;MID($A325,2,99),tblBatidas[Batida ID],0)),1),"")</f>
        <v/>
      </c>
      <c r="J325" s="4" t="str">
        <f>IFERROR(MOD(INDEX(tblBatidas[Data e hora],MATCH("B"&amp;MID($A325,2,99),tblBatidas[Início vinculado],0)),1),"")</f>
        <v/>
      </c>
      <c r="K325" s="14" t="str">
        <f>IFERROR((INDEX(tblBatidas[Data e hora],MATCH("B"&amp;MID($A325,2,99),tblBatidas[Início vinculado],0))-INDEX(tblBatidas[Data e hora],MATCH("B"&amp;MID($A325,2,99),tblBatidas[Batida ID],0)))*24,"")</f>
        <v/>
      </c>
      <c r="L325" t="str">
        <f>IFERROR(INDEX(tblBatidas[Observação],MATCH("B"&amp;MID($A325,2,99),tblBatidas[Início vinculado],0)),"")</f>
        <v/>
      </c>
      <c r="M325" t="str">
        <f>IFERROR(INDEX(tblPessoas[Base],MATCH(E325,tblPessoas[ID],0)),"")</f>
        <v/>
      </c>
      <c r="N325" s="3">
        <f>IFERROR(IF(D325="DIA ÚTIL",INDEX(tblPessoas[R$/h útil],MATCH(E325,tblPessoas[ID],0)),INDEX(tblPessoas[R$/h FDS],MATCH(E325,tblPessoas[ID],0))),0)</f>
        <v>0</v>
      </c>
      <c r="O325" s="3">
        <f>IFERROR(INDEX(tblPessoas[R$/diária],MATCH(E325,tblPessoas[ID],0)),0)</f>
        <v>0</v>
      </c>
      <c r="P325" s="3" t="str">
        <f t="shared" ref="P325:P388" si="22">IF(Q325&lt;&gt;"CONCLUÍDO","",IF(M325="Diária",O325*R325,K325*N325))</f>
        <v/>
      </c>
      <c r="Q325" t="str">
        <f>IF(A325="","",IF(COUNTIF(tblBatidas[Início vinculado],"B"&amp;MID($A325,2,99))=0,"EM ABERTO",IF(OR(COUNTIF(tblBatidas[Início vinculado],"B"&amp;MID($A325,2,99))&gt;1,K325&lt;0,K325&gt;16,INT(INDEX(tblBatidas[Data e hora],MATCH("B"&amp;MID($A325,2,99),tblBatidas[Início vinculado],0)))&lt;&gt;B325,INDEX(tblBatidas[ID],MATCH("B"&amp;MID($A325,2,99),tblBatidas[Início vinculado],0))&lt;&gt;E325,INDEX(tblBatidas[Projeto],MATCH("B"&amp;MID($A325,2,99),tblBatidas[Início vinculado],0))&lt;&gt;G325,INDEX(tblBatidas[Atividade],MATCH("B"&amp;MID($A325,2,99),tblBatidas[Início vinculado],0))&lt;&gt;H325),"REVISAR","CONCLUÍDO")))</f>
        <v/>
      </c>
      <c r="R325">
        <f>IF(Q325&lt;&gt;"CONCLUÍDO",0,IF(COUNTIFS($E$5:E325,E325,$B$5:B325,B325,$Q$5:Q325,"CONCLUÍDO")=1,1,0))</f>
        <v>0</v>
      </c>
      <c r="S325" t="str">
        <f t="shared" ref="S325:S388" si="23">IF(B325="","",TEXT(B325,"yyyy-mm"))</f>
        <v/>
      </c>
      <c r="T325" t="str">
        <f>IF(E325="","",E325*100000+COUNTIFS(tblRegistros[ID],E325,tblRegistros[Data],"&lt;"&amp;B325)+COUNTIFS(tblRegistros[ID],E325,tblRegistros[Data],B325,tblRegistros[Início],"&lt;"&amp;I325)+COUNTIFS($E$5:E325,E325,$B$5:B325,B325,$I$5:I325,I325))</f>
        <v/>
      </c>
    </row>
    <row r="326" spans="2:20">
      <c r="B326" s="2" t="str">
        <f>IFERROR(INT(INDEX(tblBatidas[Data e hora],MATCH("B"&amp;MID($A326,2,99),tblBatidas[Batida ID],0))),"")</f>
        <v/>
      </c>
      <c r="C326" t="str">
        <f t="shared" si="20"/>
        <v/>
      </c>
      <c r="D326" t="str">
        <f t="shared" si="21"/>
        <v/>
      </c>
      <c r="E326" t="str">
        <f>IFERROR(INDEX(tblBatidas[ID],MATCH("B"&amp;MID($A326,2,99),tblBatidas[Batida ID],0)),"")</f>
        <v/>
      </c>
      <c r="F326" t="str">
        <f>IFERROR(INDEX(tblPessoas[Pessoa],MATCH(E326,tblPessoas[ID],0)),"")</f>
        <v/>
      </c>
      <c r="G326" t="str">
        <f>IFERROR(INDEX(tblBatidas[Projeto],MATCH("B"&amp;MID($A326,2,99),tblBatidas[Batida ID],0)),"")</f>
        <v/>
      </c>
      <c r="H326" t="str">
        <f>IFERROR(INDEX(tblBatidas[Atividade],MATCH("B"&amp;MID($A326,2,99),tblBatidas[Batida ID],0)),"")</f>
        <v/>
      </c>
      <c r="I326" s="4" t="str">
        <f>IFERROR(MOD(INDEX(tblBatidas[Data e hora],MATCH("B"&amp;MID($A326,2,99),tblBatidas[Batida ID],0)),1),"")</f>
        <v/>
      </c>
      <c r="J326" s="4" t="str">
        <f>IFERROR(MOD(INDEX(tblBatidas[Data e hora],MATCH("B"&amp;MID($A326,2,99),tblBatidas[Início vinculado],0)),1),"")</f>
        <v/>
      </c>
      <c r="K326" s="14" t="str">
        <f>IFERROR((INDEX(tblBatidas[Data e hora],MATCH("B"&amp;MID($A326,2,99),tblBatidas[Início vinculado],0))-INDEX(tblBatidas[Data e hora],MATCH("B"&amp;MID($A326,2,99),tblBatidas[Batida ID],0)))*24,"")</f>
        <v/>
      </c>
      <c r="L326" t="str">
        <f>IFERROR(INDEX(tblBatidas[Observação],MATCH("B"&amp;MID($A326,2,99),tblBatidas[Início vinculado],0)),"")</f>
        <v/>
      </c>
      <c r="M326" t="str">
        <f>IFERROR(INDEX(tblPessoas[Base],MATCH(E326,tblPessoas[ID],0)),"")</f>
        <v/>
      </c>
      <c r="N326" s="3">
        <f>IFERROR(IF(D326="DIA ÚTIL",INDEX(tblPessoas[R$/h útil],MATCH(E326,tblPessoas[ID],0)),INDEX(tblPessoas[R$/h FDS],MATCH(E326,tblPessoas[ID],0))),0)</f>
        <v>0</v>
      </c>
      <c r="O326" s="3">
        <f>IFERROR(INDEX(tblPessoas[R$/diária],MATCH(E326,tblPessoas[ID],0)),0)</f>
        <v>0</v>
      </c>
      <c r="P326" s="3" t="str">
        <f t="shared" si="22"/>
        <v/>
      </c>
      <c r="Q326" t="str">
        <f>IF(A326="","",IF(COUNTIF(tblBatidas[Início vinculado],"B"&amp;MID($A326,2,99))=0,"EM ABERTO",IF(OR(COUNTIF(tblBatidas[Início vinculado],"B"&amp;MID($A326,2,99))&gt;1,K326&lt;0,K326&gt;16,INT(INDEX(tblBatidas[Data e hora],MATCH("B"&amp;MID($A326,2,99),tblBatidas[Início vinculado],0)))&lt;&gt;B326,INDEX(tblBatidas[ID],MATCH("B"&amp;MID($A326,2,99),tblBatidas[Início vinculado],0))&lt;&gt;E326,INDEX(tblBatidas[Projeto],MATCH("B"&amp;MID($A326,2,99),tblBatidas[Início vinculado],0))&lt;&gt;G326,INDEX(tblBatidas[Atividade],MATCH("B"&amp;MID($A326,2,99),tblBatidas[Início vinculado],0))&lt;&gt;H326),"REVISAR","CONCLUÍDO")))</f>
        <v/>
      </c>
      <c r="R326">
        <f>IF(Q326&lt;&gt;"CONCLUÍDO",0,IF(COUNTIFS($E$5:E326,E326,$B$5:B326,B326,$Q$5:Q326,"CONCLUÍDO")=1,1,0))</f>
        <v>0</v>
      </c>
      <c r="S326" t="str">
        <f t="shared" si="23"/>
        <v/>
      </c>
      <c r="T326" t="str">
        <f>IF(E326="","",E326*100000+COUNTIFS(tblRegistros[ID],E326,tblRegistros[Data],"&lt;"&amp;B326)+COUNTIFS(tblRegistros[ID],E326,tblRegistros[Data],B326,tblRegistros[Início],"&lt;"&amp;I326)+COUNTIFS($E$5:E326,E326,$B$5:B326,B326,$I$5:I326,I326))</f>
        <v/>
      </c>
    </row>
    <row r="327" spans="2:20">
      <c r="B327" s="2" t="str">
        <f>IFERROR(INT(INDEX(tblBatidas[Data e hora],MATCH("B"&amp;MID($A327,2,99),tblBatidas[Batida ID],0))),"")</f>
        <v/>
      </c>
      <c r="C327" t="str">
        <f t="shared" si="20"/>
        <v/>
      </c>
      <c r="D327" t="str">
        <f t="shared" si="21"/>
        <v/>
      </c>
      <c r="E327" t="str">
        <f>IFERROR(INDEX(tblBatidas[ID],MATCH("B"&amp;MID($A327,2,99),tblBatidas[Batida ID],0)),"")</f>
        <v/>
      </c>
      <c r="F327" t="str">
        <f>IFERROR(INDEX(tblPessoas[Pessoa],MATCH(E327,tblPessoas[ID],0)),"")</f>
        <v/>
      </c>
      <c r="G327" t="str">
        <f>IFERROR(INDEX(tblBatidas[Projeto],MATCH("B"&amp;MID($A327,2,99),tblBatidas[Batida ID],0)),"")</f>
        <v/>
      </c>
      <c r="H327" t="str">
        <f>IFERROR(INDEX(tblBatidas[Atividade],MATCH("B"&amp;MID($A327,2,99),tblBatidas[Batida ID],0)),"")</f>
        <v/>
      </c>
      <c r="I327" s="4" t="str">
        <f>IFERROR(MOD(INDEX(tblBatidas[Data e hora],MATCH("B"&amp;MID($A327,2,99),tblBatidas[Batida ID],0)),1),"")</f>
        <v/>
      </c>
      <c r="J327" s="4" t="str">
        <f>IFERROR(MOD(INDEX(tblBatidas[Data e hora],MATCH("B"&amp;MID($A327,2,99),tblBatidas[Início vinculado],0)),1),"")</f>
        <v/>
      </c>
      <c r="K327" s="14" t="str">
        <f>IFERROR((INDEX(tblBatidas[Data e hora],MATCH("B"&amp;MID($A327,2,99),tblBatidas[Início vinculado],0))-INDEX(tblBatidas[Data e hora],MATCH("B"&amp;MID($A327,2,99),tblBatidas[Batida ID],0)))*24,"")</f>
        <v/>
      </c>
      <c r="L327" t="str">
        <f>IFERROR(INDEX(tblBatidas[Observação],MATCH("B"&amp;MID($A327,2,99),tblBatidas[Início vinculado],0)),"")</f>
        <v/>
      </c>
      <c r="M327" t="str">
        <f>IFERROR(INDEX(tblPessoas[Base],MATCH(E327,tblPessoas[ID],0)),"")</f>
        <v/>
      </c>
      <c r="N327" s="3">
        <f>IFERROR(IF(D327="DIA ÚTIL",INDEX(tblPessoas[R$/h útil],MATCH(E327,tblPessoas[ID],0)),INDEX(tblPessoas[R$/h FDS],MATCH(E327,tblPessoas[ID],0))),0)</f>
        <v>0</v>
      </c>
      <c r="O327" s="3">
        <f>IFERROR(INDEX(tblPessoas[R$/diária],MATCH(E327,tblPessoas[ID],0)),0)</f>
        <v>0</v>
      </c>
      <c r="P327" s="3" t="str">
        <f t="shared" si="22"/>
        <v/>
      </c>
      <c r="Q327" t="str">
        <f>IF(A327="","",IF(COUNTIF(tblBatidas[Início vinculado],"B"&amp;MID($A327,2,99))=0,"EM ABERTO",IF(OR(COUNTIF(tblBatidas[Início vinculado],"B"&amp;MID($A327,2,99))&gt;1,K327&lt;0,K327&gt;16,INT(INDEX(tblBatidas[Data e hora],MATCH("B"&amp;MID($A327,2,99),tblBatidas[Início vinculado],0)))&lt;&gt;B327,INDEX(tblBatidas[ID],MATCH("B"&amp;MID($A327,2,99),tblBatidas[Início vinculado],0))&lt;&gt;E327,INDEX(tblBatidas[Projeto],MATCH("B"&amp;MID($A327,2,99),tblBatidas[Início vinculado],0))&lt;&gt;G327,INDEX(tblBatidas[Atividade],MATCH("B"&amp;MID($A327,2,99),tblBatidas[Início vinculado],0))&lt;&gt;H327),"REVISAR","CONCLUÍDO")))</f>
        <v/>
      </c>
      <c r="R327">
        <f>IF(Q327&lt;&gt;"CONCLUÍDO",0,IF(COUNTIFS($E$5:E327,E327,$B$5:B327,B327,$Q$5:Q327,"CONCLUÍDO")=1,1,0))</f>
        <v>0</v>
      </c>
      <c r="S327" t="str">
        <f t="shared" si="23"/>
        <v/>
      </c>
      <c r="T327" t="str">
        <f>IF(E327="","",E327*100000+COUNTIFS(tblRegistros[ID],E327,tblRegistros[Data],"&lt;"&amp;B327)+COUNTIFS(tblRegistros[ID],E327,tblRegistros[Data],B327,tblRegistros[Início],"&lt;"&amp;I327)+COUNTIFS($E$5:E327,E327,$B$5:B327,B327,$I$5:I327,I327))</f>
        <v/>
      </c>
    </row>
    <row r="328" spans="2:20">
      <c r="B328" s="2" t="str">
        <f>IFERROR(INT(INDEX(tblBatidas[Data e hora],MATCH("B"&amp;MID($A328,2,99),tblBatidas[Batida ID],0))),"")</f>
        <v/>
      </c>
      <c r="C328" t="str">
        <f t="shared" si="20"/>
        <v/>
      </c>
      <c r="D328" t="str">
        <f t="shared" si="21"/>
        <v/>
      </c>
      <c r="E328" t="str">
        <f>IFERROR(INDEX(tblBatidas[ID],MATCH("B"&amp;MID($A328,2,99),tblBatidas[Batida ID],0)),"")</f>
        <v/>
      </c>
      <c r="F328" t="str">
        <f>IFERROR(INDEX(tblPessoas[Pessoa],MATCH(E328,tblPessoas[ID],0)),"")</f>
        <v/>
      </c>
      <c r="G328" t="str">
        <f>IFERROR(INDEX(tblBatidas[Projeto],MATCH("B"&amp;MID($A328,2,99),tblBatidas[Batida ID],0)),"")</f>
        <v/>
      </c>
      <c r="H328" t="str">
        <f>IFERROR(INDEX(tblBatidas[Atividade],MATCH("B"&amp;MID($A328,2,99),tblBatidas[Batida ID],0)),"")</f>
        <v/>
      </c>
      <c r="I328" s="4" t="str">
        <f>IFERROR(MOD(INDEX(tblBatidas[Data e hora],MATCH("B"&amp;MID($A328,2,99),tblBatidas[Batida ID],0)),1),"")</f>
        <v/>
      </c>
      <c r="J328" s="4" t="str">
        <f>IFERROR(MOD(INDEX(tblBatidas[Data e hora],MATCH("B"&amp;MID($A328,2,99),tblBatidas[Início vinculado],0)),1),"")</f>
        <v/>
      </c>
      <c r="K328" s="14" t="str">
        <f>IFERROR((INDEX(tblBatidas[Data e hora],MATCH("B"&amp;MID($A328,2,99),tblBatidas[Início vinculado],0))-INDEX(tblBatidas[Data e hora],MATCH("B"&amp;MID($A328,2,99),tblBatidas[Batida ID],0)))*24,"")</f>
        <v/>
      </c>
      <c r="L328" t="str">
        <f>IFERROR(INDEX(tblBatidas[Observação],MATCH("B"&amp;MID($A328,2,99),tblBatidas[Início vinculado],0)),"")</f>
        <v/>
      </c>
      <c r="M328" t="str">
        <f>IFERROR(INDEX(tblPessoas[Base],MATCH(E328,tblPessoas[ID],0)),"")</f>
        <v/>
      </c>
      <c r="N328" s="3">
        <f>IFERROR(IF(D328="DIA ÚTIL",INDEX(tblPessoas[R$/h útil],MATCH(E328,tblPessoas[ID],0)),INDEX(tblPessoas[R$/h FDS],MATCH(E328,tblPessoas[ID],0))),0)</f>
        <v>0</v>
      </c>
      <c r="O328" s="3">
        <f>IFERROR(INDEX(tblPessoas[R$/diária],MATCH(E328,tblPessoas[ID],0)),0)</f>
        <v>0</v>
      </c>
      <c r="P328" s="3" t="str">
        <f t="shared" si="22"/>
        <v/>
      </c>
      <c r="Q328" t="str">
        <f>IF(A328="","",IF(COUNTIF(tblBatidas[Início vinculado],"B"&amp;MID($A328,2,99))=0,"EM ABERTO",IF(OR(COUNTIF(tblBatidas[Início vinculado],"B"&amp;MID($A328,2,99))&gt;1,K328&lt;0,K328&gt;16,INT(INDEX(tblBatidas[Data e hora],MATCH("B"&amp;MID($A328,2,99),tblBatidas[Início vinculado],0)))&lt;&gt;B328,INDEX(tblBatidas[ID],MATCH("B"&amp;MID($A328,2,99),tblBatidas[Início vinculado],0))&lt;&gt;E328,INDEX(tblBatidas[Projeto],MATCH("B"&amp;MID($A328,2,99),tblBatidas[Início vinculado],0))&lt;&gt;G328,INDEX(tblBatidas[Atividade],MATCH("B"&amp;MID($A328,2,99),tblBatidas[Início vinculado],0))&lt;&gt;H328),"REVISAR","CONCLUÍDO")))</f>
        <v/>
      </c>
      <c r="R328">
        <f>IF(Q328&lt;&gt;"CONCLUÍDO",0,IF(COUNTIFS($E$5:E328,E328,$B$5:B328,B328,$Q$5:Q328,"CONCLUÍDO")=1,1,0))</f>
        <v>0</v>
      </c>
      <c r="S328" t="str">
        <f t="shared" si="23"/>
        <v/>
      </c>
      <c r="T328" t="str">
        <f>IF(E328="","",E328*100000+COUNTIFS(tblRegistros[ID],E328,tblRegistros[Data],"&lt;"&amp;B328)+COUNTIFS(tblRegistros[ID],E328,tblRegistros[Data],B328,tblRegistros[Início],"&lt;"&amp;I328)+COUNTIFS($E$5:E328,E328,$B$5:B328,B328,$I$5:I328,I328))</f>
        <v/>
      </c>
    </row>
    <row r="329" spans="2:20">
      <c r="B329" s="2" t="str">
        <f>IFERROR(INT(INDEX(tblBatidas[Data e hora],MATCH("B"&amp;MID($A329,2,99),tblBatidas[Batida ID],0))),"")</f>
        <v/>
      </c>
      <c r="C329" t="str">
        <f t="shared" si="20"/>
        <v/>
      </c>
      <c r="D329" t="str">
        <f t="shared" si="21"/>
        <v/>
      </c>
      <c r="E329" t="str">
        <f>IFERROR(INDEX(tblBatidas[ID],MATCH("B"&amp;MID($A329,2,99),tblBatidas[Batida ID],0)),"")</f>
        <v/>
      </c>
      <c r="F329" t="str">
        <f>IFERROR(INDEX(tblPessoas[Pessoa],MATCH(E329,tblPessoas[ID],0)),"")</f>
        <v/>
      </c>
      <c r="G329" t="str">
        <f>IFERROR(INDEX(tblBatidas[Projeto],MATCH("B"&amp;MID($A329,2,99),tblBatidas[Batida ID],0)),"")</f>
        <v/>
      </c>
      <c r="H329" t="str">
        <f>IFERROR(INDEX(tblBatidas[Atividade],MATCH("B"&amp;MID($A329,2,99),tblBatidas[Batida ID],0)),"")</f>
        <v/>
      </c>
      <c r="I329" s="4" t="str">
        <f>IFERROR(MOD(INDEX(tblBatidas[Data e hora],MATCH("B"&amp;MID($A329,2,99),tblBatidas[Batida ID],0)),1),"")</f>
        <v/>
      </c>
      <c r="J329" s="4" t="str">
        <f>IFERROR(MOD(INDEX(tblBatidas[Data e hora],MATCH("B"&amp;MID($A329,2,99),tblBatidas[Início vinculado],0)),1),"")</f>
        <v/>
      </c>
      <c r="K329" s="14" t="str">
        <f>IFERROR((INDEX(tblBatidas[Data e hora],MATCH("B"&amp;MID($A329,2,99),tblBatidas[Início vinculado],0))-INDEX(tblBatidas[Data e hora],MATCH("B"&amp;MID($A329,2,99),tblBatidas[Batida ID],0)))*24,"")</f>
        <v/>
      </c>
      <c r="L329" t="str">
        <f>IFERROR(INDEX(tblBatidas[Observação],MATCH("B"&amp;MID($A329,2,99),tblBatidas[Início vinculado],0)),"")</f>
        <v/>
      </c>
      <c r="M329" t="str">
        <f>IFERROR(INDEX(tblPessoas[Base],MATCH(E329,tblPessoas[ID],0)),"")</f>
        <v/>
      </c>
      <c r="N329" s="3">
        <f>IFERROR(IF(D329="DIA ÚTIL",INDEX(tblPessoas[R$/h útil],MATCH(E329,tblPessoas[ID],0)),INDEX(tblPessoas[R$/h FDS],MATCH(E329,tblPessoas[ID],0))),0)</f>
        <v>0</v>
      </c>
      <c r="O329" s="3">
        <f>IFERROR(INDEX(tblPessoas[R$/diária],MATCH(E329,tblPessoas[ID],0)),0)</f>
        <v>0</v>
      </c>
      <c r="P329" s="3" t="str">
        <f t="shared" si="22"/>
        <v/>
      </c>
      <c r="Q329" t="str">
        <f>IF(A329="","",IF(COUNTIF(tblBatidas[Início vinculado],"B"&amp;MID($A329,2,99))=0,"EM ABERTO",IF(OR(COUNTIF(tblBatidas[Início vinculado],"B"&amp;MID($A329,2,99))&gt;1,K329&lt;0,K329&gt;16,INT(INDEX(tblBatidas[Data e hora],MATCH("B"&amp;MID($A329,2,99),tblBatidas[Início vinculado],0)))&lt;&gt;B329,INDEX(tblBatidas[ID],MATCH("B"&amp;MID($A329,2,99),tblBatidas[Início vinculado],0))&lt;&gt;E329,INDEX(tblBatidas[Projeto],MATCH("B"&amp;MID($A329,2,99),tblBatidas[Início vinculado],0))&lt;&gt;G329,INDEX(tblBatidas[Atividade],MATCH("B"&amp;MID($A329,2,99),tblBatidas[Início vinculado],0))&lt;&gt;H329),"REVISAR","CONCLUÍDO")))</f>
        <v/>
      </c>
      <c r="R329">
        <f>IF(Q329&lt;&gt;"CONCLUÍDO",0,IF(COUNTIFS($E$5:E329,E329,$B$5:B329,B329,$Q$5:Q329,"CONCLUÍDO")=1,1,0))</f>
        <v>0</v>
      </c>
      <c r="S329" t="str">
        <f t="shared" si="23"/>
        <v/>
      </c>
      <c r="T329" t="str">
        <f>IF(E329="","",E329*100000+COUNTIFS(tblRegistros[ID],E329,tblRegistros[Data],"&lt;"&amp;B329)+COUNTIFS(tblRegistros[ID],E329,tblRegistros[Data],B329,tblRegistros[Início],"&lt;"&amp;I329)+COUNTIFS($E$5:E329,E329,$B$5:B329,B329,$I$5:I329,I329))</f>
        <v/>
      </c>
    </row>
    <row r="330" spans="2:20">
      <c r="B330" s="2" t="str">
        <f>IFERROR(INT(INDEX(tblBatidas[Data e hora],MATCH("B"&amp;MID($A330,2,99),tblBatidas[Batida ID],0))),"")</f>
        <v/>
      </c>
      <c r="C330" t="str">
        <f t="shared" si="20"/>
        <v/>
      </c>
      <c r="D330" t="str">
        <f t="shared" si="21"/>
        <v/>
      </c>
      <c r="E330" t="str">
        <f>IFERROR(INDEX(tblBatidas[ID],MATCH("B"&amp;MID($A330,2,99),tblBatidas[Batida ID],0)),"")</f>
        <v/>
      </c>
      <c r="F330" t="str">
        <f>IFERROR(INDEX(tblPessoas[Pessoa],MATCH(E330,tblPessoas[ID],0)),"")</f>
        <v/>
      </c>
      <c r="G330" t="str">
        <f>IFERROR(INDEX(tblBatidas[Projeto],MATCH("B"&amp;MID($A330,2,99),tblBatidas[Batida ID],0)),"")</f>
        <v/>
      </c>
      <c r="H330" t="str">
        <f>IFERROR(INDEX(tblBatidas[Atividade],MATCH("B"&amp;MID($A330,2,99),tblBatidas[Batida ID],0)),"")</f>
        <v/>
      </c>
      <c r="I330" s="4" t="str">
        <f>IFERROR(MOD(INDEX(tblBatidas[Data e hora],MATCH("B"&amp;MID($A330,2,99),tblBatidas[Batida ID],0)),1),"")</f>
        <v/>
      </c>
      <c r="J330" s="4" t="str">
        <f>IFERROR(MOD(INDEX(tblBatidas[Data e hora],MATCH("B"&amp;MID($A330,2,99),tblBatidas[Início vinculado],0)),1),"")</f>
        <v/>
      </c>
      <c r="K330" s="14" t="str">
        <f>IFERROR((INDEX(tblBatidas[Data e hora],MATCH("B"&amp;MID($A330,2,99),tblBatidas[Início vinculado],0))-INDEX(tblBatidas[Data e hora],MATCH("B"&amp;MID($A330,2,99),tblBatidas[Batida ID],0)))*24,"")</f>
        <v/>
      </c>
      <c r="L330" t="str">
        <f>IFERROR(INDEX(tblBatidas[Observação],MATCH("B"&amp;MID($A330,2,99),tblBatidas[Início vinculado],0)),"")</f>
        <v/>
      </c>
      <c r="M330" t="str">
        <f>IFERROR(INDEX(tblPessoas[Base],MATCH(E330,tblPessoas[ID],0)),"")</f>
        <v/>
      </c>
      <c r="N330" s="3">
        <f>IFERROR(IF(D330="DIA ÚTIL",INDEX(tblPessoas[R$/h útil],MATCH(E330,tblPessoas[ID],0)),INDEX(tblPessoas[R$/h FDS],MATCH(E330,tblPessoas[ID],0))),0)</f>
        <v>0</v>
      </c>
      <c r="O330" s="3">
        <f>IFERROR(INDEX(tblPessoas[R$/diária],MATCH(E330,tblPessoas[ID],0)),0)</f>
        <v>0</v>
      </c>
      <c r="P330" s="3" t="str">
        <f t="shared" si="22"/>
        <v/>
      </c>
      <c r="Q330" t="str">
        <f>IF(A330="","",IF(COUNTIF(tblBatidas[Início vinculado],"B"&amp;MID($A330,2,99))=0,"EM ABERTO",IF(OR(COUNTIF(tblBatidas[Início vinculado],"B"&amp;MID($A330,2,99))&gt;1,K330&lt;0,K330&gt;16,INT(INDEX(tblBatidas[Data e hora],MATCH("B"&amp;MID($A330,2,99),tblBatidas[Início vinculado],0)))&lt;&gt;B330,INDEX(tblBatidas[ID],MATCH("B"&amp;MID($A330,2,99),tblBatidas[Início vinculado],0))&lt;&gt;E330,INDEX(tblBatidas[Projeto],MATCH("B"&amp;MID($A330,2,99),tblBatidas[Início vinculado],0))&lt;&gt;G330,INDEX(tblBatidas[Atividade],MATCH("B"&amp;MID($A330,2,99),tblBatidas[Início vinculado],0))&lt;&gt;H330),"REVISAR","CONCLUÍDO")))</f>
        <v/>
      </c>
      <c r="R330">
        <f>IF(Q330&lt;&gt;"CONCLUÍDO",0,IF(COUNTIFS($E$5:E330,E330,$B$5:B330,B330,$Q$5:Q330,"CONCLUÍDO")=1,1,0))</f>
        <v>0</v>
      </c>
      <c r="S330" t="str">
        <f t="shared" si="23"/>
        <v/>
      </c>
      <c r="T330" t="str">
        <f>IF(E330="","",E330*100000+COUNTIFS(tblRegistros[ID],E330,tblRegistros[Data],"&lt;"&amp;B330)+COUNTIFS(tblRegistros[ID],E330,tblRegistros[Data],B330,tblRegistros[Início],"&lt;"&amp;I330)+COUNTIFS($E$5:E330,E330,$B$5:B330,B330,$I$5:I330,I330))</f>
        <v/>
      </c>
    </row>
    <row r="331" spans="2:20">
      <c r="B331" s="2" t="str">
        <f>IFERROR(INT(INDEX(tblBatidas[Data e hora],MATCH("B"&amp;MID($A331,2,99),tblBatidas[Batida ID],0))),"")</f>
        <v/>
      </c>
      <c r="C331" t="str">
        <f t="shared" si="20"/>
        <v/>
      </c>
      <c r="D331" t="str">
        <f t="shared" si="21"/>
        <v/>
      </c>
      <c r="E331" t="str">
        <f>IFERROR(INDEX(tblBatidas[ID],MATCH("B"&amp;MID($A331,2,99),tblBatidas[Batida ID],0)),"")</f>
        <v/>
      </c>
      <c r="F331" t="str">
        <f>IFERROR(INDEX(tblPessoas[Pessoa],MATCH(E331,tblPessoas[ID],0)),"")</f>
        <v/>
      </c>
      <c r="G331" t="str">
        <f>IFERROR(INDEX(tblBatidas[Projeto],MATCH("B"&amp;MID($A331,2,99),tblBatidas[Batida ID],0)),"")</f>
        <v/>
      </c>
      <c r="H331" t="str">
        <f>IFERROR(INDEX(tblBatidas[Atividade],MATCH("B"&amp;MID($A331,2,99),tblBatidas[Batida ID],0)),"")</f>
        <v/>
      </c>
      <c r="I331" s="4" t="str">
        <f>IFERROR(MOD(INDEX(tblBatidas[Data e hora],MATCH("B"&amp;MID($A331,2,99),tblBatidas[Batida ID],0)),1),"")</f>
        <v/>
      </c>
      <c r="J331" s="4" t="str">
        <f>IFERROR(MOD(INDEX(tblBatidas[Data e hora],MATCH("B"&amp;MID($A331,2,99),tblBatidas[Início vinculado],0)),1),"")</f>
        <v/>
      </c>
      <c r="K331" s="14" t="str">
        <f>IFERROR((INDEX(tblBatidas[Data e hora],MATCH("B"&amp;MID($A331,2,99),tblBatidas[Início vinculado],0))-INDEX(tblBatidas[Data e hora],MATCH("B"&amp;MID($A331,2,99),tblBatidas[Batida ID],0)))*24,"")</f>
        <v/>
      </c>
      <c r="L331" t="str">
        <f>IFERROR(INDEX(tblBatidas[Observação],MATCH("B"&amp;MID($A331,2,99),tblBatidas[Início vinculado],0)),"")</f>
        <v/>
      </c>
      <c r="M331" t="str">
        <f>IFERROR(INDEX(tblPessoas[Base],MATCH(E331,tblPessoas[ID],0)),"")</f>
        <v/>
      </c>
      <c r="N331" s="3">
        <f>IFERROR(IF(D331="DIA ÚTIL",INDEX(tblPessoas[R$/h útil],MATCH(E331,tblPessoas[ID],0)),INDEX(tblPessoas[R$/h FDS],MATCH(E331,tblPessoas[ID],0))),0)</f>
        <v>0</v>
      </c>
      <c r="O331" s="3">
        <f>IFERROR(INDEX(tblPessoas[R$/diária],MATCH(E331,tblPessoas[ID],0)),0)</f>
        <v>0</v>
      </c>
      <c r="P331" s="3" t="str">
        <f t="shared" si="22"/>
        <v/>
      </c>
      <c r="Q331" t="str">
        <f>IF(A331="","",IF(COUNTIF(tblBatidas[Início vinculado],"B"&amp;MID($A331,2,99))=0,"EM ABERTO",IF(OR(COUNTIF(tblBatidas[Início vinculado],"B"&amp;MID($A331,2,99))&gt;1,K331&lt;0,K331&gt;16,INT(INDEX(tblBatidas[Data e hora],MATCH("B"&amp;MID($A331,2,99),tblBatidas[Início vinculado],0)))&lt;&gt;B331,INDEX(tblBatidas[ID],MATCH("B"&amp;MID($A331,2,99),tblBatidas[Início vinculado],0))&lt;&gt;E331,INDEX(tblBatidas[Projeto],MATCH("B"&amp;MID($A331,2,99),tblBatidas[Início vinculado],0))&lt;&gt;G331,INDEX(tblBatidas[Atividade],MATCH("B"&amp;MID($A331,2,99),tblBatidas[Início vinculado],0))&lt;&gt;H331),"REVISAR","CONCLUÍDO")))</f>
        <v/>
      </c>
      <c r="R331">
        <f>IF(Q331&lt;&gt;"CONCLUÍDO",0,IF(COUNTIFS($E$5:E331,E331,$B$5:B331,B331,$Q$5:Q331,"CONCLUÍDO")=1,1,0))</f>
        <v>0</v>
      </c>
      <c r="S331" t="str">
        <f t="shared" si="23"/>
        <v/>
      </c>
      <c r="T331" t="str">
        <f>IF(E331="","",E331*100000+COUNTIFS(tblRegistros[ID],E331,tblRegistros[Data],"&lt;"&amp;B331)+COUNTIFS(tblRegistros[ID],E331,tblRegistros[Data],B331,tblRegistros[Início],"&lt;"&amp;I331)+COUNTIFS($E$5:E331,E331,$B$5:B331,B331,$I$5:I331,I331))</f>
        <v/>
      </c>
    </row>
    <row r="332" spans="2:20">
      <c r="B332" s="2" t="str">
        <f>IFERROR(INT(INDEX(tblBatidas[Data e hora],MATCH("B"&amp;MID($A332,2,99),tblBatidas[Batida ID],0))),"")</f>
        <v/>
      </c>
      <c r="C332" t="str">
        <f t="shared" si="20"/>
        <v/>
      </c>
      <c r="D332" t="str">
        <f t="shared" si="21"/>
        <v/>
      </c>
      <c r="E332" t="str">
        <f>IFERROR(INDEX(tblBatidas[ID],MATCH("B"&amp;MID($A332,2,99),tblBatidas[Batida ID],0)),"")</f>
        <v/>
      </c>
      <c r="F332" t="str">
        <f>IFERROR(INDEX(tblPessoas[Pessoa],MATCH(E332,tblPessoas[ID],0)),"")</f>
        <v/>
      </c>
      <c r="G332" t="str">
        <f>IFERROR(INDEX(tblBatidas[Projeto],MATCH("B"&amp;MID($A332,2,99),tblBatidas[Batida ID],0)),"")</f>
        <v/>
      </c>
      <c r="H332" t="str">
        <f>IFERROR(INDEX(tblBatidas[Atividade],MATCH("B"&amp;MID($A332,2,99),tblBatidas[Batida ID],0)),"")</f>
        <v/>
      </c>
      <c r="I332" s="4" t="str">
        <f>IFERROR(MOD(INDEX(tblBatidas[Data e hora],MATCH("B"&amp;MID($A332,2,99),tblBatidas[Batida ID],0)),1),"")</f>
        <v/>
      </c>
      <c r="J332" s="4" t="str">
        <f>IFERROR(MOD(INDEX(tblBatidas[Data e hora],MATCH("B"&amp;MID($A332,2,99),tblBatidas[Início vinculado],0)),1),"")</f>
        <v/>
      </c>
      <c r="K332" s="14" t="str">
        <f>IFERROR((INDEX(tblBatidas[Data e hora],MATCH("B"&amp;MID($A332,2,99),tblBatidas[Início vinculado],0))-INDEX(tblBatidas[Data e hora],MATCH("B"&amp;MID($A332,2,99),tblBatidas[Batida ID],0)))*24,"")</f>
        <v/>
      </c>
      <c r="L332" t="str">
        <f>IFERROR(INDEX(tblBatidas[Observação],MATCH("B"&amp;MID($A332,2,99),tblBatidas[Início vinculado],0)),"")</f>
        <v/>
      </c>
      <c r="M332" t="str">
        <f>IFERROR(INDEX(tblPessoas[Base],MATCH(E332,tblPessoas[ID],0)),"")</f>
        <v/>
      </c>
      <c r="N332" s="3">
        <f>IFERROR(IF(D332="DIA ÚTIL",INDEX(tblPessoas[R$/h útil],MATCH(E332,tblPessoas[ID],0)),INDEX(tblPessoas[R$/h FDS],MATCH(E332,tblPessoas[ID],0))),0)</f>
        <v>0</v>
      </c>
      <c r="O332" s="3">
        <f>IFERROR(INDEX(tblPessoas[R$/diária],MATCH(E332,tblPessoas[ID],0)),0)</f>
        <v>0</v>
      </c>
      <c r="P332" s="3" t="str">
        <f t="shared" si="22"/>
        <v/>
      </c>
      <c r="Q332" t="str">
        <f>IF(A332="","",IF(COUNTIF(tblBatidas[Início vinculado],"B"&amp;MID($A332,2,99))=0,"EM ABERTO",IF(OR(COUNTIF(tblBatidas[Início vinculado],"B"&amp;MID($A332,2,99))&gt;1,K332&lt;0,K332&gt;16,INT(INDEX(tblBatidas[Data e hora],MATCH("B"&amp;MID($A332,2,99),tblBatidas[Início vinculado],0)))&lt;&gt;B332,INDEX(tblBatidas[ID],MATCH("B"&amp;MID($A332,2,99),tblBatidas[Início vinculado],0))&lt;&gt;E332,INDEX(tblBatidas[Projeto],MATCH("B"&amp;MID($A332,2,99),tblBatidas[Início vinculado],0))&lt;&gt;G332,INDEX(tblBatidas[Atividade],MATCH("B"&amp;MID($A332,2,99),tblBatidas[Início vinculado],0))&lt;&gt;H332),"REVISAR","CONCLUÍDO")))</f>
        <v/>
      </c>
      <c r="R332">
        <f>IF(Q332&lt;&gt;"CONCLUÍDO",0,IF(COUNTIFS($E$5:E332,E332,$B$5:B332,B332,$Q$5:Q332,"CONCLUÍDO")=1,1,0))</f>
        <v>0</v>
      </c>
      <c r="S332" t="str">
        <f t="shared" si="23"/>
        <v/>
      </c>
      <c r="T332" t="str">
        <f>IF(E332="","",E332*100000+COUNTIFS(tblRegistros[ID],E332,tblRegistros[Data],"&lt;"&amp;B332)+COUNTIFS(tblRegistros[ID],E332,tblRegistros[Data],B332,tblRegistros[Início],"&lt;"&amp;I332)+COUNTIFS($E$5:E332,E332,$B$5:B332,B332,$I$5:I332,I332))</f>
        <v/>
      </c>
    </row>
    <row r="333" spans="2:20">
      <c r="B333" s="2" t="str">
        <f>IFERROR(INT(INDEX(tblBatidas[Data e hora],MATCH("B"&amp;MID($A333,2,99),tblBatidas[Batida ID],0))),"")</f>
        <v/>
      </c>
      <c r="C333" t="str">
        <f t="shared" si="20"/>
        <v/>
      </c>
      <c r="D333" t="str">
        <f t="shared" si="21"/>
        <v/>
      </c>
      <c r="E333" t="str">
        <f>IFERROR(INDEX(tblBatidas[ID],MATCH("B"&amp;MID($A333,2,99),tblBatidas[Batida ID],0)),"")</f>
        <v/>
      </c>
      <c r="F333" t="str">
        <f>IFERROR(INDEX(tblPessoas[Pessoa],MATCH(E333,tblPessoas[ID],0)),"")</f>
        <v/>
      </c>
      <c r="G333" t="str">
        <f>IFERROR(INDEX(tblBatidas[Projeto],MATCH("B"&amp;MID($A333,2,99),tblBatidas[Batida ID],0)),"")</f>
        <v/>
      </c>
      <c r="H333" t="str">
        <f>IFERROR(INDEX(tblBatidas[Atividade],MATCH("B"&amp;MID($A333,2,99),tblBatidas[Batida ID],0)),"")</f>
        <v/>
      </c>
      <c r="I333" s="4" t="str">
        <f>IFERROR(MOD(INDEX(tblBatidas[Data e hora],MATCH("B"&amp;MID($A333,2,99),tblBatidas[Batida ID],0)),1),"")</f>
        <v/>
      </c>
      <c r="J333" s="4" t="str">
        <f>IFERROR(MOD(INDEX(tblBatidas[Data e hora],MATCH("B"&amp;MID($A333,2,99),tblBatidas[Início vinculado],0)),1),"")</f>
        <v/>
      </c>
      <c r="K333" s="14" t="str">
        <f>IFERROR((INDEX(tblBatidas[Data e hora],MATCH("B"&amp;MID($A333,2,99),tblBatidas[Início vinculado],0))-INDEX(tblBatidas[Data e hora],MATCH("B"&amp;MID($A333,2,99),tblBatidas[Batida ID],0)))*24,"")</f>
        <v/>
      </c>
      <c r="L333" t="str">
        <f>IFERROR(INDEX(tblBatidas[Observação],MATCH("B"&amp;MID($A333,2,99),tblBatidas[Início vinculado],0)),"")</f>
        <v/>
      </c>
      <c r="M333" t="str">
        <f>IFERROR(INDEX(tblPessoas[Base],MATCH(E333,tblPessoas[ID],0)),"")</f>
        <v/>
      </c>
      <c r="N333" s="3">
        <f>IFERROR(IF(D333="DIA ÚTIL",INDEX(tblPessoas[R$/h útil],MATCH(E333,tblPessoas[ID],0)),INDEX(tblPessoas[R$/h FDS],MATCH(E333,tblPessoas[ID],0))),0)</f>
        <v>0</v>
      </c>
      <c r="O333" s="3">
        <f>IFERROR(INDEX(tblPessoas[R$/diária],MATCH(E333,tblPessoas[ID],0)),0)</f>
        <v>0</v>
      </c>
      <c r="P333" s="3" t="str">
        <f t="shared" si="22"/>
        <v/>
      </c>
      <c r="Q333" t="str">
        <f>IF(A333="","",IF(COUNTIF(tblBatidas[Início vinculado],"B"&amp;MID($A333,2,99))=0,"EM ABERTO",IF(OR(COUNTIF(tblBatidas[Início vinculado],"B"&amp;MID($A333,2,99))&gt;1,K333&lt;0,K333&gt;16,INT(INDEX(tblBatidas[Data e hora],MATCH("B"&amp;MID($A333,2,99),tblBatidas[Início vinculado],0)))&lt;&gt;B333,INDEX(tblBatidas[ID],MATCH("B"&amp;MID($A333,2,99),tblBatidas[Início vinculado],0))&lt;&gt;E333,INDEX(tblBatidas[Projeto],MATCH("B"&amp;MID($A333,2,99),tblBatidas[Início vinculado],0))&lt;&gt;G333,INDEX(tblBatidas[Atividade],MATCH("B"&amp;MID($A333,2,99),tblBatidas[Início vinculado],0))&lt;&gt;H333),"REVISAR","CONCLUÍDO")))</f>
        <v/>
      </c>
      <c r="R333">
        <f>IF(Q333&lt;&gt;"CONCLUÍDO",0,IF(COUNTIFS($E$5:E333,E333,$B$5:B333,B333,$Q$5:Q333,"CONCLUÍDO")=1,1,0))</f>
        <v>0</v>
      </c>
      <c r="S333" t="str">
        <f t="shared" si="23"/>
        <v/>
      </c>
      <c r="T333" t="str">
        <f>IF(E333="","",E333*100000+COUNTIFS(tblRegistros[ID],E333,tblRegistros[Data],"&lt;"&amp;B333)+COUNTIFS(tblRegistros[ID],E333,tblRegistros[Data],B333,tblRegistros[Início],"&lt;"&amp;I333)+COUNTIFS($E$5:E333,E333,$B$5:B333,B333,$I$5:I333,I333))</f>
        <v/>
      </c>
    </row>
    <row r="334" spans="2:20">
      <c r="B334" s="2" t="str">
        <f>IFERROR(INT(INDEX(tblBatidas[Data e hora],MATCH("B"&amp;MID($A334,2,99),tblBatidas[Batida ID],0))),"")</f>
        <v/>
      </c>
      <c r="C334" t="str">
        <f t="shared" si="20"/>
        <v/>
      </c>
      <c r="D334" t="str">
        <f t="shared" si="21"/>
        <v/>
      </c>
      <c r="E334" t="str">
        <f>IFERROR(INDEX(tblBatidas[ID],MATCH("B"&amp;MID($A334,2,99),tblBatidas[Batida ID],0)),"")</f>
        <v/>
      </c>
      <c r="F334" t="str">
        <f>IFERROR(INDEX(tblPessoas[Pessoa],MATCH(E334,tblPessoas[ID],0)),"")</f>
        <v/>
      </c>
      <c r="G334" t="str">
        <f>IFERROR(INDEX(tblBatidas[Projeto],MATCH("B"&amp;MID($A334,2,99),tblBatidas[Batida ID],0)),"")</f>
        <v/>
      </c>
      <c r="H334" t="str">
        <f>IFERROR(INDEX(tblBatidas[Atividade],MATCH("B"&amp;MID($A334,2,99),tblBatidas[Batida ID],0)),"")</f>
        <v/>
      </c>
      <c r="I334" s="4" t="str">
        <f>IFERROR(MOD(INDEX(tblBatidas[Data e hora],MATCH("B"&amp;MID($A334,2,99),tblBatidas[Batida ID],0)),1),"")</f>
        <v/>
      </c>
      <c r="J334" s="4" t="str">
        <f>IFERROR(MOD(INDEX(tblBatidas[Data e hora],MATCH("B"&amp;MID($A334,2,99),tblBatidas[Início vinculado],0)),1),"")</f>
        <v/>
      </c>
      <c r="K334" s="14" t="str">
        <f>IFERROR((INDEX(tblBatidas[Data e hora],MATCH("B"&amp;MID($A334,2,99),tblBatidas[Início vinculado],0))-INDEX(tblBatidas[Data e hora],MATCH("B"&amp;MID($A334,2,99),tblBatidas[Batida ID],0)))*24,"")</f>
        <v/>
      </c>
      <c r="L334" t="str">
        <f>IFERROR(INDEX(tblBatidas[Observação],MATCH("B"&amp;MID($A334,2,99),tblBatidas[Início vinculado],0)),"")</f>
        <v/>
      </c>
      <c r="M334" t="str">
        <f>IFERROR(INDEX(tblPessoas[Base],MATCH(E334,tblPessoas[ID],0)),"")</f>
        <v/>
      </c>
      <c r="N334" s="3">
        <f>IFERROR(IF(D334="DIA ÚTIL",INDEX(tblPessoas[R$/h útil],MATCH(E334,tblPessoas[ID],0)),INDEX(tblPessoas[R$/h FDS],MATCH(E334,tblPessoas[ID],0))),0)</f>
        <v>0</v>
      </c>
      <c r="O334" s="3">
        <f>IFERROR(INDEX(tblPessoas[R$/diária],MATCH(E334,tblPessoas[ID],0)),0)</f>
        <v>0</v>
      </c>
      <c r="P334" s="3" t="str">
        <f t="shared" si="22"/>
        <v/>
      </c>
      <c r="Q334" t="str">
        <f>IF(A334="","",IF(COUNTIF(tblBatidas[Início vinculado],"B"&amp;MID($A334,2,99))=0,"EM ABERTO",IF(OR(COUNTIF(tblBatidas[Início vinculado],"B"&amp;MID($A334,2,99))&gt;1,K334&lt;0,K334&gt;16,INT(INDEX(tblBatidas[Data e hora],MATCH("B"&amp;MID($A334,2,99),tblBatidas[Início vinculado],0)))&lt;&gt;B334,INDEX(tblBatidas[ID],MATCH("B"&amp;MID($A334,2,99),tblBatidas[Início vinculado],0))&lt;&gt;E334,INDEX(tblBatidas[Projeto],MATCH("B"&amp;MID($A334,2,99),tblBatidas[Início vinculado],0))&lt;&gt;G334,INDEX(tblBatidas[Atividade],MATCH("B"&amp;MID($A334,2,99),tblBatidas[Início vinculado],0))&lt;&gt;H334),"REVISAR","CONCLUÍDO")))</f>
        <v/>
      </c>
      <c r="R334">
        <f>IF(Q334&lt;&gt;"CONCLUÍDO",0,IF(COUNTIFS($E$5:E334,E334,$B$5:B334,B334,$Q$5:Q334,"CONCLUÍDO")=1,1,0))</f>
        <v>0</v>
      </c>
      <c r="S334" t="str">
        <f t="shared" si="23"/>
        <v/>
      </c>
      <c r="T334" t="str">
        <f>IF(E334="","",E334*100000+COUNTIFS(tblRegistros[ID],E334,tblRegistros[Data],"&lt;"&amp;B334)+COUNTIFS(tblRegistros[ID],E334,tblRegistros[Data],B334,tblRegistros[Início],"&lt;"&amp;I334)+COUNTIFS($E$5:E334,E334,$B$5:B334,B334,$I$5:I334,I334))</f>
        <v/>
      </c>
    </row>
    <row r="335" spans="2:20">
      <c r="B335" s="2" t="str">
        <f>IFERROR(INT(INDEX(tblBatidas[Data e hora],MATCH("B"&amp;MID($A335,2,99),tblBatidas[Batida ID],0))),"")</f>
        <v/>
      </c>
      <c r="C335" t="str">
        <f t="shared" si="20"/>
        <v/>
      </c>
      <c r="D335" t="str">
        <f t="shared" si="21"/>
        <v/>
      </c>
      <c r="E335" t="str">
        <f>IFERROR(INDEX(tblBatidas[ID],MATCH("B"&amp;MID($A335,2,99),tblBatidas[Batida ID],0)),"")</f>
        <v/>
      </c>
      <c r="F335" t="str">
        <f>IFERROR(INDEX(tblPessoas[Pessoa],MATCH(E335,tblPessoas[ID],0)),"")</f>
        <v/>
      </c>
      <c r="G335" t="str">
        <f>IFERROR(INDEX(tblBatidas[Projeto],MATCH("B"&amp;MID($A335,2,99),tblBatidas[Batida ID],0)),"")</f>
        <v/>
      </c>
      <c r="H335" t="str">
        <f>IFERROR(INDEX(tblBatidas[Atividade],MATCH("B"&amp;MID($A335,2,99),tblBatidas[Batida ID],0)),"")</f>
        <v/>
      </c>
      <c r="I335" s="4" t="str">
        <f>IFERROR(MOD(INDEX(tblBatidas[Data e hora],MATCH("B"&amp;MID($A335,2,99),tblBatidas[Batida ID],0)),1),"")</f>
        <v/>
      </c>
      <c r="J335" s="4" t="str">
        <f>IFERROR(MOD(INDEX(tblBatidas[Data e hora],MATCH("B"&amp;MID($A335,2,99),tblBatidas[Início vinculado],0)),1),"")</f>
        <v/>
      </c>
      <c r="K335" s="14" t="str">
        <f>IFERROR((INDEX(tblBatidas[Data e hora],MATCH("B"&amp;MID($A335,2,99),tblBatidas[Início vinculado],0))-INDEX(tblBatidas[Data e hora],MATCH("B"&amp;MID($A335,2,99),tblBatidas[Batida ID],0)))*24,"")</f>
        <v/>
      </c>
      <c r="L335" t="str">
        <f>IFERROR(INDEX(tblBatidas[Observação],MATCH("B"&amp;MID($A335,2,99),tblBatidas[Início vinculado],0)),"")</f>
        <v/>
      </c>
      <c r="M335" t="str">
        <f>IFERROR(INDEX(tblPessoas[Base],MATCH(E335,tblPessoas[ID],0)),"")</f>
        <v/>
      </c>
      <c r="N335" s="3">
        <f>IFERROR(IF(D335="DIA ÚTIL",INDEX(tblPessoas[R$/h útil],MATCH(E335,tblPessoas[ID],0)),INDEX(tblPessoas[R$/h FDS],MATCH(E335,tblPessoas[ID],0))),0)</f>
        <v>0</v>
      </c>
      <c r="O335" s="3">
        <f>IFERROR(INDEX(tblPessoas[R$/diária],MATCH(E335,tblPessoas[ID],0)),0)</f>
        <v>0</v>
      </c>
      <c r="P335" s="3" t="str">
        <f t="shared" si="22"/>
        <v/>
      </c>
      <c r="Q335" t="str">
        <f>IF(A335="","",IF(COUNTIF(tblBatidas[Início vinculado],"B"&amp;MID($A335,2,99))=0,"EM ABERTO",IF(OR(COUNTIF(tblBatidas[Início vinculado],"B"&amp;MID($A335,2,99))&gt;1,K335&lt;0,K335&gt;16,INT(INDEX(tblBatidas[Data e hora],MATCH("B"&amp;MID($A335,2,99),tblBatidas[Início vinculado],0)))&lt;&gt;B335,INDEX(tblBatidas[ID],MATCH("B"&amp;MID($A335,2,99),tblBatidas[Início vinculado],0))&lt;&gt;E335,INDEX(tblBatidas[Projeto],MATCH("B"&amp;MID($A335,2,99),tblBatidas[Início vinculado],0))&lt;&gt;G335,INDEX(tblBatidas[Atividade],MATCH("B"&amp;MID($A335,2,99),tblBatidas[Início vinculado],0))&lt;&gt;H335),"REVISAR","CONCLUÍDO")))</f>
        <v/>
      </c>
      <c r="R335">
        <f>IF(Q335&lt;&gt;"CONCLUÍDO",0,IF(COUNTIFS($E$5:E335,E335,$B$5:B335,B335,$Q$5:Q335,"CONCLUÍDO")=1,1,0))</f>
        <v>0</v>
      </c>
      <c r="S335" t="str">
        <f t="shared" si="23"/>
        <v/>
      </c>
      <c r="T335" t="str">
        <f>IF(E335="","",E335*100000+COUNTIFS(tblRegistros[ID],E335,tblRegistros[Data],"&lt;"&amp;B335)+COUNTIFS(tblRegistros[ID],E335,tblRegistros[Data],B335,tblRegistros[Início],"&lt;"&amp;I335)+COUNTIFS($E$5:E335,E335,$B$5:B335,B335,$I$5:I335,I335))</f>
        <v/>
      </c>
    </row>
    <row r="336" spans="2:20">
      <c r="B336" s="2" t="str">
        <f>IFERROR(INT(INDEX(tblBatidas[Data e hora],MATCH("B"&amp;MID($A336,2,99),tblBatidas[Batida ID],0))),"")</f>
        <v/>
      </c>
      <c r="C336" t="str">
        <f t="shared" si="20"/>
        <v/>
      </c>
      <c r="D336" t="str">
        <f t="shared" si="21"/>
        <v/>
      </c>
      <c r="E336" t="str">
        <f>IFERROR(INDEX(tblBatidas[ID],MATCH("B"&amp;MID($A336,2,99),tblBatidas[Batida ID],0)),"")</f>
        <v/>
      </c>
      <c r="F336" t="str">
        <f>IFERROR(INDEX(tblPessoas[Pessoa],MATCH(E336,tblPessoas[ID],0)),"")</f>
        <v/>
      </c>
      <c r="G336" t="str">
        <f>IFERROR(INDEX(tblBatidas[Projeto],MATCH("B"&amp;MID($A336,2,99),tblBatidas[Batida ID],0)),"")</f>
        <v/>
      </c>
      <c r="H336" t="str">
        <f>IFERROR(INDEX(tblBatidas[Atividade],MATCH("B"&amp;MID($A336,2,99),tblBatidas[Batida ID],0)),"")</f>
        <v/>
      </c>
      <c r="I336" s="4" t="str">
        <f>IFERROR(MOD(INDEX(tblBatidas[Data e hora],MATCH("B"&amp;MID($A336,2,99),tblBatidas[Batida ID],0)),1),"")</f>
        <v/>
      </c>
      <c r="J336" s="4" t="str">
        <f>IFERROR(MOD(INDEX(tblBatidas[Data e hora],MATCH("B"&amp;MID($A336,2,99),tblBatidas[Início vinculado],0)),1),"")</f>
        <v/>
      </c>
      <c r="K336" s="14" t="str">
        <f>IFERROR((INDEX(tblBatidas[Data e hora],MATCH("B"&amp;MID($A336,2,99),tblBatidas[Início vinculado],0))-INDEX(tblBatidas[Data e hora],MATCH("B"&amp;MID($A336,2,99),tblBatidas[Batida ID],0)))*24,"")</f>
        <v/>
      </c>
      <c r="L336" t="str">
        <f>IFERROR(INDEX(tblBatidas[Observação],MATCH("B"&amp;MID($A336,2,99),tblBatidas[Início vinculado],0)),"")</f>
        <v/>
      </c>
      <c r="M336" t="str">
        <f>IFERROR(INDEX(tblPessoas[Base],MATCH(E336,tblPessoas[ID],0)),"")</f>
        <v/>
      </c>
      <c r="N336" s="3">
        <f>IFERROR(IF(D336="DIA ÚTIL",INDEX(tblPessoas[R$/h útil],MATCH(E336,tblPessoas[ID],0)),INDEX(tblPessoas[R$/h FDS],MATCH(E336,tblPessoas[ID],0))),0)</f>
        <v>0</v>
      </c>
      <c r="O336" s="3">
        <f>IFERROR(INDEX(tblPessoas[R$/diária],MATCH(E336,tblPessoas[ID],0)),0)</f>
        <v>0</v>
      </c>
      <c r="P336" s="3" t="str">
        <f t="shared" si="22"/>
        <v/>
      </c>
      <c r="Q336" t="str">
        <f>IF(A336="","",IF(COUNTIF(tblBatidas[Início vinculado],"B"&amp;MID($A336,2,99))=0,"EM ABERTO",IF(OR(COUNTIF(tblBatidas[Início vinculado],"B"&amp;MID($A336,2,99))&gt;1,K336&lt;0,K336&gt;16,INT(INDEX(tblBatidas[Data e hora],MATCH("B"&amp;MID($A336,2,99),tblBatidas[Início vinculado],0)))&lt;&gt;B336,INDEX(tblBatidas[ID],MATCH("B"&amp;MID($A336,2,99),tblBatidas[Início vinculado],0))&lt;&gt;E336,INDEX(tblBatidas[Projeto],MATCH("B"&amp;MID($A336,2,99),tblBatidas[Início vinculado],0))&lt;&gt;G336,INDEX(tblBatidas[Atividade],MATCH("B"&amp;MID($A336,2,99),tblBatidas[Início vinculado],0))&lt;&gt;H336),"REVISAR","CONCLUÍDO")))</f>
        <v/>
      </c>
      <c r="R336">
        <f>IF(Q336&lt;&gt;"CONCLUÍDO",0,IF(COUNTIFS($E$5:E336,E336,$B$5:B336,B336,$Q$5:Q336,"CONCLUÍDO")=1,1,0))</f>
        <v>0</v>
      </c>
      <c r="S336" t="str">
        <f t="shared" si="23"/>
        <v/>
      </c>
      <c r="T336" t="str">
        <f>IF(E336="","",E336*100000+COUNTIFS(tblRegistros[ID],E336,tblRegistros[Data],"&lt;"&amp;B336)+COUNTIFS(tblRegistros[ID],E336,tblRegistros[Data],B336,tblRegistros[Início],"&lt;"&amp;I336)+COUNTIFS($E$5:E336,E336,$B$5:B336,B336,$I$5:I336,I336))</f>
        <v/>
      </c>
    </row>
    <row r="337" spans="2:20">
      <c r="B337" s="2" t="str">
        <f>IFERROR(INT(INDEX(tblBatidas[Data e hora],MATCH("B"&amp;MID($A337,2,99),tblBatidas[Batida ID],0))),"")</f>
        <v/>
      </c>
      <c r="C337" t="str">
        <f t="shared" si="20"/>
        <v/>
      </c>
      <c r="D337" t="str">
        <f t="shared" si="21"/>
        <v/>
      </c>
      <c r="E337" t="str">
        <f>IFERROR(INDEX(tblBatidas[ID],MATCH("B"&amp;MID($A337,2,99),tblBatidas[Batida ID],0)),"")</f>
        <v/>
      </c>
      <c r="F337" t="str">
        <f>IFERROR(INDEX(tblPessoas[Pessoa],MATCH(E337,tblPessoas[ID],0)),"")</f>
        <v/>
      </c>
      <c r="G337" t="str">
        <f>IFERROR(INDEX(tblBatidas[Projeto],MATCH("B"&amp;MID($A337,2,99),tblBatidas[Batida ID],0)),"")</f>
        <v/>
      </c>
      <c r="H337" t="str">
        <f>IFERROR(INDEX(tblBatidas[Atividade],MATCH("B"&amp;MID($A337,2,99),tblBatidas[Batida ID],0)),"")</f>
        <v/>
      </c>
      <c r="I337" s="4" t="str">
        <f>IFERROR(MOD(INDEX(tblBatidas[Data e hora],MATCH("B"&amp;MID($A337,2,99),tblBatidas[Batida ID],0)),1),"")</f>
        <v/>
      </c>
      <c r="J337" s="4" t="str">
        <f>IFERROR(MOD(INDEX(tblBatidas[Data e hora],MATCH("B"&amp;MID($A337,2,99),tblBatidas[Início vinculado],0)),1),"")</f>
        <v/>
      </c>
      <c r="K337" s="14" t="str">
        <f>IFERROR((INDEX(tblBatidas[Data e hora],MATCH("B"&amp;MID($A337,2,99),tblBatidas[Início vinculado],0))-INDEX(tblBatidas[Data e hora],MATCH("B"&amp;MID($A337,2,99),tblBatidas[Batida ID],0)))*24,"")</f>
        <v/>
      </c>
      <c r="L337" t="str">
        <f>IFERROR(INDEX(tblBatidas[Observação],MATCH("B"&amp;MID($A337,2,99),tblBatidas[Início vinculado],0)),"")</f>
        <v/>
      </c>
      <c r="M337" t="str">
        <f>IFERROR(INDEX(tblPessoas[Base],MATCH(E337,tblPessoas[ID],0)),"")</f>
        <v/>
      </c>
      <c r="N337" s="3">
        <f>IFERROR(IF(D337="DIA ÚTIL",INDEX(tblPessoas[R$/h útil],MATCH(E337,tblPessoas[ID],0)),INDEX(tblPessoas[R$/h FDS],MATCH(E337,tblPessoas[ID],0))),0)</f>
        <v>0</v>
      </c>
      <c r="O337" s="3">
        <f>IFERROR(INDEX(tblPessoas[R$/diária],MATCH(E337,tblPessoas[ID],0)),0)</f>
        <v>0</v>
      </c>
      <c r="P337" s="3" t="str">
        <f t="shared" si="22"/>
        <v/>
      </c>
      <c r="Q337" t="str">
        <f>IF(A337="","",IF(COUNTIF(tblBatidas[Início vinculado],"B"&amp;MID($A337,2,99))=0,"EM ABERTO",IF(OR(COUNTIF(tblBatidas[Início vinculado],"B"&amp;MID($A337,2,99))&gt;1,K337&lt;0,K337&gt;16,INT(INDEX(tblBatidas[Data e hora],MATCH("B"&amp;MID($A337,2,99),tblBatidas[Início vinculado],0)))&lt;&gt;B337,INDEX(tblBatidas[ID],MATCH("B"&amp;MID($A337,2,99),tblBatidas[Início vinculado],0))&lt;&gt;E337,INDEX(tblBatidas[Projeto],MATCH("B"&amp;MID($A337,2,99),tblBatidas[Início vinculado],0))&lt;&gt;G337,INDEX(tblBatidas[Atividade],MATCH("B"&amp;MID($A337,2,99),tblBatidas[Início vinculado],0))&lt;&gt;H337),"REVISAR","CONCLUÍDO")))</f>
        <v/>
      </c>
      <c r="R337">
        <f>IF(Q337&lt;&gt;"CONCLUÍDO",0,IF(COUNTIFS($E$5:E337,E337,$B$5:B337,B337,$Q$5:Q337,"CONCLUÍDO")=1,1,0))</f>
        <v>0</v>
      </c>
      <c r="S337" t="str">
        <f t="shared" si="23"/>
        <v/>
      </c>
      <c r="T337" t="str">
        <f>IF(E337="","",E337*100000+COUNTIFS(tblRegistros[ID],E337,tblRegistros[Data],"&lt;"&amp;B337)+COUNTIFS(tblRegistros[ID],E337,tblRegistros[Data],B337,tblRegistros[Início],"&lt;"&amp;I337)+COUNTIFS($E$5:E337,E337,$B$5:B337,B337,$I$5:I337,I337))</f>
        <v/>
      </c>
    </row>
    <row r="338" spans="2:20">
      <c r="B338" s="2" t="str">
        <f>IFERROR(INT(INDEX(tblBatidas[Data e hora],MATCH("B"&amp;MID($A338,2,99),tblBatidas[Batida ID],0))),"")</f>
        <v/>
      </c>
      <c r="C338" t="str">
        <f t="shared" si="20"/>
        <v/>
      </c>
      <c r="D338" t="str">
        <f t="shared" si="21"/>
        <v/>
      </c>
      <c r="E338" t="str">
        <f>IFERROR(INDEX(tblBatidas[ID],MATCH("B"&amp;MID($A338,2,99),tblBatidas[Batida ID],0)),"")</f>
        <v/>
      </c>
      <c r="F338" t="str">
        <f>IFERROR(INDEX(tblPessoas[Pessoa],MATCH(E338,tblPessoas[ID],0)),"")</f>
        <v/>
      </c>
      <c r="G338" t="str">
        <f>IFERROR(INDEX(tblBatidas[Projeto],MATCH("B"&amp;MID($A338,2,99),tblBatidas[Batida ID],0)),"")</f>
        <v/>
      </c>
      <c r="H338" t="str">
        <f>IFERROR(INDEX(tblBatidas[Atividade],MATCH("B"&amp;MID($A338,2,99),tblBatidas[Batida ID],0)),"")</f>
        <v/>
      </c>
      <c r="I338" s="4" t="str">
        <f>IFERROR(MOD(INDEX(tblBatidas[Data e hora],MATCH("B"&amp;MID($A338,2,99),tblBatidas[Batida ID],0)),1),"")</f>
        <v/>
      </c>
      <c r="J338" s="4" t="str">
        <f>IFERROR(MOD(INDEX(tblBatidas[Data e hora],MATCH("B"&amp;MID($A338,2,99),tblBatidas[Início vinculado],0)),1),"")</f>
        <v/>
      </c>
      <c r="K338" s="14" t="str">
        <f>IFERROR((INDEX(tblBatidas[Data e hora],MATCH("B"&amp;MID($A338,2,99),tblBatidas[Início vinculado],0))-INDEX(tblBatidas[Data e hora],MATCH("B"&amp;MID($A338,2,99),tblBatidas[Batida ID],0)))*24,"")</f>
        <v/>
      </c>
      <c r="L338" t="str">
        <f>IFERROR(INDEX(tblBatidas[Observação],MATCH("B"&amp;MID($A338,2,99),tblBatidas[Início vinculado],0)),"")</f>
        <v/>
      </c>
      <c r="M338" t="str">
        <f>IFERROR(INDEX(tblPessoas[Base],MATCH(E338,tblPessoas[ID],0)),"")</f>
        <v/>
      </c>
      <c r="N338" s="3">
        <f>IFERROR(IF(D338="DIA ÚTIL",INDEX(tblPessoas[R$/h útil],MATCH(E338,tblPessoas[ID],0)),INDEX(tblPessoas[R$/h FDS],MATCH(E338,tblPessoas[ID],0))),0)</f>
        <v>0</v>
      </c>
      <c r="O338" s="3">
        <f>IFERROR(INDEX(tblPessoas[R$/diária],MATCH(E338,tblPessoas[ID],0)),0)</f>
        <v>0</v>
      </c>
      <c r="P338" s="3" t="str">
        <f t="shared" si="22"/>
        <v/>
      </c>
      <c r="Q338" t="str">
        <f>IF(A338="","",IF(COUNTIF(tblBatidas[Início vinculado],"B"&amp;MID($A338,2,99))=0,"EM ABERTO",IF(OR(COUNTIF(tblBatidas[Início vinculado],"B"&amp;MID($A338,2,99))&gt;1,K338&lt;0,K338&gt;16,INT(INDEX(tblBatidas[Data e hora],MATCH("B"&amp;MID($A338,2,99),tblBatidas[Início vinculado],0)))&lt;&gt;B338,INDEX(tblBatidas[ID],MATCH("B"&amp;MID($A338,2,99),tblBatidas[Início vinculado],0))&lt;&gt;E338,INDEX(tblBatidas[Projeto],MATCH("B"&amp;MID($A338,2,99),tblBatidas[Início vinculado],0))&lt;&gt;G338,INDEX(tblBatidas[Atividade],MATCH("B"&amp;MID($A338,2,99),tblBatidas[Início vinculado],0))&lt;&gt;H338),"REVISAR","CONCLUÍDO")))</f>
        <v/>
      </c>
      <c r="R338">
        <f>IF(Q338&lt;&gt;"CONCLUÍDO",0,IF(COUNTIFS($E$5:E338,E338,$B$5:B338,B338,$Q$5:Q338,"CONCLUÍDO")=1,1,0))</f>
        <v>0</v>
      </c>
      <c r="S338" t="str">
        <f t="shared" si="23"/>
        <v/>
      </c>
      <c r="T338" t="str">
        <f>IF(E338="","",E338*100000+COUNTIFS(tblRegistros[ID],E338,tblRegistros[Data],"&lt;"&amp;B338)+COUNTIFS(tblRegistros[ID],E338,tblRegistros[Data],B338,tblRegistros[Início],"&lt;"&amp;I338)+COUNTIFS($E$5:E338,E338,$B$5:B338,B338,$I$5:I338,I338))</f>
        <v/>
      </c>
    </row>
    <row r="339" spans="2:20">
      <c r="B339" s="2" t="str">
        <f>IFERROR(INT(INDEX(tblBatidas[Data e hora],MATCH("B"&amp;MID($A339,2,99),tblBatidas[Batida ID],0))),"")</f>
        <v/>
      </c>
      <c r="C339" t="str">
        <f t="shared" si="20"/>
        <v/>
      </c>
      <c r="D339" t="str">
        <f t="shared" si="21"/>
        <v/>
      </c>
      <c r="E339" t="str">
        <f>IFERROR(INDEX(tblBatidas[ID],MATCH("B"&amp;MID($A339,2,99),tblBatidas[Batida ID],0)),"")</f>
        <v/>
      </c>
      <c r="F339" t="str">
        <f>IFERROR(INDEX(tblPessoas[Pessoa],MATCH(E339,tblPessoas[ID],0)),"")</f>
        <v/>
      </c>
      <c r="G339" t="str">
        <f>IFERROR(INDEX(tblBatidas[Projeto],MATCH("B"&amp;MID($A339,2,99),tblBatidas[Batida ID],0)),"")</f>
        <v/>
      </c>
      <c r="H339" t="str">
        <f>IFERROR(INDEX(tblBatidas[Atividade],MATCH("B"&amp;MID($A339,2,99),tblBatidas[Batida ID],0)),"")</f>
        <v/>
      </c>
      <c r="I339" s="4" t="str">
        <f>IFERROR(MOD(INDEX(tblBatidas[Data e hora],MATCH("B"&amp;MID($A339,2,99),tblBatidas[Batida ID],0)),1),"")</f>
        <v/>
      </c>
      <c r="J339" s="4" t="str">
        <f>IFERROR(MOD(INDEX(tblBatidas[Data e hora],MATCH("B"&amp;MID($A339,2,99),tblBatidas[Início vinculado],0)),1),"")</f>
        <v/>
      </c>
      <c r="K339" s="14" t="str">
        <f>IFERROR((INDEX(tblBatidas[Data e hora],MATCH("B"&amp;MID($A339,2,99),tblBatidas[Início vinculado],0))-INDEX(tblBatidas[Data e hora],MATCH("B"&amp;MID($A339,2,99),tblBatidas[Batida ID],0)))*24,"")</f>
        <v/>
      </c>
      <c r="L339" t="str">
        <f>IFERROR(INDEX(tblBatidas[Observação],MATCH("B"&amp;MID($A339,2,99),tblBatidas[Início vinculado],0)),"")</f>
        <v/>
      </c>
      <c r="M339" t="str">
        <f>IFERROR(INDEX(tblPessoas[Base],MATCH(E339,tblPessoas[ID],0)),"")</f>
        <v/>
      </c>
      <c r="N339" s="3">
        <f>IFERROR(IF(D339="DIA ÚTIL",INDEX(tblPessoas[R$/h útil],MATCH(E339,tblPessoas[ID],0)),INDEX(tblPessoas[R$/h FDS],MATCH(E339,tblPessoas[ID],0))),0)</f>
        <v>0</v>
      </c>
      <c r="O339" s="3">
        <f>IFERROR(INDEX(tblPessoas[R$/diária],MATCH(E339,tblPessoas[ID],0)),0)</f>
        <v>0</v>
      </c>
      <c r="P339" s="3" t="str">
        <f t="shared" si="22"/>
        <v/>
      </c>
      <c r="Q339" t="str">
        <f>IF(A339="","",IF(COUNTIF(tblBatidas[Início vinculado],"B"&amp;MID($A339,2,99))=0,"EM ABERTO",IF(OR(COUNTIF(tblBatidas[Início vinculado],"B"&amp;MID($A339,2,99))&gt;1,K339&lt;0,K339&gt;16,INT(INDEX(tblBatidas[Data e hora],MATCH("B"&amp;MID($A339,2,99),tblBatidas[Início vinculado],0)))&lt;&gt;B339,INDEX(tblBatidas[ID],MATCH("B"&amp;MID($A339,2,99),tblBatidas[Início vinculado],0))&lt;&gt;E339,INDEX(tblBatidas[Projeto],MATCH("B"&amp;MID($A339,2,99),tblBatidas[Início vinculado],0))&lt;&gt;G339,INDEX(tblBatidas[Atividade],MATCH("B"&amp;MID($A339,2,99),tblBatidas[Início vinculado],0))&lt;&gt;H339),"REVISAR","CONCLUÍDO")))</f>
        <v/>
      </c>
      <c r="R339">
        <f>IF(Q339&lt;&gt;"CONCLUÍDO",0,IF(COUNTIFS($E$5:E339,E339,$B$5:B339,B339,$Q$5:Q339,"CONCLUÍDO")=1,1,0))</f>
        <v>0</v>
      </c>
      <c r="S339" t="str">
        <f t="shared" si="23"/>
        <v/>
      </c>
      <c r="T339" t="str">
        <f>IF(E339="","",E339*100000+COUNTIFS(tblRegistros[ID],E339,tblRegistros[Data],"&lt;"&amp;B339)+COUNTIFS(tblRegistros[ID],E339,tblRegistros[Data],B339,tblRegistros[Início],"&lt;"&amp;I339)+COUNTIFS($E$5:E339,E339,$B$5:B339,B339,$I$5:I339,I339))</f>
        <v/>
      </c>
    </row>
    <row r="340" spans="2:20">
      <c r="B340" s="2" t="str">
        <f>IFERROR(INT(INDEX(tblBatidas[Data e hora],MATCH("B"&amp;MID($A340,2,99),tblBatidas[Batida ID],0))),"")</f>
        <v/>
      </c>
      <c r="C340" t="str">
        <f t="shared" si="20"/>
        <v/>
      </c>
      <c r="D340" t="str">
        <f t="shared" si="21"/>
        <v/>
      </c>
      <c r="E340" t="str">
        <f>IFERROR(INDEX(tblBatidas[ID],MATCH("B"&amp;MID($A340,2,99),tblBatidas[Batida ID],0)),"")</f>
        <v/>
      </c>
      <c r="F340" t="str">
        <f>IFERROR(INDEX(tblPessoas[Pessoa],MATCH(E340,tblPessoas[ID],0)),"")</f>
        <v/>
      </c>
      <c r="G340" t="str">
        <f>IFERROR(INDEX(tblBatidas[Projeto],MATCH("B"&amp;MID($A340,2,99),tblBatidas[Batida ID],0)),"")</f>
        <v/>
      </c>
      <c r="H340" t="str">
        <f>IFERROR(INDEX(tblBatidas[Atividade],MATCH("B"&amp;MID($A340,2,99),tblBatidas[Batida ID],0)),"")</f>
        <v/>
      </c>
      <c r="I340" s="4" t="str">
        <f>IFERROR(MOD(INDEX(tblBatidas[Data e hora],MATCH("B"&amp;MID($A340,2,99),tblBatidas[Batida ID],0)),1),"")</f>
        <v/>
      </c>
      <c r="J340" s="4" t="str">
        <f>IFERROR(MOD(INDEX(tblBatidas[Data e hora],MATCH("B"&amp;MID($A340,2,99),tblBatidas[Início vinculado],0)),1),"")</f>
        <v/>
      </c>
      <c r="K340" s="14" t="str">
        <f>IFERROR((INDEX(tblBatidas[Data e hora],MATCH("B"&amp;MID($A340,2,99),tblBatidas[Início vinculado],0))-INDEX(tblBatidas[Data e hora],MATCH("B"&amp;MID($A340,2,99),tblBatidas[Batida ID],0)))*24,"")</f>
        <v/>
      </c>
      <c r="L340" t="str">
        <f>IFERROR(INDEX(tblBatidas[Observação],MATCH("B"&amp;MID($A340,2,99),tblBatidas[Início vinculado],0)),"")</f>
        <v/>
      </c>
      <c r="M340" t="str">
        <f>IFERROR(INDEX(tblPessoas[Base],MATCH(E340,tblPessoas[ID],0)),"")</f>
        <v/>
      </c>
      <c r="N340" s="3">
        <f>IFERROR(IF(D340="DIA ÚTIL",INDEX(tblPessoas[R$/h útil],MATCH(E340,tblPessoas[ID],0)),INDEX(tblPessoas[R$/h FDS],MATCH(E340,tblPessoas[ID],0))),0)</f>
        <v>0</v>
      </c>
      <c r="O340" s="3">
        <f>IFERROR(INDEX(tblPessoas[R$/diária],MATCH(E340,tblPessoas[ID],0)),0)</f>
        <v>0</v>
      </c>
      <c r="P340" s="3" t="str">
        <f t="shared" si="22"/>
        <v/>
      </c>
      <c r="Q340" t="str">
        <f>IF(A340="","",IF(COUNTIF(tblBatidas[Início vinculado],"B"&amp;MID($A340,2,99))=0,"EM ABERTO",IF(OR(COUNTIF(tblBatidas[Início vinculado],"B"&amp;MID($A340,2,99))&gt;1,K340&lt;0,K340&gt;16,INT(INDEX(tblBatidas[Data e hora],MATCH("B"&amp;MID($A340,2,99),tblBatidas[Início vinculado],0)))&lt;&gt;B340,INDEX(tblBatidas[ID],MATCH("B"&amp;MID($A340,2,99),tblBatidas[Início vinculado],0))&lt;&gt;E340,INDEX(tblBatidas[Projeto],MATCH("B"&amp;MID($A340,2,99),tblBatidas[Início vinculado],0))&lt;&gt;G340,INDEX(tblBatidas[Atividade],MATCH("B"&amp;MID($A340,2,99),tblBatidas[Início vinculado],0))&lt;&gt;H340),"REVISAR","CONCLUÍDO")))</f>
        <v/>
      </c>
      <c r="R340">
        <f>IF(Q340&lt;&gt;"CONCLUÍDO",0,IF(COUNTIFS($E$5:E340,E340,$B$5:B340,B340,$Q$5:Q340,"CONCLUÍDO")=1,1,0))</f>
        <v>0</v>
      </c>
      <c r="S340" t="str">
        <f t="shared" si="23"/>
        <v/>
      </c>
      <c r="T340" t="str">
        <f>IF(E340="","",E340*100000+COUNTIFS(tblRegistros[ID],E340,tblRegistros[Data],"&lt;"&amp;B340)+COUNTIFS(tblRegistros[ID],E340,tblRegistros[Data],B340,tblRegistros[Início],"&lt;"&amp;I340)+COUNTIFS($E$5:E340,E340,$B$5:B340,B340,$I$5:I340,I340))</f>
        <v/>
      </c>
    </row>
    <row r="341" spans="2:20">
      <c r="B341" s="2" t="str">
        <f>IFERROR(INT(INDEX(tblBatidas[Data e hora],MATCH("B"&amp;MID($A341,2,99),tblBatidas[Batida ID],0))),"")</f>
        <v/>
      </c>
      <c r="C341" t="str">
        <f t="shared" si="20"/>
        <v/>
      </c>
      <c r="D341" t="str">
        <f t="shared" si="21"/>
        <v/>
      </c>
      <c r="E341" t="str">
        <f>IFERROR(INDEX(tblBatidas[ID],MATCH("B"&amp;MID($A341,2,99),tblBatidas[Batida ID],0)),"")</f>
        <v/>
      </c>
      <c r="F341" t="str">
        <f>IFERROR(INDEX(tblPessoas[Pessoa],MATCH(E341,tblPessoas[ID],0)),"")</f>
        <v/>
      </c>
      <c r="G341" t="str">
        <f>IFERROR(INDEX(tblBatidas[Projeto],MATCH("B"&amp;MID($A341,2,99),tblBatidas[Batida ID],0)),"")</f>
        <v/>
      </c>
      <c r="H341" t="str">
        <f>IFERROR(INDEX(tblBatidas[Atividade],MATCH("B"&amp;MID($A341,2,99),tblBatidas[Batida ID],0)),"")</f>
        <v/>
      </c>
      <c r="I341" s="4" t="str">
        <f>IFERROR(MOD(INDEX(tblBatidas[Data e hora],MATCH("B"&amp;MID($A341,2,99),tblBatidas[Batida ID],0)),1),"")</f>
        <v/>
      </c>
      <c r="J341" s="4" t="str">
        <f>IFERROR(MOD(INDEX(tblBatidas[Data e hora],MATCH("B"&amp;MID($A341,2,99),tblBatidas[Início vinculado],0)),1),"")</f>
        <v/>
      </c>
      <c r="K341" s="14" t="str">
        <f>IFERROR((INDEX(tblBatidas[Data e hora],MATCH("B"&amp;MID($A341,2,99),tblBatidas[Início vinculado],0))-INDEX(tblBatidas[Data e hora],MATCH("B"&amp;MID($A341,2,99),tblBatidas[Batida ID],0)))*24,"")</f>
        <v/>
      </c>
      <c r="L341" t="str">
        <f>IFERROR(INDEX(tblBatidas[Observação],MATCH("B"&amp;MID($A341,2,99),tblBatidas[Início vinculado],0)),"")</f>
        <v/>
      </c>
      <c r="M341" t="str">
        <f>IFERROR(INDEX(tblPessoas[Base],MATCH(E341,tblPessoas[ID],0)),"")</f>
        <v/>
      </c>
      <c r="N341" s="3">
        <f>IFERROR(IF(D341="DIA ÚTIL",INDEX(tblPessoas[R$/h útil],MATCH(E341,tblPessoas[ID],0)),INDEX(tblPessoas[R$/h FDS],MATCH(E341,tblPessoas[ID],0))),0)</f>
        <v>0</v>
      </c>
      <c r="O341" s="3">
        <f>IFERROR(INDEX(tblPessoas[R$/diária],MATCH(E341,tblPessoas[ID],0)),0)</f>
        <v>0</v>
      </c>
      <c r="P341" s="3" t="str">
        <f t="shared" si="22"/>
        <v/>
      </c>
      <c r="Q341" t="str">
        <f>IF(A341="","",IF(COUNTIF(tblBatidas[Início vinculado],"B"&amp;MID($A341,2,99))=0,"EM ABERTO",IF(OR(COUNTIF(tblBatidas[Início vinculado],"B"&amp;MID($A341,2,99))&gt;1,K341&lt;0,K341&gt;16,INT(INDEX(tblBatidas[Data e hora],MATCH("B"&amp;MID($A341,2,99),tblBatidas[Início vinculado],0)))&lt;&gt;B341,INDEX(tblBatidas[ID],MATCH("B"&amp;MID($A341,2,99),tblBatidas[Início vinculado],0))&lt;&gt;E341,INDEX(tblBatidas[Projeto],MATCH("B"&amp;MID($A341,2,99),tblBatidas[Início vinculado],0))&lt;&gt;G341,INDEX(tblBatidas[Atividade],MATCH("B"&amp;MID($A341,2,99),tblBatidas[Início vinculado],0))&lt;&gt;H341),"REVISAR","CONCLUÍDO")))</f>
        <v/>
      </c>
      <c r="R341">
        <f>IF(Q341&lt;&gt;"CONCLUÍDO",0,IF(COUNTIFS($E$5:E341,E341,$B$5:B341,B341,$Q$5:Q341,"CONCLUÍDO")=1,1,0))</f>
        <v>0</v>
      </c>
      <c r="S341" t="str">
        <f t="shared" si="23"/>
        <v/>
      </c>
      <c r="T341" t="str">
        <f>IF(E341="","",E341*100000+COUNTIFS(tblRegistros[ID],E341,tblRegistros[Data],"&lt;"&amp;B341)+COUNTIFS(tblRegistros[ID],E341,tblRegistros[Data],B341,tblRegistros[Início],"&lt;"&amp;I341)+COUNTIFS($E$5:E341,E341,$B$5:B341,B341,$I$5:I341,I341))</f>
        <v/>
      </c>
    </row>
    <row r="342" spans="2:20">
      <c r="B342" s="2" t="str">
        <f>IFERROR(INT(INDEX(tblBatidas[Data e hora],MATCH("B"&amp;MID($A342,2,99),tblBatidas[Batida ID],0))),"")</f>
        <v/>
      </c>
      <c r="C342" t="str">
        <f t="shared" si="20"/>
        <v/>
      </c>
      <c r="D342" t="str">
        <f t="shared" si="21"/>
        <v/>
      </c>
      <c r="E342" t="str">
        <f>IFERROR(INDEX(tblBatidas[ID],MATCH("B"&amp;MID($A342,2,99),tblBatidas[Batida ID],0)),"")</f>
        <v/>
      </c>
      <c r="F342" t="str">
        <f>IFERROR(INDEX(tblPessoas[Pessoa],MATCH(E342,tblPessoas[ID],0)),"")</f>
        <v/>
      </c>
      <c r="G342" t="str">
        <f>IFERROR(INDEX(tblBatidas[Projeto],MATCH("B"&amp;MID($A342,2,99),tblBatidas[Batida ID],0)),"")</f>
        <v/>
      </c>
      <c r="H342" t="str">
        <f>IFERROR(INDEX(tblBatidas[Atividade],MATCH("B"&amp;MID($A342,2,99),tblBatidas[Batida ID],0)),"")</f>
        <v/>
      </c>
      <c r="I342" s="4" t="str">
        <f>IFERROR(MOD(INDEX(tblBatidas[Data e hora],MATCH("B"&amp;MID($A342,2,99),tblBatidas[Batida ID],0)),1),"")</f>
        <v/>
      </c>
      <c r="J342" s="4" t="str">
        <f>IFERROR(MOD(INDEX(tblBatidas[Data e hora],MATCH("B"&amp;MID($A342,2,99),tblBatidas[Início vinculado],0)),1),"")</f>
        <v/>
      </c>
      <c r="K342" s="14" t="str">
        <f>IFERROR((INDEX(tblBatidas[Data e hora],MATCH("B"&amp;MID($A342,2,99),tblBatidas[Início vinculado],0))-INDEX(tblBatidas[Data e hora],MATCH("B"&amp;MID($A342,2,99),tblBatidas[Batida ID],0)))*24,"")</f>
        <v/>
      </c>
      <c r="L342" t="str">
        <f>IFERROR(INDEX(tblBatidas[Observação],MATCH("B"&amp;MID($A342,2,99),tblBatidas[Início vinculado],0)),"")</f>
        <v/>
      </c>
      <c r="M342" t="str">
        <f>IFERROR(INDEX(tblPessoas[Base],MATCH(E342,tblPessoas[ID],0)),"")</f>
        <v/>
      </c>
      <c r="N342" s="3">
        <f>IFERROR(IF(D342="DIA ÚTIL",INDEX(tblPessoas[R$/h útil],MATCH(E342,tblPessoas[ID],0)),INDEX(tblPessoas[R$/h FDS],MATCH(E342,tblPessoas[ID],0))),0)</f>
        <v>0</v>
      </c>
      <c r="O342" s="3">
        <f>IFERROR(INDEX(tblPessoas[R$/diária],MATCH(E342,tblPessoas[ID],0)),0)</f>
        <v>0</v>
      </c>
      <c r="P342" s="3" t="str">
        <f t="shared" si="22"/>
        <v/>
      </c>
      <c r="Q342" t="str">
        <f>IF(A342="","",IF(COUNTIF(tblBatidas[Início vinculado],"B"&amp;MID($A342,2,99))=0,"EM ABERTO",IF(OR(COUNTIF(tblBatidas[Início vinculado],"B"&amp;MID($A342,2,99))&gt;1,K342&lt;0,K342&gt;16,INT(INDEX(tblBatidas[Data e hora],MATCH("B"&amp;MID($A342,2,99),tblBatidas[Início vinculado],0)))&lt;&gt;B342,INDEX(tblBatidas[ID],MATCH("B"&amp;MID($A342,2,99),tblBatidas[Início vinculado],0))&lt;&gt;E342,INDEX(tblBatidas[Projeto],MATCH("B"&amp;MID($A342,2,99),tblBatidas[Início vinculado],0))&lt;&gt;G342,INDEX(tblBatidas[Atividade],MATCH("B"&amp;MID($A342,2,99),tblBatidas[Início vinculado],0))&lt;&gt;H342),"REVISAR","CONCLUÍDO")))</f>
        <v/>
      </c>
      <c r="R342">
        <f>IF(Q342&lt;&gt;"CONCLUÍDO",0,IF(COUNTIFS($E$5:E342,E342,$B$5:B342,B342,$Q$5:Q342,"CONCLUÍDO")=1,1,0))</f>
        <v>0</v>
      </c>
      <c r="S342" t="str">
        <f t="shared" si="23"/>
        <v/>
      </c>
      <c r="T342" t="str">
        <f>IF(E342="","",E342*100000+COUNTIFS(tblRegistros[ID],E342,tblRegistros[Data],"&lt;"&amp;B342)+COUNTIFS(tblRegistros[ID],E342,tblRegistros[Data],B342,tblRegistros[Início],"&lt;"&amp;I342)+COUNTIFS($E$5:E342,E342,$B$5:B342,B342,$I$5:I342,I342))</f>
        <v/>
      </c>
    </row>
    <row r="343" spans="2:20">
      <c r="B343" s="2" t="str">
        <f>IFERROR(INT(INDEX(tblBatidas[Data e hora],MATCH("B"&amp;MID($A343,2,99),tblBatidas[Batida ID],0))),"")</f>
        <v/>
      </c>
      <c r="C343" t="str">
        <f t="shared" si="20"/>
        <v/>
      </c>
      <c r="D343" t="str">
        <f t="shared" si="21"/>
        <v/>
      </c>
      <c r="E343" t="str">
        <f>IFERROR(INDEX(tblBatidas[ID],MATCH("B"&amp;MID($A343,2,99),tblBatidas[Batida ID],0)),"")</f>
        <v/>
      </c>
      <c r="F343" t="str">
        <f>IFERROR(INDEX(tblPessoas[Pessoa],MATCH(E343,tblPessoas[ID],0)),"")</f>
        <v/>
      </c>
      <c r="G343" t="str">
        <f>IFERROR(INDEX(tblBatidas[Projeto],MATCH("B"&amp;MID($A343,2,99),tblBatidas[Batida ID],0)),"")</f>
        <v/>
      </c>
      <c r="H343" t="str">
        <f>IFERROR(INDEX(tblBatidas[Atividade],MATCH("B"&amp;MID($A343,2,99),tblBatidas[Batida ID],0)),"")</f>
        <v/>
      </c>
      <c r="I343" s="4" t="str">
        <f>IFERROR(MOD(INDEX(tblBatidas[Data e hora],MATCH("B"&amp;MID($A343,2,99),tblBatidas[Batida ID],0)),1),"")</f>
        <v/>
      </c>
      <c r="J343" s="4" t="str">
        <f>IFERROR(MOD(INDEX(tblBatidas[Data e hora],MATCH("B"&amp;MID($A343,2,99),tblBatidas[Início vinculado],0)),1),"")</f>
        <v/>
      </c>
      <c r="K343" s="14" t="str">
        <f>IFERROR((INDEX(tblBatidas[Data e hora],MATCH("B"&amp;MID($A343,2,99),tblBatidas[Início vinculado],0))-INDEX(tblBatidas[Data e hora],MATCH("B"&amp;MID($A343,2,99),tblBatidas[Batida ID],0)))*24,"")</f>
        <v/>
      </c>
      <c r="L343" t="str">
        <f>IFERROR(INDEX(tblBatidas[Observação],MATCH("B"&amp;MID($A343,2,99),tblBatidas[Início vinculado],0)),"")</f>
        <v/>
      </c>
      <c r="M343" t="str">
        <f>IFERROR(INDEX(tblPessoas[Base],MATCH(E343,tblPessoas[ID],0)),"")</f>
        <v/>
      </c>
      <c r="N343" s="3">
        <f>IFERROR(IF(D343="DIA ÚTIL",INDEX(tblPessoas[R$/h útil],MATCH(E343,tblPessoas[ID],0)),INDEX(tblPessoas[R$/h FDS],MATCH(E343,tblPessoas[ID],0))),0)</f>
        <v>0</v>
      </c>
      <c r="O343" s="3">
        <f>IFERROR(INDEX(tblPessoas[R$/diária],MATCH(E343,tblPessoas[ID],0)),0)</f>
        <v>0</v>
      </c>
      <c r="P343" s="3" t="str">
        <f t="shared" si="22"/>
        <v/>
      </c>
      <c r="Q343" t="str">
        <f>IF(A343="","",IF(COUNTIF(tblBatidas[Início vinculado],"B"&amp;MID($A343,2,99))=0,"EM ABERTO",IF(OR(COUNTIF(tblBatidas[Início vinculado],"B"&amp;MID($A343,2,99))&gt;1,K343&lt;0,K343&gt;16,INT(INDEX(tblBatidas[Data e hora],MATCH("B"&amp;MID($A343,2,99),tblBatidas[Início vinculado],0)))&lt;&gt;B343,INDEX(tblBatidas[ID],MATCH("B"&amp;MID($A343,2,99),tblBatidas[Início vinculado],0))&lt;&gt;E343,INDEX(tblBatidas[Projeto],MATCH("B"&amp;MID($A343,2,99),tblBatidas[Início vinculado],0))&lt;&gt;G343,INDEX(tblBatidas[Atividade],MATCH("B"&amp;MID($A343,2,99),tblBatidas[Início vinculado],0))&lt;&gt;H343),"REVISAR","CONCLUÍDO")))</f>
        <v/>
      </c>
      <c r="R343">
        <f>IF(Q343&lt;&gt;"CONCLUÍDO",0,IF(COUNTIFS($E$5:E343,E343,$B$5:B343,B343,$Q$5:Q343,"CONCLUÍDO")=1,1,0))</f>
        <v>0</v>
      </c>
      <c r="S343" t="str">
        <f t="shared" si="23"/>
        <v/>
      </c>
      <c r="T343" t="str">
        <f>IF(E343="","",E343*100000+COUNTIFS(tblRegistros[ID],E343,tblRegistros[Data],"&lt;"&amp;B343)+COUNTIFS(tblRegistros[ID],E343,tblRegistros[Data],B343,tblRegistros[Início],"&lt;"&amp;I343)+COUNTIFS($E$5:E343,E343,$B$5:B343,B343,$I$5:I343,I343))</f>
        <v/>
      </c>
    </row>
    <row r="344" spans="2:20">
      <c r="B344" s="2" t="str">
        <f>IFERROR(INT(INDEX(tblBatidas[Data e hora],MATCH("B"&amp;MID($A344,2,99),tblBatidas[Batida ID],0))),"")</f>
        <v/>
      </c>
      <c r="C344" t="str">
        <f t="shared" si="20"/>
        <v/>
      </c>
      <c r="D344" t="str">
        <f t="shared" si="21"/>
        <v/>
      </c>
      <c r="E344" t="str">
        <f>IFERROR(INDEX(tblBatidas[ID],MATCH("B"&amp;MID($A344,2,99),tblBatidas[Batida ID],0)),"")</f>
        <v/>
      </c>
      <c r="F344" t="str">
        <f>IFERROR(INDEX(tblPessoas[Pessoa],MATCH(E344,tblPessoas[ID],0)),"")</f>
        <v/>
      </c>
      <c r="G344" t="str">
        <f>IFERROR(INDEX(tblBatidas[Projeto],MATCH("B"&amp;MID($A344,2,99),tblBatidas[Batida ID],0)),"")</f>
        <v/>
      </c>
      <c r="H344" t="str">
        <f>IFERROR(INDEX(tblBatidas[Atividade],MATCH("B"&amp;MID($A344,2,99),tblBatidas[Batida ID],0)),"")</f>
        <v/>
      </c>
      <c r="I344" s="4" t="str">
        <f>IFERROR(MOD(INDEX(tblBatidas[Data e hora],MATCH("B"&amp;MID($A344,2,99),tblBatidas[Batida ID],0)),1),"")</f>
        <v/>
      </c>
      <c r="J344" s="4" t="str">
        <f>IFERROR(MOD(INDEX(tblBatidas[Data e hora],MATCH("B"&amp;MID($A344,2,99),tblBatidas[Início vinculado],0)),1),"")</f>
        <v/>
      </c>
      <c r="K344" s="14" t="str">
        <f>IFERROR((INDEX(tblBatidas[Data e hora],MATCH("B"&amp;MID($A344,2,99),tblBatidas[Início vinculado],0))-INDEX(tblBatidas[Data e hora],MATCH("B"&amp;MID($A344,2,99),tblBatidas[Batida ID],0)))*24,"")</f>
        <v/>
      </c>
      <c r="L344" t="str">
        <f>IFERROR(INDEX(tblBatidas[Observação],MATCH("B"&amp;MID($A344,2,99),tblBatidas[Início vinculado],0)),"")</f>
        <v/>
      </c>
      <c r="M344" t="str">
        <f>IFERROR(INDEX(tblPessoas[Base],MATCH(E344,tblPessoas[ID],0)),"")</f>
        <v/>
      </c>
      <c r="N344" s="3">
        <f>IFERROR(IF(D344="DIA ÚTIL",INDEX(tblPessoas[R$/h útil],MATCH(E344,tblPessoas[ID],0)),INDEX(tblPessoas[R$/h FDS],MATCH(E344,tblPessoas[ID],0))),0)</f>
        <v>0</v>
      </c>
      <c r="O344" s="3">
        <f>IFERROR(INDEX(tblPessoas[R$/diária],MATCH(E344,tblPessoas[ID],0)),0)</f>
        <v>0</v>
      </c>
      <c r="P344" s="3" t="str">
        <f t="shared" si="22"/>
        <v/>
      </c>
      <c r="Q344" t="str">
        <f>IF(A344="","",IF(COUNTIF(tblBatidas[Início vinculado],"B"&amp;MID($A344,2,99))=0,"EM ABERTO",IF(OR(COUNTIF(tblBatidas[Início vinculado],"B"&amp;MID($A344,2,99))&gt;1,K344&lt;0,K344&gt;16,INT(INDEX(tblBatidas[Data e hora],MATCH("B"&amp;MID($A344,2,99),tblBatidas[Início vinculado],0)))&lt;&gt;B344,INDEX(tblBatidas[ID],MATCH("B"&amp;MID($A344,2,99),tblBatidas[Início vinculado],0))&lt;&gt;E344,INDEX(tblBatidas[Projeto],MATCH("B"&amp;MID($A344,2,99),tblBatidas[Início vinculado],0))&lt;&gt;G344,INDEX(tblBatidas[Atividade],MATCH("B"&amp;MID($A344,2,99),tblBatidas[Início vinculado],0))&lt;&gt;H344),"REVISAR","CONCLUÍDO")))</f>
        <v/>
      </c>
      <c r="R344">
        <f>IF(Q344&lt;&gt;"CONCLUÍDO",0,IF(COUNTIFS($E$5:E344,E344,$B$5:B344,B344,$Q$5:Q344,"CONCLUÍDO")=1,1,0))</f>
        <v>0</v>
      </c>
      <c r="S344" t="str">
        <f t="shared" si="23"/>
        <v/>
      </c>
      <c r="T344" t="str">
        <f>IF(E344="","",E344*100000+COUNTIFS(tblRegistros[ID],E344,tblRegistros[Data],"&lt;"&amp;B344)+COUNTIFS(tblRegistros[ID],E344,tblRegistros[Data],B344,tblRegistros[Início],"&lt;"&amp;I344)+COUNTIFS($E$5:E344,E344,$B$5:B344,B344,$I$5:I344,I344))</f>
        <v/>
      </c>
    </row>
    <row r="345" spans="2:20">
      <c r="B345" s="2" t="str">
        <f>IFERROR(INT(INDEX(tblBatidas[Data e hora],MATCH("B"&amp;MID($A345,2,99),tblBatidas[Batida ID],0))),"")</f>
        <v/>
      </c>
      <c r="C345" t="str">
        <f t="shared" si="20"/>
        <v/>
      </c>
      <c r="D345" t="str">
        <f t="shared" si="21"/>
        <v/>
      </c>
      <c r="E345" t="str">
        <f>IFERROR(INDEX(tblBatidas[ID],MATCH("B"&amp;MID($A345,2,99),tblBatidas[Batida ID],0)),"")</f>
        <v/>
      </c>
      <c r="F345" t="str">
        <f>IFERROR(INDEX(tblPessoas[Pessoa],MATCH(E345,tblPessoas[ID],0)),"")</f>
        <v/>
      </c>
      <c r="G345" t="str">
        <f>IFERROR(INDEX(tblBatidas[Projeto],MATCH("B"&amp;MID($A345,2,99),tblBatidas[Batida ID],0)),"")</f>
        <v/>
      </c>
      <c r="H345" t="str">
        <f>IFERROR(INDEX(tblBatidas[Atividade],MATCH("B"&amp;MID($A345,2,99),tblBatidas[Batida ID],0)),"")</f>
        <v/>
      </c>
      <c r="I345" s="4" t="str">
        <f>IFERROR(MOD(INDEX(tblBatidas[Data e hora],MATCH("B"&amp;MID($A345,2,99),tblBatidas[Batida ID],0)),1),"")</f>
        <v/>
      </c>
      <c r="J345" s="4" t="str">
        <f>IFERROR(MOD(INDEX(tblBatidas[Data e hora],MATCH("B"&amp;MID($A345,2,99),tblBatidas[Início vinculado],0)),1),"")</f>
        <v/>
      </c>
      <c r="K345" s="14" t="str">
        <f>IFERROR((INDEX(tblBatidas[Data e hora],MATCH("B"&amp;MID($A345,2,99),tblBatidas[Início vinculado],0))-INDEX(tblBatidas[Data e hora],MATCH("B"&amp;MID($A345,2,99),tblBatidas[Batida ID],0)))*24,"")</f>
        <v/>
      </c>
      <c r="L345" t="str">
        <f>IFERROR(INDEX(tblBatidas[Observação],MATCH("B"&amp;MID($A345,2,99),tblBatidas[Início vinculado],0)),"")</f>
        <v/>
      </c>
      <c r="M345" t="str">
        <f>IFERROR(INDEX(tblPessoas[Base],MATCH(E345,tblPessoas[ID],0)),"")</f>
        <v/>
      </c>
      <c r="N345" s="3">
        <f>IFERROR(IF(D345="DIA ÚTIL",INDEX(tblPessoas[R$/h útil],MATCH(E345,tblPessoas[ID],0)),INDEX(tblPessoas[R$/h FDS],MATCH(E345,tblPessoas[ID],0))),0)</f>
        <v>0</v>
      </c>
      <c r="O345" s="3">
        <f>IFERROR(INDEX(tblPessoas[R$/diária],MATCH(E345,tblPessoas[ID],0)),0)</f>
        <v>0</v>
      </c>
      <c r="P345" s="3" t="str">
        <f t="shared" si="22"/>
        <v/>
      </c>
      <c r="Q345" t="str">
        <f>IF(A345="","",IF(COUNTIF(tblBatidas[Início vinculado],"B"&amp;MID($A345,2,99))=0,"EM ABERTO",IF(OR(COUNTIF(tblBatidas[Início vinculado],"B"&amp;MID($A345,2,99))&gt;1,K345&lt;0,K345&gt;16,INT(INDEX(tblBatidas[Data e hora],MATCH("B"&amp;MID($A345,2,99),tblBatidas[Início vinculado],0)))&lt;&gt;B345,INDEX(tblBatidas[ID],MATCH("B"&amp;MID($A345,2,99),tblBatidas[Início vinculado],0))&lt;&gt;E345,INDEX(tblBatidas[Projeto],MATCH("B"&amp;MID($A345,2,99),tblBatidas[Início vinculado],0))&lt;&gt;G345,INDEX(tblBatidas[Atividade],MATCH("B"&amp;MID($A345,2,99),tblBatidas[Início vinculado],0))&lt;&gt;H345),"REVISAR","CONCLUÍDO")))</f>
        <v/>
      </c>
      <c r="R345">
        <f>IF(Q345&lt;&gt;"CONCLUÍDO",0,IF(COUNTIFS($E$5:E345,E345,$B$5:B345,B345,$Q$5:Q345,"CONCLUÍDO")=1,1,0))</f>
        <v>0</v>
      </c>
      <c r="S345" t="str">
        <f t="shared" si="23"/>
        <v/>
      </c>
      <c r="T345" t="str">
        <f>IF(E345="","",E345*100000+COUNTIFS(tblRegistros[ID],E345,tblRegistros[Data],"&lt;"&amp;B345)+COUNTIFS(tblRegistros[ID],E345,tblRegistros[Data],B345,tblRegistros[Início],"&lt;"&amp;I345)+COUNTIFS($E$5:E345,E345,$B$5:B345,B345,$I$5:I345,I345))</f>
        <v/>
      </c>
    </row>
    <row r="346" spans="2:20">
      <c r="B346" s="2" t="str">
        <f>IFERROR(INT(INDEX(tblBatidas[Data e hora],MATCH("B"&amp;MID($A346,2,99),tblBatidas[Batida ID],0))),"")</f>
        <v/>
      </c>
      <c r="C346" t="str">
        <f t="shared" si="20"/>
        <v/>
      </c>
      <c r="D346" t="str">
        <f t="shared" si="21"/>
        <v/>
      </c>
      <c r="E346" t="str">
        <f>IFERROR(INDEX(tblBatidas[ID],MATCH("B"&amp;MID($A346,2,99),tblBatidas[Batida ID],0)),"")</f>
        <v/>
      </c>
      <c r="F346" t="str">
        <f>IFERROR(INDEX(tblPessoas[Pessoa],MATCH(E346,tblPessoas[ID],0)),"")</f>
        <v/>
      </c>
      <c r="G346" t="str">
        <f>IFERROR(INDEX(tblBatidas[Projeto],MATCH("B"&amp;MID($A346,2,99),tblBatidas[Batida ID],0)),"")</f>
        <v/>
      </c>
      <c r="H346" t="str">
        <f>IFERROR(INDEX(tblBatidas[Atividade],MATCH("B"&amp;MID($A346,2,99),tblBatidas[Batida ID],0)),"")</f>
        <v/>
      </c>
      <c r="I346" s="4" t="str">
        <f>IFERROR(MOD(INDEX(tblBatidas[Data e hora],MATCH("B"&amp;MID($A346,2,99),tblBatidas[Batida ID],0)),1),"")</f>
        <v/>
      </c>
      <c r="J346" s="4" t="str">
        <f>IFERROR(MOD(INDEX(tblBatidas[Data e hora],MATCH("B"&amp;MID($A346,2,99),tblBatidas[Início vinculado],0)),1),"")</f>
        <v/>
      </c>
      <c r="K346" s="14" t="str">
        <f>IFERROR((INDEX(tblBatidas[Data e hora],MATCH("B"&amp;MID($A346,2,99),tblBatidas[Início vinculado],0))-INDEX(tblBatidas[Data e hora],MATCH("B"&amp;MID($A346,2,99),tblBatidas[Batida ID],0)))*24,"")</f>
        <v/>
      </c>
      <c r="L346" t="str">
        <f>IFERROR(INDEX(tblBatidas[Observação],MATCH("B"&amp;MID($A346,2,99),tblBatidas[Início vinculado],0)),"")</f>
        <v/>
      </c>
      <c r="M346" t="str">
        <f>IFERROR(INDEX(tblPessoas[Base],MATCH(E346,tblPessoas[ID],0)),"")</f>
        <v/>
      </c>
      <c r="N346" s="3">
        <f>IFERROR(IF(D346="DIA ÚTIL",INDEX(tblPessoas[R$/h útil],MATCH(E346,tblPessoas[ID],0)),INDEX(tblPessoas[R$/h FDS],MATCH(E346,tblPessoas[ID],0))),0)</f>
        <v>0</v>
      </c>
      <c r="O346" s="3">
        <f>IFERROR(INDEX(tblPessoas[R$/diária],MATCH(E346,tblPessoas[ID],0)),0)</f>
        <v>0</v>
      </c>
      <c r="P346" s="3" t="str">
        <f t="shared" si="22"/>
        <v/>
      </c>
      <c r="Q346" t="str">
        <f>IF(A346="","",IF(COUNTIF(tblBatidas[Início vinculado],"B"&amp;MID($A346,2,99))=0,"EM ABERTO",IF(OR(COUNTIF(tblBatidas[Início vinculado],"B"&amp;MID($A346,2,99))&gt;1,K346&lt;0,K346&gt;16,INT(INDEX(tblBatidas[Data e hora],MATCH("B"&amp;MID($A346,2,99),tblBatidas[Início vinculado],0)))&lt;&gt;B346,INDEX(tblBatidas[ID],MATCH("B"&amp;MID($A346,2,99),tblBatidas[Início vinculado],0))&lt;&gt;E346,INDEX(tblBatidas[Projeto],MATCH("B"&amp;MID($A346,2,99),tblBatidas[Início vinculado],0))&lt;&gt;G346,INDEX(tblBatidas[Atividade],MATCH("B"&amp;MID($A346,2,99),tblBatidas[Início vinculado],0))&lt;&gt;H346),"REVISAR","CONCLUÍDO")))</f>
        <v/>
      </c>
      <c r="R346">
        <f>IF(Q346&lt;&gt;"CONCLUÍDO",0,IF(COUNTIFS($E$5:E346,E346,$B$5:B346,B346,$Q$5:Q346,"CONCLUÍDO")=1,1,0))</f>
        <v>0</v>
      </c>
      <c r="S346" t="str">
        <f t="shared" si="23"/>
        <v/>
      </c>
      <c r="T346" t="str">
        <f>IF(E346="","",E346*100000+COUNTIFS(tblRegistros[ID],E346,tblRegistros[Data],"&lt;"&amp;B346)+COUNTIFS(tblRegistros[ID],E346,tblRegistros[Data],B346,tblRegistros[Início],"&lt;"&amp;I346)+COUNTIFS($E$5:E346,E346,$B$5:B346,B346,$I$5:I346,I346))</f>
        <v/>
      </c>
    </row>
    <row r="347" spans="2:20">
      <c r="B347" s="2" t="str">
        <f>IFERROR(INT(INDEX(tblBatidas[Data e hora],MATCH("B"&amp;MID($A347,2,99),tblBatidas[Batida ID],0))),"")</f>
        <v/>
      </c>
      <c r="C347" t="str">
        <f t="shared" si="20"/>
        <v/>
      </c>
      <c r="D347" t="str">
        <f t="shared" si="21"/>
        <v/>
      </c>
      <c r="E347" t="str">
        <f>IFERROR(INDEX(tblBatidas[ID],MATCH("B"&amp;MID($A347,2,99),tblBatidas[Batida ID],0)),"")</f>
        <v/>
      </c>
      <c r="F347" t="str">
        <f>IFERROR(INDEX(tblPessoas[Pessoa],MATCH(E347,tblPessoas[ID],0)),"")</f>
        <v/>
      </c>
      <c r="G347" t="str">
        <f>IFERROR(INDEX(tblBatidas[Projeto],MATCH("B"&amp;MID($A347,2,99),tblBatidas[Batida ID],0)),"")</f>
        <v/>
      </c>
      <c r="H347" t="str">
        <f>IFERROR(INDEX(tblBatidas[Atividade],MATCH("B"&amp;MID($A347,2,99),tblBatidas[Batida ID],0)),"")</f>
        <v/>
      </c>
      <c r="I347" s="4" t="str">
        <f>IFERROR(MOD(INDEX(tblBatidas[Data e hora],MATCH("B"&amp;MID($A347,2,99),tblBatidas[Batida ID],0)),1),"")</f>
        <v/>
      </c>
      <c r="J347" s="4" t="str">
        <f>IFERROR(MOD(INDEX(tblBatidas[Data e hora],MATCH("B"&amp;MID($A347,2,99),tblBatidas[Início vinculado],0)),1),"")</f>
        <v/>
      </c>
      <c r="K347" s="14" t="str">
        <f>IFERROR((INDEX(tblBatidas[Data e hora],MATCH("B"&amp;MID($A347,2,99),tblBatidas[Início vinculado],0))-INDEX(tblBatidas[Data e hora],MATCH("B"&amp;MID($A347,2,99),tblBatidas[Batida ID],0)))*24,"")</f>
        <v/>
      </c>
      <c r="L347" t="str">
        <f>IFERROR(INDEX(tblBatidas[Observação],MATCH("B"&amp;MID($A347,2,99),tblBatidas[Início vinculado],0)),"")</f>
        <v/>
      </c>
      <c r="M347" t="str">
        <f>IFERROR(INDEX(tblPessoas[Base],MATCH(E347,tblPessoas[ID],0)),"")</f>
        <v/>
      </c>
      <c r="N347" s="3">
        <f>IFERROR(IF(D347="DIA ÚTIL",INDEX(tblPessoas[R$/h útil],MATCH(E347,tblPessoas[ID],0)),INDEX(tblPessoas[R$/h FDS],MATCH(E347,tblPessoas[ID],0))),0)</f>
        <v>0</v>
      </c>
      <c r="O347" s="3">
        <f>IFERROR(INDEX(tblPessoas[R$/diária],MATCH(E347,tblPessoas[ID],0)),0)</f>
        <v>0</v>
      </c>
      <c r="P347" s="3" t="str">
        <f t="shared" si="22"/>
        <v/>
      </c>
      <c r="Q347" t="str">
        <f>IF(A347="","",IF(COUNTIF(tblBatidas[Início vinculado],"B"&amp;MID($A347,2,99))=0,"EM ABERTO",IF(OR(COUNTIF(tblBatidas[Início vinculado],"B"&amp;MID($A347,2,99))&gt;1,K347&lt;0,K347&gt;16,INT(INDEX(tblBatidas[Data e hora],MATCH("B"&amp;MID($A347,2,99),tblBatidas[Início vinculado],0)))&lt;&gt;B347,INDEX(tblBatidas[ID],MATCH("B"&amp;MID($A347,2,99),tblBatidas[Início vinculado],0))&lt;&gt;E347,INDEX(tblBatidas[Projeto],MATCH("B"&amp;MID($A347,2,99),tblBatidas[Início vinculado],0))&lt;&gt;G347,INDEX(tblBatidas[Atividade],MATCH("B"&amp;MID($A347,2,99),tblBatidas[Início vinculado],0))&lt;&gt;H347),"REVISAR","CONCLUÍDO")))</f>
        <v/>
      </c>
      <c r="R347">
        <f>IF(Q347&lt;&gt;"CONCLUÍDO",0,IF(COUNTIFS($E$5:E347,E347,$B$5:B347,B347,$Q$5:Q347,"CONCLUÍDO")=1,1,0))</f>
        <v>0</v>
      </c>
      <c r="S347" t="str">
        <f t="shared" si="23"/>
        <v/>
      </c>
      <c r="T347" t="str">
        <f>IF(E347="","",E347*100000+COUNTIFS(tblRegistros[ID],E347,tblRegistros[Data],"&lt;"&amp;B347)+COUNTIFS(tblRegistros[ID],E347,tblRegistros[Data],B347,tblRegistros[Início],"&lt;"&amp;I347)+COUNTIFS($E$5:E347,E347,$B$5:B347,B347,$I$5:I347,I347))</f>
        <v/>
      </c>
    </row>
    <row r="348" spans="2:20">
      <c r="B348" s="2" t="str">
        <f>IFERROR(INT(INDEX(tblBatidas[Data e hora],MATCH("B"&amp;MID($A348,2,99),tblBatidas[Batida ID],0))),"")</f>
        <v/>
      </c>
      <c r="C348" t="str">
        <f t="shared" si="20"/>
        <v/>
      </c>
      <c r="D348" t="str">
        <f t="shared" si="21"/>
        <v/>
      </c>
      <c r="E348" t="str">
        <f>IFERROR(INDEX(tblBatidas[ID],MATCH("B"&amp;MID($A348,2,99),tblBatidas[Batida ID],0)),"")</f>
        <v/>
      </c>
      <c r="F348" t="str">
        <f>IFERROR(INDEX(tblPessoas[Pessoa],MATCH(E348,tblPessoas[ID],0)),"")</f>
        <v/>
      </c>
      <c r="G348" t="str">
        <f>IFERROR(INDEX(tblBatidas[Projeto],MATCH("B"&amp;MID($A348,2,99),tblBatidas[Batida ID],0)),"")</f>
        <v/>
      </c>
      <c r="H348" t="str">
        <f>IFERROR(INDEX(tblBatidas[Atividade],MATCH("B"&amp;MID($A348,2,99),tblBatidas[Batida ID],0)),"")</f>
        <v/>
      </c>
      <c r="I348" s="4" t="str">
        <f>IFERROR(MOD(INDEX(tblBatidas[Data e hora],MATCH("B"&amp;MID($A348,2,99),tblBatidas[Batida ID],0)),1),"")</f>
        <v/>
      </c>
      <c r="J348" s="4" t="str">
        <f>IFERROR(MOD(INDEX(tblBatidas[Data e hora],MATCH("B"&amp;MID($A348,2,99),tblBatidas[Início vinculado],0)),1),"")</f>
        <v/>
      </c>
      <c r="K348" s="14" t="str">
        <f>IFERROR((INDEX(tblBatidas[Data e hora],MATCH("B"&amp;MID($A348,2,99),tblBatidas[Início vinculado],0))-INDEX(tblBatidas[Data e hora],MATCH("B"&amp;MID($A348,2,99),tblBatidas[Batida ID],0)))*24,"")</f>
        <v/>
      </c>
      <c r="L348" t="str">
        <f>IFERROR(INDEX(tblBatidas[Observação],MATCH("B"&amp;MID($A348,2,99),tblBatidas[Início vinculado],0)),"")</f>
        <v/>
      </c>
      <c r="M348" t="str">
        <f>IFERROR(INDEX(tblPessoas[Base],MATCH(E348,tblPessoas[ID],0)),"")</f>
        <v/>
      </c>
      <c r="N348" s="3">
        <f>IFERROR(IF(D348="DIA ÚTIL",INDEX(tblPessoas[R$/h útil],MATCH(E348,tblPessoas[ID],0)),INDEX(tblPessoas[R$/h FDS],MATCH(E348,tblPessoas[ID],0))),0)</f>
        <v>0</v>
      </c>
      <c r="O348" s="3">
        <f>IFERROR(INDEX(tblPessoas[R$/diária],MATCH(E348,tblPessoas[ID],0)),0)</f>
        <v>0</v>
      </c>
      <c r="P348" s="3" t="str">
        <f t="shared" si="22"/>
        <v/>
      </c>
      <c r="Q348" t="str">
        <f>IF(A348="","",IF(COUNTIF(tblBatidas[Início vinculado],"B"&amp;MID($A348,2,99))=0,"EM ABERTO",IF(OR(COUNTIF(tblBatidas[Início vinculado],"B"&amp;MID($A348,2,99))&gt;1,K348&lt;0,K348&gt;16,INT(INDEX(tblBatidas[Data e hora],MATCH("B"&amp;MID($A348,2,99),tblBatidas[Início vinculado],0)))&lt;&gt;B348,INDEX(tblBatidas[ID],MATCH("B"&amp;MID($A348,2,99),tblBatidas[Início vinculado],0))&lt;&gt;E348,INDEX(tblBatidas[Projeto],MATCH("B"&amp;MID($A348,2,99),tblBatidas[Início vinculado],0))&lt;&gt;G348,INDEX(tblBatidas[Atividade],MATCH("B"&amp;MID($A348,2,99),tblBatidas[Início vinculado],0))&lt;&gt;H348),"REVISAR","CONCLUÍDO")))</f>
        <v/>
      </c>
      <c r="R348">
        <f>IF(Q348&lt;&gt;"CONCLUÍDO",0,IF(COUNTIFS($E$5:E348,E348,$B$5:B348,B348,$Q$5:Q348,"CONCLUÍDO")=1,1,0))</f>
        <v>0</v>
      </c>
      <c r="S348" t="str">
        <f t="shared" si="23"/>
        <v/>
      </c>
      <c r="T348" t="str">
        <f>IF(E348="","",E348*100000+COUNTIFS(tblRegistros[ID],E348,tblRegistros[Data],"&lt;"&amp;B348)+COUNTIFS(tblRegistros[ID],E348,tblRegistros[Data],B348,tblRegistros[Início],"&lt;"&amp;I348)+COUNTIFS($E$5:E348,E348,$B$5:B348,B348,$I$5:I348,I348))</f>
        <v/>
      </c>
    </row>
    <row r="349" spans="2:20">
      <c r="B349" s="2" t="str">
        <f>IFERROR(INT(INDEX(tblBatidas[Data e hora],MATCH("B"&amp;MID($A349,2,99),tblBatidas[Batida ID],0))),"")</f>
        <v/>
      </c>
      <c r="C349" t="str">
        <f t="shared" si="20"/>
        <v/>
      </c>
      <c r="D349" t="str">
        <f t="shared" si="21"/>
        <v/>
      </c>
      <c r="E349" t="str">
        <f>IFERROR(INDEX(tblBatidas[ID],MATCH("B"&amp;MID($A349,2,99),tblBatidas[Batida ID],0)),"")</f>
        <v/>
      </c>
      <c r="F349" t="str">
        <f>IFERROR(INDEX(tblPessoas[Pessoa],MATCH(E349,tblPessoas[ID],0)),"")</f>
        <v/>
      </c>
      <c r="G349" t="str">
        <f>IFERROR(INDEX(tblBatidas[Projeto],MATCH("B"&amp;MID($A349,2,99),tblBatidas[Batida ID],0)),"")</f>
        <v/>
      </c>
      <c r="H349" t="str">
        <f>IFERROR(INDEX(tblBatidas[Atividade],MATCH("B"&amp;MID($A349,2,99),tblBatidas[Batida ID],0)),"")</f>
        <v/>
      </c>
      <c r="I349" s="4" t="str">
        <f>IFERROR(MOD(INDEX(tblBatidas[Data e hora],MATCH("B"&amp;MID($A349,2,99),tblBatidas[Batida ID],0)),1),"")</f>
        <v/>
      </c>
      <c r="J349" s="4" t="str">
        <f>IFERROR(MOD(INDEX(tblBatidas[Data e hora],MATCH("B"&amp;MID($A349,2,99),tblBatidas[Início vinculado],0)),1),"")</f>
        <v/>
      </c>
      <c r="K349" s="14" t="str">
        <f>IFERROR((INDEX(tblBatidas[Data e hora],MATCH("B"&amp;MID($A349,2,99),tblBatidas[Início vinculado],0))-INDEX(tblBatidas[Data e hora],MATCH("B"&amp;MID($A349,2,99),tblBatidas[Batida ID],0)))*24,"")</f>
        <v/>
      </c>
      <c r="L349" t="str">
        <f>IFERROR(INDEX(tblBatidas[Observação],MATCH("B"&amp;MID($A349,2,99),tblBatidas[Início vinculado],0)),"")</f>
        <v/>
      </c>
      <c r="M349" t="str">
        <f>IFERROR(INDEX(tblPessoas[Base],MATCH(E349,tblPessoas[ID],0)),"")</f>
        <v/>
      </c>
      <c r="N349" s="3">
        <f>IFERROR(IF(D349="DIA ÚTIL",INDEX(tblPessoas[R$/h útil],MATCH(E349,tblPessoas[ID],0)),INDEX(tblPessoas[R$/h FDS],MATCH(E349,tblPessoas[ID],0))),0)</f>
        <v>0</v>
      </c>
      <c r="O349" s="3">
        <f>IFERROR(INDEX(tblPessoas[R$/diária],MATCH(E349,tblPessoas[ID],0)),0)</f>
        <v>0</v>
      </c>
      <c r="P349" s="3" t="str">
        <f t="shared" si="22"/>
        <v/>
      </c>
      <c r="Q349" t="str">
        <f>IF(A349="","",IF(COUNTIF(tblBatidas[Início vinculado],"B"&amp;MID($A349,2,99))=0,"EM ABERTO",IF(OR(COUNTIF(tblBatidas[Início vinculado],"B"&amp;MID($A349,2,99))&gt;1,K349&lt;0,K349&gt;16,INT(INDEX(tblBatidas[Data e hora],MATCH("B"&amp;MID($A349,2,99),tblBatidas[Início vinculado],0)))&lt;&gt;B349,INDEX(tblBatidas[ID],MATCH("B"&amp;MID($A349,2,99),tblBatidas[Início vinculado],0))&lt;&gt;E349,INDEX(tblBatidas[Projeto],MATCH("B"&amp;MID($A349,2,99),tblBatidas[Início vinculado],0))&lt;&gt;G349,INDEX(tblBatidas[Atividade],MATCH("B"&amp;MID($A349,2,99),tblBatidas[Início vinculado],0))&lt;&gt;H349),"REVISAR","CONCLUÍDO")))</f>
        <v/>
      </c>
      <c r="R349">
        <f>IF(Q349&lt;&gt;"CONCLUÍDO",0,IF(COUNTIFS($E$5:E349,E349,$B$5:B349,B349,$Q$5:Q349,"CONCLUÍDO")=1,1,0))</f>
        <v>0</v>
      </c>
      <c r="S349" t="str">
        <f t="shared" si="23"/>
        <v/>
      </c>
      <c r="T349" t="str">
        <f>IF(E349="","",E349*100000+COUNTIFS(tblRegistros[ID],E349,tblRegistros[Data],"&lt;"&amp;B349)+COUNTIFS(tblRegistros[ID],E349,tblRegistros[Data],B349,tblRegistros[Início],"&lt;"&amp;I349)+COUNTIFS($E$5:E349,E349,$B$5:B349,B349,$I$5:I349,I349))</f>
        <v/>
      </c>
    </row>
    <row r="350" spans="2:20">
      <c r="B350" s="2" t="str">
        <f>IFERROR(INT(INDEX(tblBatidas[Data e hora],MATCH("B"&amp;MID($A350,2,99),tblBatidas[Batida ID],0))),"")</f>
        <v/>
      </c>
      <c r="C350" t="str">
        <f t="shared" si="20"/>
        <v/>
      </c>
      <c r="D350" t="str">
        <f t="shared" si="21"/>
        <v/>
      </c>
      <c r="E350" t="str">
        <f>IFERROR(INDEX(tblBatidas[ID],MATCH("B"&amp;MID($A350,2,99),tblBatidas[Batida ID],0)),"")</f>
        <v/>
      </c>
      <c r="F350" t="str">
        <f>IFERROR(INDEX(tblPessoas[Pessoa],MATCH(E350,tblPessoas[ID],0)),"")</f>
        <v/>
      </c>
      <c r="G350" t="str">
        <f>IFERROR(INDEX(tblBatidas[Projeto],MATCH("B"&amp;MID($A350,2,99),tblBatidas[Batida ID],0)),"")</f>
        <v/>
      </c>
      <c r="H350" t="str">
        <f>IFERROR(INDEX(tblBatidas[Atividade],MATCH("B"&amp;MID($A350,2,99),tblBatidas[Batida ID],0)),"")</f>
        <v/>
      </c>
      <c r="I350" s="4" t="str">
        <f>IFERROR(MOD(INDEX(tblBatidas[Data e hora],MATCH("B"&amp;MID($A350,2,99),tblBatidas[Batida ID],0)),1),"")</f>
        <v/>
      </c>
      <c r="J350" s="4" t="str">
        <f>IFERROR(MOD(INDEX(tblBatidas[Data e hora],MATCH("B"&amp;MID($A350,2,99),tblBatidas[Início vinculado],0)),1),"")</f>
        <v/>
      </c>
      <c r="K350" s="14" t="str">
        <f>IFERROR((INDEX(tblBatidas[Data e hora],MATCH("B"&amp;MID($A350,2,99),tblBatidas[Início vinculado],0))-INDEX(tblBatidas[Data e hora],MATCH("B"&amp;MID($A350,2,99),tblBatidas[Batida ID],0)))*24,"")</f>
        <v/>
      </c>
      <c r="L350" t="str">
        <f>IFERROR(INDEX(tblBatidas[Observação],MATCH("B"&amp;MID($A350,2,99),tblBatidas[Início vinculado],0)),"")</f>
        <v/>
      </c>
      <c r="M350" t="str">
        <f>IFERROR(INDEX(tblPessoas[Base],MATCH(E350,tblPessoas[ID],0)),"")</f>
        <v/>
      </c>
      <c r="N350" s="3">
        <f>IFERROR(IF(D350="DIA ÚTIL",INDEX(tblPessoas[R$/h útil],MATCH(E350,tblPessoas[ID],0)),INDEX(tblPessoas[R$/h FDS],MATCH(E350,tblPessoas[ID],0))),0)</f>
        <v>0</v>
      </c>
      <c r="O350" s="3">
        <f>IFERROR(INDEX(tblPessoas[R$/diária],MATCH(E350,tblPessoas[ID],0)),0)</f>
        <v>0</v>
      </c>
      <c r="P350" s="3" t="str">
        <f t="shared" si="22"/>
        <v/>
      </c>
      <c r="Q350" t="str">
        <f>IF(A350="","",IF(COUNTIF(tblBatidas[Início vinculado],"B"&amp;MID($A350,2,99))=0,"EM ABERTO",IF(OR(COUNTIF(tblBatidas[Início vinculado],"B"&amp;MID($A350,2,99))&gt;1,K350&lt;0,K350&gt;16,INT(INDEX(tblBatidas[Data e hora],MATCH("B"&amp;MID($A350,2,99),tblBatidas[Início vinculado],0)))&lt;&gt;B350,INDEX(tblBatidas[ID],MATCH("B"&amp;MID($A350,2,99),tblBatidas[Início vinculado],0))&lt;&gt;E350,INDEX(tblBatidas[Projeto],MATCH("B"&amp;MID($A350,2,99),tblBatidas[Início vinculado],0))&lt;&gt;G350,INDEX(tblBatidas[Atividade],MATCH("B"&amp;MID($A350,2,99),tblBatidas[Início vinculado],0))&lt;&gt;H350),"REVISAR","CONCLUÍDO")))</f>
        <v/>
      </c>
      <c r="R350">
        <f>IF(Q350&lt;&gt;"CONCLUÍDO",0,IF(COUNTIFS($E$5:E350,E350,$B$5:B350,B350,$Q$5:Q350,"CONCLUÍDO")=1,1,0))</f>
        <v>0</v>
      </c>
      <c r="S350" t="str">
        <f t="shared" si="23"/>
        <v/>
      </c>
      <c r="T350" t="str">
        <f>IF(E350="","",E350*100000+COUNTIFS(tblRegistros[ID],E350,tblRegistros[Data],"&lt;"&amp;B350)+COUNTIFS(tblRegistros[ID],E350,tblRegistros[Data],B350,tblRegistros[Início],"&lt;"&amp;I350)+COUNTIFS($E$5:E350,E350,$B$5:B350,B350,$I$5:I350,I350))</f>
        <v/>
      </c>
    </row>
    <row r="351" spans="2:20">
      <c r="B351" s="2" t="str">
        <f>IFERROR(INT(INDEX(tblBatidas[Data e hora],MATCH("B"&amp;MID($A351,2,99),tblBatidas[Batida ID],0))),"")</f>
        <v/>
      </c>
      <c r="C351" t="str">
        <f t="shared" si="20"/>
        <v/>
      </c>
      <c r="D351" t="str">
        <f t="shared" si="21"/>
        <v/>
      </c>
      <c r="E351" t="str">
        <f>IFERROR(INDEX(tblBatidas[ID],MATCH("B"&amp;MID($A351,2,99),tblBatidas[Batida ID],0)),"")</f>
        <v/>
      </c>
      <c r="F351" t="str">
        <f>IFERROR(INDEX(tblPessoas[Pessoa],MATCH(E351,tblPessoas[ID],0)),"")</f>
        <v/>
      </c>
      <c r="G351" t="str">
        <f>IFERROR(INDEX(tblBatidas[Projeto],MATCH("B"&amp;MID($A351,2,99),tblBatidas[Batida ID],0)),"")</f>
        <v/>
      </c>
      <c r="H351" t="str">
        <f>IFERROR(INDEX(tblBatidas[Atividade],MATCH("B"&amp;MID($A351,2,99),tblBatidas[Batida ID],0)),"")</f>
        <v/>
      </c>
      <c r="I351" s="4" t="str">
        <f>IFERROR(MOD(INDEX(tblBatidas[Data e hora],MATCH("B"&amp;MID($A351,2,99),tblBatidas[Batida ID],0)),1),"")</f>
        <v/>
      </c>
      <c r="J351" s="4" t="str">
        <f>IFERROR(MOD(INDEX(tblBatidas[Data e hora],MATCH("B"&amp;MID($A351,2,99),tblBatidas[Início vinculado],0)),1),"")</f>
        <v/>
      </c>
      <c r="K351" s="14" t="str">
        <f>IFERROR((INDEX(tblBatidas[Data e hora],MATCH("B"&amp;MID($A351,2,99),tblBatidas[Início vinculado],0))-INDEX(tblBatidas[Data e hora],MATCH("B"&amp;MID($A351,2,99),tblBatidas[Batida ID],0)))*24,"")</f>
        <v/>
      </c>
      <c r="L351" t="str">
        <f>IFERROR(INDEX(tblBatidas[Observação],MATCH("B"&amp;MID($A351,2,99),tblBatidas[Início vinculado],0)),"")</f>
        <v/>
      </c>
      <c r="M351" t="str">
        <f>IFERROR(INDEX(tblPessoas[Base],MATCH(E351,tblPessoas[ID],0)),"")</f>
        <v/>
      </c>
      <c r="N351" s="3">
        <f>IFERROR(IF(D351="DIA ÚTIL",INDEX(tblPessoas[R$/h útil],MATCH(E351,tblPessoas[ID],0)),INDEX(tblPessoas[R$/h FDS],MATCH(E351,tblPessoas[ID],0))),0)</f>
        <v>0</v>
      </c>
      <c r="O351" s="3">
        <f>IFERROR(INDEX(tblPessoas[R$/diária],MATCH(E351,tblPessoas[ID],0)),0)</f>
        <v>0</v>
      </c>
      <c r="P351" s="3" t="str">
        <f t="shared" si="22"/>
        <v/>
      </c>
      <c r="Q351" t="str">
        <f>IF(A351="","",IF(COUNTIF(tblBatidas[Início vinculado],"B"&amp;MID($A351,2,99))=0,"EM ABERTO",IF(OR(COUNTIF(tblBatidas[Início vinculado],"B"&amp;MID($A351,2,99))&gt;1,K351&lt;0,K351&gt;16,INT(INDEX(tblBatidas[Data e hora],MATCH("B"&amp;MID($A351,2,99),tblBatidas[Início vinculado],0)))&lt;&gt;B351,INDEX(tblBatidas[ID],MATCH("B"&amp;MID($A351,2,99),tblBatidas[Início vinculado],0))&lt;&gt;E351,INDEX(tblBatidas[Projeto],MATCH("B"&amp;MID($A351,2,99),tblBatidas[Início vinculado],0))&lt;&gt;G351,INDEX(tblBatidas[Atividade],MATCH("B"&amp;MID($A351,2,99),tblBatidas[Início vinculado],0))&lt;&gt;H351),"REVISAR","CONCLUÍDO")))</f>
        <v/>
      </c>
      <c r="R351">
        <f>IF(Q351&lt;&gt;"CONCLUÍDO",0,IF(COUNTIFS($E$5:E351,E351,$B$5:B351,B351,$Q$5:Q351,"CONCLUÍDO")=1,1,0))</f>
        <v>0</v>
      </c>
      <c r="S351" t="str">
        <f t="shared" si="23"/>
        <v/>
      </c>
      <c r="T351" t="str">
        <f>IF(E351="","",E351*100000+COUNTIFS(tblRegistros[ID],E351,tblRegistros[Data],"&lt;"&amp;B351)+COUNTIFS(tblRegistros[ID],E351,tblRegistros[Data],B351,tblRegistros[Início],"&lt;"&amp;I351)+COUNTIFS($E$5:E351,E351,$B$5:B351,B351,$I$5:I351,I351))</f>
        <v/>
      </c>
    </row>
    <row r="352" spans="2:20">
      <c r="B352" s="2" t="str">
        <f>IFERROR(INT(INDEX(tblBatidas[Data e hora],MATCH("B"&amp;MID($A352,2,99),tblBatidas[Batida ID],0))),"")</f>
        <v/>
      </c>
      <c r="C352" t="str">
        <f t="shared" si="20"/>
        <v/>
      </c>
      <c r="D352" t="str">
        <f t="shared" si="21"/>
        <v/>
      </c>
      <c r="E352" t="str">
        <f>IFERROR(INDEX(tblBatidas[ID],MATCH("B"&amp;MID($A352,2,99),tblBatidas[Batida ID],0)),"")</f>
        <v/>
      </c>
      <c r="F352" t="str">
        <f>IFERROR(INDEX(tblPessoas[Pessoa],MATCH(E352,tblPessoas[ID],0)),"")</f>
        <v/>
      </c>
      <c r="G352" t="str">
        <f>IFERROR(INDEX(tblBatidas[Projeto],MATCH("B"&amp;MID($A352,2,99),tblBatidas[Batida ID],0)),"")</f>
        <v/>
      </c>
      <c r="H352" t="str">
        <f>IFERROR(INDEX(tblBatidas[Atividade],MATCH("B"&amp;MID($A352,2,99),tblBatidas[Batida ID],0)),"")</f>
        <v/>
      </c>
      <c r="I352" s="4" t="str">
        <f>IFERROR(MOD(INDEX(tblBatidas[Data e hora],MATCH("B"&amp;MID($A352,2,99),tblBatidas[Batida ID],0)),1),"")</f>
        <v/>
      </c>
      <c r="J352" s="4" t="str">
        <f>IFERROR(MOD(INDEX(tblBatidas[Data e hora],MATCH("B"&amp;MID($A352,2,99),tblBatidas[Início vinculado],0)),1),"")</f>
        <v/>
      </c>
      <c r="K352" s="14" t="str">
        <f>IFERROR((INDEX(tblBatidas[Data e hora],MATCH("B"&amp;MID($A352,2,99),tblBatidas[Início vinculado],0))-INDEX(tblBatidas[Data e hora],MATCH("B"&amp;MID($A352,2,99),tblBatidas[Batida ID],0)))*24,"")</f>
        <v/>
      </c>
      <c r="L352" t="str">
        <f>IFERROR(INDEX(tblBatidas[Observação],MATCH("B"&amp;MID($A352,2,99),tblBatidas[Início vinculado],0)),"")</f>
        <v/>
      </c>
      <c r="M352" t="str">
        <f>IFERROR(INDEX(tblPessoas[Base],MATCH(E352,tblPessoas[ID],0)),"")</f>
        <v/>
      </c>
      <c r="N352" s="3">
        <f>IFERROR(IF(D352="DIA ÚTIL",INDEX(tblPessoas[R$/h útil],MATCH(E352,tblPessoas[ID],0)),INDEX(tblPessoas[R$/h FDS],MATCH(E352,tblPessoas[ID],0))),0)</f>
        <v>0</v>
      </c>
      <c r="O352" s="3">
        <f>IFERROR(INDEX(tblPessoas[R$/diária],MATCH(E352,tblPessoas[ID],0)),0)</f>
        <v>0</v>
      </c>
      <c r="P352" s="3" t="str">
        <f t="shared" si="22"/>
        <v/>
      </c>
      <c r="Q352" t="str">
        <f>IF(A352="","",IF(COUNTIF(tblBatidas[Início vinculado],"B"&amp;MID($A352,2,99))=0,"EM ABERTO",IF(OR(COUNTIF(tblBatidas[Início vinculado],"B"&amp;MID($A352,2,99))&gt;1,K352&lt;0,K352&gt;16,INT(INDEX(tblBatidas[Data e hora],MATCH("B"&amp;MID($A352,2,99),tblBatidas[Início vinculado],0)))&lt;&gt;B352,INDEX(tblBatidas[ID],MATCH("B"&amp;MID($A352,2,99),tblBatidas[Início vinculado],0))&lt;&gt;E352,INDEX(tblBatidas[Projeto],MATCH("B"&amp;MID($A352,2,99),tblBatidas[Início vinculado],0))&lt;&gt;G352,INDEX(tblBatidas[Atividade],MATCH("B"&amp;MID($A352,2,99),tblBatidas[Início vinculado],0))&lt;&gt;H352),"REVISAR","CONCLUÍDO")))</f>
        <v/>
      </c>
      <c r="R352">
        <f>IF(Q352&lt;&gt;"CONCLUÍDO",0,IF(COUNTIFS($E$5:E352,E352,$B$5:B352,B352,$Q$5:Q352,"CONCLUÍDO")=1,1,0))</f>
        <v>0</v>
      </c>
      <c r="S352" t="str">
        <f t="shared" si="23"/>
        <v/>
      </c>
      <c r="T352" t="str">
        <f>IF(E352="","",E352*100000+COUNTIFS(tblRegistros[ID],E352,tblRegistros[Data],"&lt;"&amp;B352)+COUNTIFS(tblRegistros[ID],E352,tblRegistros[Data],B352,tblRegistros[Início],"&lt;"&amp;I352)+COUNTIFS($E$5:E352,E352,$B$5:B352,B352,$I$5:I352,I352))</f>
        <v/>
      </c>
    </row>
    <row r="353" spans="2:20">
      <c r="B353" s="2" t="str">
        <f>IFERROR(INT(INDEX(tblBatidas[Data e hora],MATCH("B"&amp;MID($A353,2,99),tblBatidas[Batida ID],0))),"")</f>
        <v/>
      </c>
      <c r="C353" t="str">
        <f t="shared" si="20"/>
        <v/>
      </c>
      <c r="D353" t="str">
        <f t="shared" si="21"/>
        <v/>
      </c>
      <c r="E353" t="str">
        <f>IFERROR(INDEX(tblBatidas[ID],MATCH("B"&amp;MID($A353,2,99),tblBatidas[Batida ID],0)),"")</f>
        <v/>
      </c>
      <c r="F353" t="str">
        <f>IFERROR(INDEX(tblPessoas[Pessoa],MATCH(E353,tblPessoas[ID],0)),"")</f>
        <v/>
      </c>
      <c r="G353" t="str">
        <f>IFERROR(INDEX(tblBatidas[Projeto],MATCH("B"&amp;MID($A353,2,99),tblBatidas[Batida ID],0)),"")</f>
        <v/>
      </c>
      <c r="H353" t="str">
        <f>IFERROR(INDEX(tblBatidas[Atividade],MATCH("B"&amp;MID($A353,2,99),tblBatidas[Batida ID],0)),"")</f>
        <v/>
      </c>
      <c r="I353" s="4" t="str">
        <f>IFERROR(MOD(INDEX(tblBatidas[Data e hora],MATCH("B"&amp;MID($A353,2,99),tblBatidas[Batida ID],0)),1),"")</f>
        <v/>
      </c>
      <c r="J353" s="4" t="str">
        <f>IFERROR(MOD(INDEX(tblBatidas[Data e hora],MATCH("B"&amp;MID($A353,2,99),tblBatidas[Início vinculado],0)),1),"")</f>
        <v/>
      </c>
      <c r="K353" s="14" t="str">
        <f>IFERROR((INDEX(tblBatidas[Data e hora],MATCH("B"&amp;MID($A353,2,99),tblBatidas[Início vinculado],0))-INDEX(tblBatidas[Data e hora],MATCH("B"&amp;MID($A353,2,99),tblBatidas[Batida ID],0)))*24,"")</f>
        <v/>
      </c>
      <c r="L353" t="str">
        <f>IFERROR(INDEX(tblBatidas[Observação],MATCH("B"&amp;MID($A353,2,99),tblBatidas[Início vinculado],0)),"")</f>
        <v/>
      </c>
      <c r="M353" t="str">
        <f>IFERROR(INDEX(tblPessoas[Base],MATCH(E353,tblPessoas[ID],0)),"")</f>
        <v/>
      </c>
      <c r="N353" s="3">
        <f>IFERROR(IF(D353="DIA ÚTIL",INDEX(tblPessoas[R$/h útil],MATCH(E353,tblPessoas[ID],0)),INDEX(tblPessoas[R$/h FDS],MATCH(E353,tblPessoas[ID],0))),0)</f>
        <v>0</v>
      </c>
      <c r="O353" s="3">
        <f>IFERROR(INDEX(tblPessoas[R$/diária],MATCH(E353,tblPessoas[ID],0)),0)</f>
        <v>0</v>
      </c>
      <c r="P353" s="3" t="str">
        <f t="shared" si="22"/>
        <v/>
      </c>
      <c r="Q353" t="str">
        <f>IF(A353="","",IF(COUNTIF(tblBatidas[Início vinculado],"B"&amp;MID($A353,2,99))=0,"EM ABERTO",IF(OR(COUNTIF(tblBatidas[Início vinculado],"B"&amp;MID($A353,2,99))&gt;1,K353&lt;0,K353&gt;16,INT(INDEX(tblBatidas[Data e hora],MATCH("B"&amp;MID($A353,2,99),tblBatidas[Início vinculado],0)))&lt;&gt;B353,INDEX(tblBatidas[ID],MATCH("B"&amp;MID($A353,2,99),tblBatidas[Início vinculado],0))&lt;&gt;E353,INDEX(tblBatidas[Projeto],MATCH("B"&amp;MID($A353,2,99),tblBatidas[Início vinculado],0))&lt;&gt;G353,INDEX(tblBatidas[Atividade],MATCH("B"&amp;MID($A353,2,99),tblBatidas[Início vinculado],0))&lt;&gt;H353),"REVISAR","CONCLUÍDO")))</f>
        <v/>
      </c>
      <c r="R353">
        <f>IF(Q353&lt;&gt;"CONCLUÍDO",0,IF(COUNTIFS($E$5:E353,E353,$B$5:B353,B353,$Q$5:Q353,"CONCLUÍDO")=1,1,0))</f>
        <v>0</v>
      </c>
      <c r="S353" t="str">
        <f t="shared" si="23"/>
        <v/>
      </c>
      <c r="T353" t="str">
        <f>IF(E353="","",E353*100000+COUNTIFS(tblRegistros[ID],E353,tblRegistros[Data],"&lt;"&amp;B353)+COUNTIFS(tblRegistros[ID],E353,tblRegistros[Data],B353,tblRegistros[Início],"&lt;"&amp;I353)+COUNTIFS($E$5:E353,E353,$B$5:B353,B353,$I$5:I353,I353))</f>
        <v/>
      </c>
    </row>
    <row r="354" spans="2:20">
      <c r="B354" s="2" t="str">
        <f>IFERROR(INT(INDEX(tblBatidas[Data e hora],MATCH("B"&amp;MID($A354,2,99),tblBatidas[Batida ID],0))),"")</f>
        <v/>
      </c>
      <c r="C354" t="str">
        <f t="shared" si="20"/>
        <v/>
      </c>
      <c r="D354" t="str">
        <f t="shared" si="21"/>
        <v/>
      </c>
      <c r="E354" t="str">
        <f>IFERROR(INDEX(tblBatidas[ID],MATCH("B"&amp;MID($A354,2,99),tblBatidas[Batida ID],0)),"")</f>
        <v/>
      </c>
      <c r="F354" t="str">
        <f>IFERROR(INDEX(tblPessoas[Pessoa],MATCH(E354,tblPessoas[ID],0)),"")</f>
        <v/>
      </c>
      <c r="G354" t="str">
        <f>IFERROR(INDEX(tblBatidas[Projeto],MATCH("B"&amp;MID($A354,2,99),tblBatidas[Batida ID],0)),"")</f>
        <v/>
      </c>
      <c r="H354" t="str">
        <f>IFERROR(INDEX(tblBatidas[Atividade],MATCH("B"&amp;MID($A354,2,99),tblBatidas[Batida ID],0)),"")</f>
        <v/>
      </c>
      <c r="I354" s="4" t="str">
        <f>IFERROR(MOD(INDEX(tblBatidas[Data e hora],MATCH("B"&amp;MID($A354,2,99),tblBatidas[Batida ID],0)),1),"")</f>
        <v/>
      </c>
      <c r="J354" s="4" t="str">
        <f>IFERROR(MOD(INDEX(tblBatidas[Data e hora],MATCH("B"&amp;MID($A354,2,99),tblBatidas[Início vinculado],0)),1),"")</f>
        <v/>
      </c>
      <c r="K354" s="14" t="str">
        <f>IFERROR((INDEX(tblBatidas[Data e hora],MATCH("B"&amp;MID($A354,2,99),tblBatidas[Início vinculado],0))-INDEX(tblBatidas[Data e hora],MATCH("B"&amp;MID($A354,2,99),tblBatidas[Batida ID],0)))*24,"")</f>
        <v/>
      </c>
      <c r="L354" t="str">
        <f>IFERROR(INDEX(tblBatidas[Observação],MATCH("B"&amp;MID($A354,2,99),tblBatidas[Início vinculado],0)),"")</f>
        <v/>
      </c>
      <c r="M354" t="str">
        <f>IFERROR(INDEX(tblPessoas[Base],MATCH(E354,tblPessoas[ID],0)),"")</f>
        <v/>
      </c>
      <c r="N354" s="3">
        <f>IFERROR(IF(D354="DIA ÚTIL",INDEX(tblPessoas[R$/h útil],MATCH(E354,tblPessoas[ID],0)),INDEX(tblPessoas[R$/h FDS],MATCH(E354,tblPessoas[ID],0))),0)</f>
        <v>0</v>
      </c>
      <c r="O354" s="3">
        <f>IFERROR(INDEX(tblPessoas[R$/diária],MATCH(E354,tblPessoas[ID],0)),0)</f>
        <v>0</v>
      </c>
      <c r="P354" s="3" t="str">
        <f t="shared" si="22"/>
        <v/>
      </c>
      <c r="Q354" t="str">
        <f>IF(A354="","",IF(COUNTIF(tblBatidas[Início vinculado],"B"&amp;MID($A354,2,99))=0,"EM ABERTO",IF(OR(COUNTIF(tblBatidas[Início vinculado],"B"&amp;MID($A354,2,99))&gt;1,K354&lt;0,K354&gt;16,INT(INDEX(tblBatidas[Data e hora],MATCH("B"&amp;MID($A354,2,99),tblBatidas[Início vinculado],0)))&lt;&gt;B354,INDEX(tblBatidas[ID],MATCH("B"&amp;MID($A354,2,99),tblBatidas[Início vinculado],0))&lt;&gt;E354,INDEX(tblBatidas[Projeto],MATCH("B"&amp;MID($A354,2,99),tblBatidas[Início vinculado],0))&lt;&gt;G354,INDEX(tblBatidas[Atividade],MATCH("B"&amp;MID($A354,2,99),tblBatidas[Início vinculado],0))&lt;&gt;H354),"REVISAR","CONCLUÍDO")))</f>
        <v/>
      </c>
      <c r="R354">
        <f>IF(Q354&lt;&gt;"CONCLUÍDO",0,IF(COUNTIFS($E$5:E354,E354,$B$5:B354,B354,$Q$5:Q354,"CONCLUÍDO")=1,1,0))</f>
        <v>0</v>
      </c>
      <c r="S354" t="str">
        <f t="shared" si="23"/>
        <v/>
      </c>
      <c r="T354" t="str">
        <f>IF(E354="","",E354*100000+COUNTIFS(tblRegistros[ID],E354,tblRegistros[Data],"&lt;"&amp;B354)+COUNTIFS(tblRegistros[ID],E354,tblRegistros[Data],B354,tblRegistros[Início],"&lt;"&amp;I354)+COUNTIFS($E$5:E354,E354,$B$5:B354,B354,$I$5:I354,I354))</f>
        <v/>
      </c>
    </row>
    <row r="355" spans="2:20">
      <c r="B355" s="2" t="str">
        <f>IFERROR(INT(INDEX(tblBatidas[Data e hora],MATCH("B"&amp;MID($A355,2,99),tblBatidas[Batida ID],0))),"")</f>
        <v/>
      </c>
      <c r="C355" t="str">
        <f t="shared" si="20"/>
        <v/>
      </c>
      <c r="D355" t="str">
        <f t="shared" si="21"/>
        <v/>
      </c>
      <c r="E355" t="str">
        <f>IFERROR(INDEX(tblBatidas[ID],MATCH("B"&amp;MID($A355,2,99),tblBatidas[Batida ID],0)),"")</f>
        <v/>
      </c>
      <c r="F355" t="str">
        <f>IFERROR(INDEX(tblPessoas[Pessoa],MATCH(E355,tblPessoas[ID],0)),"")</f>
        <v/>
      </c>
      <c r="G355" t="str">
        <f>IFERROR(INDEX(tblBatidas[Projeto],MATCH("B"&amp;MID($A355,2,99),tblBatidas[Batida ID],0)),"")</f>
        <v/>
      </c>
      <c r="H355" t="str">
        <f>IFERROR(INDEX(tblBatidas[Atividade],MATCH("B"&amp;MID($A355,2,99),tblBatidas[Batida ID],0)),"")</f>
        <v/>
      </c>
      <c r="I355" s="4" t="str">
        <f>IFERROR(MOD(INDEX(tblBatidas[Data e hora],MATCH("B"&amp;MID($A355,2,99),tblBatidas[Batida ID],0)),1),"")</f>
        <v/>
      </c>
      <c r="J355" s="4" t="str">
        <f>IFERROR(MOD(INDEX(tblBatidas[Data e hora],MATCH("B"&amp;MID($A355,2,99),tblBatidas[Início vinculado],0)),1),"")</f>
        <v/>
      </c>
      <c r="K355" s="14" t="str">
        <f>IFERROR((INDEX(tblBatidas[Data e hora],MATCH("B"&amp;MID($A355,2,99),tblBatidas[Início vinculado],0))-INDEX(tblBatidas[Data e hora],MATCH("B"&amp;MID($A355,2,99),tblBatidas[Batida ID],0)))*24,"")</f>
        <v/>
      </c>
      <c r="L355" t="str">
        <f>IFERROR(INDEX(tblBatidas[Observação],MATCH("B"&amp;MID($A355,2,99),tblBatidas[Início vinculado],0)),"")</f>
        <v/>
      </c>
      <c r="M355" t="str">
        <f>IFERROR(INDEX(tblPessoas[Base],MATCH(E355,tblPessoas[ID],0)),"")</f>
        <v/>
      </c>
      <c r="N355" s="3">
        <f>IFERROR(IF(D355="DIA ÚTIL",INDEX(tblPessoas[R$/h útil],MATCH(E355,tblPessoas[ID],0)),INDEX(tblPessoas[R$/h FDS],MATCH(E355,tblPessoas[ID],0))),0)</f>
        <v>0</v>
      </c>
      <c r="O355" s="3">
        <f>IFERROR(INDEX(tblPessoas[R$/diária],MATCH(E355,tblPessoas[ID],0)),0)</f>
        <v>0</v>
      </c>
      <c r="P355" s="3" t="str">
        <f t="shared" si="22"/>
        <v/>
      </c>
      <c r="Q355" t="str">
        <f>IF(A355="","",IF(COUNTIF(tblBatidas[Início vinculado],"B"&amp;MID($A355,2,99))=0,"EM ABERTO",IF(OR(COUNTIF(tblBatidas[Início vinculado],"B"&amp;MID($A355,2,99))&gt;1,K355&lt;0,K355&gt;16,INT(INDEX(tblBatidas[Data e hora],MATCH("B"&amp;MID($A355,2,99),tblBatidas[Início vinculado],0)))&lt;&gt;B355,INDEX(tblBatidas[ID],MATCH("B"&amp;MID($A355,2,99),tblBatidas[Início vinculado],0))&lt;&gt;E355,INDEX(tblBatidas[Projeto],MATCH("B"&amp;MID($A355,2,99),tblBatidas[Início vinculado],0))&lt;&gt;G355,INDEX(tblBatidas[Atividade],MATCH("B"&amp;MID($A355,2,99),tblBatidas[Início vinculado],0))&lt;&gt;H355),"REVISAR","CONCLUÍDO")))</f>
        <v/>
      </c>
      <c r="R355">
        <f>IF(Q355&lt;&gt;"CONCLUÍDO",0,IF(COUNTIFS($E$5:E355,E355,$B$5:B355,B355,$Q$5:Q355,"CONCLUÍDO")=1,1,0))</f>
        <v>0</v>
      </c>
      <c r="S355" t="str">
        <f t="shared" si="23"/>
        <v/>
      </c>
      <c r="T355" t="str">
        <f>IF(E355="","",E355*100000+COUNTIFS(tblRegistros[ID],E355,tblRegistros[Data],"&lt;"&amp;B355)+COUNTIFS(tblRegistros[ID],E355,tblRegistros[Data],B355,tblRegistros[Início],"&lt;"&amp;I355)+COUNTIFS($E$5:E355,E355,$B$5:B355,B355,$I$5:I355,I355))</f>
        <v/>
      </c>
    </row>
    <row r="356" spans="2:20">
      <c r="B356" s="2" t="str">
        <f>IFERROR(INT(INDEX(tblBatidas[Data e hora],MATCH("B"&amp;MID($A356,2,99),tblBatidas[Batida ID],0))),"")</f>
        <v/>
      </c>
      <c r="C356" t="str">
        <f t="shared" si="20"/>
        <v/>
      </c>
      <c r="D356" t="str">
        <f t="shared" si="21"/>
        <v/>
      </c>
      <c r="E356" t="str">
        <f>IFERROR(INDEX(tblBatidas[ID],MATCH("B"&amp;MID($A356,2,99),tblBatidas[Batida ID],0)),"")</f>
        <v/>
      </c>
      <c r="F356" t="str">
        <f>IFERROR(INDEX(tblPessoas[Pessoa],MATCH(E356,tblPessoas[ID],0)),"")</f>
        <v/>
      </c>
      <c r="G356" t="str">
        <f>IFERROR(INDEX(tblBatidas[Projeto],MATCH("B"&amp;MID($A356,2,99),tblBatidas[Batida ID],0)),"")</f>
        <v/>
      </c>
      <c r="H356" t="str">
        <f>IFERROR(INDEX(tblBatidas[Atividade],MATCH("B"&amp;MID($A356,2,99),tblBatidas[Batida ID],0)),"")</f>
        <v/>
      </c>
      <c r="I356" s="4" t="str">
        <f>IFERROR(MOD(INDEX(tblBatidas[Data e hora],MATCH("B"&amp;MID($A356,2,99),tblBatidas[Batida ID],0)),1),"")</f>
        <v/>
      </c>
      <c r="J356" s="4" t="str">
        <f>IFERROR(MOD(INDEX(tblBatidas[Data e hora],MATCH("B"&amp;MID($A356,2,99),tblBatidas[Início vinculado],0)),1),"")</f>
        <v/>
      </c>
      <c r="K356" s="14" t="str">
        <f>IFERROR((INDEX(tblBatidas[Data e hora],MATCH("B"&amp;MID($A356,2,99),tblBatidas[Início vinculado],0))-INDEX(tblBatidas[Data e hora],MATCH("B"&amp;MID($A356,2,99),tblBatidas[Batida ID],0)))*24,"")</f>
        <v/>
      </c>
      <c r="L356" t="str">
        <f>IFERROR(INDEX(tblBatidas[Observação],MATCH("B"&amp;MID($A356,2,99),tblBatidas[Início vinculado],0)),"")</f>
        <v/>
      </c>
      <c r="M356" t="str">
        <f>IFERROR(INDEX(tblPessoas[Base],MATCH(E356,tblPessoas[ID],0)),"")</f>
        <v/>
      </c>
      <c r="N356" s="3">
        <f>IFERROR(IF(D356="DIA ÚTIL",INDEX(tblPessoas[R$/h útil],MATCH(E356,tblPessoas[ID],0)),INDEX(tblPessoas[R$/h FDS],MATCH(E356,tblPessoas[ID],0))),0)</f>
        <v>0</v>
      </c>
      <c r="O356" s="3">
        <f>IFERROR(INDEX(tblPessoas[R$/diária],MATCH(E356,tblPessoas[ID],0)),0)</f>
        <v>0</v>
      </c>
      <c r="P356" s="3" t="str">
        <f t="shared" si="22"/>
        <v/>
      </c>
      <c r="Q356" t="str">
        <f>IF(A356="","",IF(COUNTIF(tblBatidas[Início vinculado],"B"&amp;MID($A356,2,99))=0,"EM ABERTO",IF(OR(COUNTIF(tblBatidas[Início vinculado],"B"&amp;MID($A356,2,99))&gt;1,K356&lt;0,K356&gt;16,INT(INDEX(tblBatidas[Data e hora],MATCH("B"&amp;MID($A356,2,99),tblBatidas[Início vinculado],0)))&lt;&gt;B356,INDEX(tblBatidas[ID],MATCH("B"&amp;MID($A356,2,99),tblBatidas[Início vinculado],0))&lt;&gt;E356,INDEX(tblBatidas[Projeto],MATCH("B"&amp;MID($A356,2,99),tblBatidas[Início vinculado],0))&lt;&gt;G356,INDEX(tblBatidas[Atividade],MATCH("B"&amp;MID($A356,2,99),tblBatidas[Início vinculado],0))&lt;&gt;H356),"REVISAR","CONCLUÍDO")))</f>
        <v/>
      </c>
      <c r="R356">
        <f>IF(Q356&lt;&gt;"CONCLUÍDO",0,IF(COUNTIFS($E$5:E356,E356,$B$5:B356,B356,$Q$5:Q356,"CONCLUÍDO")=1,1,0))</f>
        <v>0</v>
      </c>
      <c r="S356" t="str">
        <f t="shared" si="23"/>
        <v/>
      </c>
      <c r="T356" t="str">
        <f>IF(E356="","",E356*100000+COUNTIFS(tblRegistros[ID],E356,tblRegistros[Data],"&lt;"&amp;B356)+COUNTIFS(tblRegistros[ID],E356,tblRegistros[Data],B356,tblRegistros[Início],"&lt;"&amp;I356)+COUNTIFS($E$5:E356,E356,$B$5:B356,B356,$I$5:I356,I356))</f>
        <v/>
      </c>
    </row>
    <row r="357" spans="2:20">
      <c r="B357" s="2" t="str">
        <f>IFERROR(INT(INDEX(tblBatidas[Data e hora],MATCH("B"&amp;MID($A357,2,99),tblBatidas[Batida ID],0))),"")</f>
        <v/>
      </c>
      <c r="C357" t="str">
        <f t="shared" si="20"/>
        <v/>
      </c>
      <c r="D357" t="str">
        <f t="shared" si="21"/>
        <v/>
      </c>
      <c r="E357" t="str">
        <f>IFERROR(INDEX(tblBatidas[ID],MATCH("B"&amp;MID($A357,2,99),tblBatidas[Batida ID],0)),"")</f>
        <v/>
      </c>
      <c r="F357" t="str">
        <f>IFERROR(INDEX(tblPessoas[Pessoa],MATCH(E357,tblPessoas[ID],0)),"")</f>
        <v/>
      </c>
      <c r="G357" t="str">
        <f>IFERROR(INDEX(tblBatidas[Projeto],MATCH("B"&amp;MID($A357,2,99),tblBatidas[Batida ID],0)),"")</f>
        <v/>
      </c>
      <c r="H357" t="str">
        <f>IFERROR(INDEX(tblBatidas[Atividade],MATCH("B"&amp;MID($A357,2,99),tblBatidas[Batida ID],0)),"")</f>
        <v/>
      </c>
      <c r="I357" s="4" t="str">
        <f>IFERROR(MOD(INDEX(tblBatidas[Data e hora],MATCH("B"&amp;MID($A357,2,99),tblBatidas[Batida ID],0)),1),"")</f>
        <v/>
      </c>
      <c r="J357" s="4" t="str">
        <f>IFERROR(MOD(INDEX(tblBatidas[Data e hora],MATCH("B"&amp;MID($A357,2,99),tblBatidas[Início vinculado],0)),1),"")</f>
        <v/>
      </c>
      <c r="K357" s="14" t="str">
        <f>IFERROR((INDEX(tblBatidas[Data e hora],MATCH("B"&amp;MID($A357,2,99),tblBatidas[Início vinculado],0))-INDEX(tblBatidas[Data e hora],MATCH("B"&amp;MID($A357,2,99),tblBatidas[Batida ID],0)))*24,"")</f>
        <v/>
      </c>
      <c r="L357" t="str">
        <f>IFERROR(INDEX(tblBatidas[Observação],MATCH("B"&amp;MID($A357,2,99),tblBatidas[Início vinculado],0)),"")</f>
        <v/>
      </c>
      <c r="M357" t="str">
        <f>IFERROR(INDEX(tblPessoas[Base],MATCH(E357,tblPessoas[ID],0)),"")</f>
        <v/>
      </c>
      <c r="N357" s="3">
        <f>IFERROR(IF(D357="DIA ÚTIL",INDEX(tblPessoas[R$/h útil],MATCH(E357,tblPessoas[ID],0)),INDEX(tblPessoas[R$/h FDS],MATCH(E357,tblPessoas[ID],0))),0)</f>
        <v>0</v>
      </c>
      <c r="O357" s="3">
        <f>IFERROR(INDEX(tblPessoas[R$/diária],MATCH(E357,tblPessoas[ID],0)),0)</f>
        <v>0</v>
      </c>
      <c r="P357" s="3" t="str">
        <f t="shared" si="22"/>
        <v/>
      </c>
      <c r="Q357" t="str">
        <f>IF(A357="","",IF(COUNTIF(tblBatidas[Início vinculado],"B"&amp;MID($A357,2,99))=0,"EM ABERTO",IF(OR(COUNTIF(tblBatidas[Início vinculado],"B"&amp;MID($A357,2,99))&gt;1,K357&lt;0,K357&gt;16,INT(INDEX(tblBatidas[Data e hora],MATCH("B"&amp;MID($A357,2,99),tblBatidas[Início vinculado],0)))&lt;&gt;B357,INDEX(tblBatidas[ID],MATCH("B"&amp;MID($A357,2,99),tblBatidas[Início vinculado],0))&lt;&gt;E357,INDEX(tblBatidas[Projeto],MATCH("B"&amp;MID($A357,2,99),tblBatidas[Início vinculado],0))&lt;&gt;G357,INDEX(tblBatidas[Atividade],MATCH("B"&amp;MID($A357,2,99),tblBatidas[Início vinculado],0))&lt;&gt;H357),"REVISAR","CONCLUÍDO")))</f>
        <v/>
      </c>
      <c r="R357">
        <f>IF(Q357&lt;&gt;"CONCLUÍDO",0,IF(COUNTIFS($E$5:E357,E357,$B$5:B357,B357,$Q$5:Q357,"CONCLUÍDO")=1,1,0))</f>
        <v>0</v>
      </c>
      <c r="S357" t="str">
        <f t="shared" si="23"/>
        <v/>
      </c>
      <c r="T357" t="str">
        <f>IF(E357="","",E357*100000+COUNTIFS(tblRegistros[ID],E357,tblRegistros[Data],"&lt;"&amp;B357)+COUNTIFS(tblRegistros[ID],E357,tblRegistros[Data],B357,tblRegistros[Início],"&lt;"&amp;I357)+COUNTIFS($E$5:E357,E357,$B$5:B357,B357,$I$5:I357,I357))</f>
        <v/>
      </c>
    </row>
    <row r="358" spans="2:20">
      <c r="B358" s="2" t="str">
        <f>IFERROR(INT(INDEX(tblBatidas[Data e hora],MATCH("B"&amp;MID($A358,2,99),tblBatidas[Batida ID],0))),"")</f>
        <v/>
      </c>
      <c r="C358" t="str">
        <f t="shared" si="20"/>
        <v/>
      </c>
      <c r="D358" t="str">
        <f t="shared" si="21"/>
        <v/>
      </c>
      <c r="E358" t="str">
        <f>IFERROR(INDEX(tblBatidas[ID],MATCH("B"&amp;MID($A358,2,99),tblBatidas[Batida ID],0)),"")</f>
        <v/>
      </c>
      <c r="F358" t="str">
        <f>IFERROR(INDEX(tblPessoas[Pessoa],MATCH(E358,tblPessoas[ID],0)),"")</f>
        <v/>
      </c>
      <c r="G358" t="str">
        <f>IFERROR(INDEX(tblBatidas[Projeto],MATCH("B"&amp;MID($A358,2,99),tblBatidas[Batida ID],0)),"")</f>
        <v/>
      </c>
      <c r="H358" t="str">
        <f>IFERROR(INDEX(tblBatidas[Atividade],MATCH("B"&amp;MID($A358,2,99),tblBatidas[Batida ID],0)),"")</f>
        <v/>
      </c>
      <c r="I358" s="4" t="str">
        <f>IFERROR(MOD(INDEX(tblBatidas[Data e hora],MATCH("B"&amp;MID($A358,2,99),tblBatidas[Batida ID],0)),1),"")</f>
        <v/>
      </c>
      <c r="J358" s="4" t="str">
        <f>IFERROR(MOD(INDEX(tblBatidas[Data e hora],MATCH("B"&amp;MID($A358,2,99),tblBatidas[Início vinculado],0)),1),"")</f>
        <v/>
      </c>
      <c r="K358" s="14" t="str">
        <f>IFERROR((INDEX(tblBatidas[Data e hora],MATCH("B"&amp;MID($A358,2,99),tblBatidas[Início vinculado],0))-INDEX(tblBatidas[Data e hora],MATCH("B"&amp;MID($A358,2,99),tblBatidas[Batida ID],0)))*24,"")</f>
        <v/>
      </c>
      <c r="L358" t="str">
        <f>IFERROR(INDEX(tblBatidas[Observação],MATCH("B"&amp;MID($A358,2,99),tblBatidas[Início vinculado],0)),"")</f>
        <v/>
      </c>
      <c r="M358" t="str">
        <f>IFERROR(INDEX(tblPessoas[Base],MATCH(E358,tblPessoas[ID],0)),"")</f>
        <v/>
      </c>
      <c r="N358" s="3">
        <f>IFERROR(IF(D358="DIA ÚTIL",INDEX(tblPessoas[R$/h útil],MATCH(E358,tblPessoas[ID],0)),INDEX(tblPessoas[R$/h FDS],MATCH(E358,tblPessoas[ID],0))),0)</f>
        <v>0</v>
      </c>
      <c r="O358" s="3">
        <f>IFERROR(INDEX(tblPessoas[R$/diária],MATCH(E358,tblPessoas[ID],0)),0)</f>
        <v>0</v>
      </c>
      <c r="P358" s="3" t="str">
        <f t="shared" si="22"/>
        <v/>
      </c>
      <c r="Q358" t="str">
        <f>IF(A358="","",IF(COUNTIF(tblBatidas[Início vinculado],"B"&amp;MID($A358,2,99))=0,"EM ABERTO",IF(OR(COUNTIF(tblBatidas[Início vinculado],"B"&amp;MID($A358,2,99))&gt;1,K358&lt;0,K358&gt;16,INT(INDEX(tblBatidas[Data e hora],MATCH("B"&amp;MID($A358,2,99),tblBatidas[Início vinculado],0)))&lt;&gt;B358,INDEX(tblBatidas[ID],MATCH("B"&amp;MID($A358,2,99),tblBatidas[Início vinculado],0))&lt;&gt;E358,INDEX(tblBatidas[Projeto],MATCH("B"&amp;MID($A358,2,99),tblBatidas[Início vinculado],0))&lt;&gt;G358,INDEX(tblBatidas[Atividade],MATCH("B"&amp;MID($A358,2,99),tblBatidas[Início vinculado],0))&lt;&gt;H358),"REVISAR","CONCLUÍDO")))</f>
        <v/>
      </c>
      <c r="R358">
        <f>IF(Q358&lt;&gt;"CONCLUÍDO",0,IF(COUNTIFS($E$5:E358,E358,$B$5:B358,B358,$Q$5:Q358,"CONCLUÍDO")=1,1,0))</f>
        <v>0</v>
      </c>
      <c r="S358" t="str">
        <f t="shared" si="23"/>
        <v/>
      </c>
      <c r="T358" t="str">
        <f>IF(E358="","",E358*100000+COUNTIFS(tblRegistros[ID],E358,tblRegistros[Data],"&lt;"&amp;B358)+COUNTIFS(tblRegistros[ID],E358,tblRegistros[Data],B358,tblRegistros[Início],"&lt;"&amp;I358)+COUNTIFS($E$5:E358,E358,$B$5:B358,B358,$I$5:I358,I358))</f>
        <v/>
      </c>
    </row>
    <row r="359" spans="2:20">
      <c r="B359" s="2" t="str">
        <f>IFERROR(INT(INDEX(tblBatidas[Data e hora],MATCH("B"&amp;MID($A359,2,99),tblBatidas[Batida ID],0))),"")</f>
        <v/>
      </c>
      <c r="C359" t="str">
        <f t="shared" si="20"/>
        <v/>
      </c>
      <c r="D359" t="str">
        <f t="shared" si="21"/>
        <v/>
      </c>
      <c r="E359" t="str">
        <f>IFERROR(INDEX(tblBatidas[ID],MATCH("B"&amp;MID($A359,2,99),tblBatidas[Batida ID],0)),"")</f>
        <v/>
      </c>
      <c r="F359" t="str">
        <f>IFERROR(INDEX(tblPessoas[Pessoa],MATCH(E359,tblPessoas[ID],0)),"")</f>
        <v/>
      </c>
      <c r="G359" t="str">
        <f>IFERROR(INDEX(tblBatidas[Projeto],MATCH("B"&amp;MID($A359,2,99),tblBatidas[Batida ID],0)),"")</f>
        <v/>
      </c>
      <c r="H359" t="str">
        <f>IFERROR(INDEX(tblBatidas[Atividade],MATCH("B"&amp;MID($A359,2,99),tblBatidas[Batida ID],0)),"")</f>
        <v/>
      </c>
      <c r="I359" s="4" t="str">
        <f>IFERROR(MOD(INDEX(tblBatidas[Data e hora],MATCH("B"&amp;MID($A359,2,99),tblBatidas[Batida ID],0)),1),"")</f>
        <v/>
      </c>
      <c r="J359" s="4" t="str">
        <f>IFERROR(MOD(INDEX(tblBatidas[Data e hora],MATCH("B"&amp;MID($A359,2,99),tblBatidas[Início vinculado],0)),1),"")</f>
        <v/>
      </c>
      <c r="K359" s="14" t="str">
        <f>IFERROR((INDEX(tblBatidas[Data e hora],MATCH("B"&amp;MID($A359,2,99),tblBatidas[Início vinculado],0))-INDEX(tblBatidas[Data e hora],MATCH("B"&amp;MID($A359,2,99),tblBatidas[Batida ID],0)))*24,"")</f>
        <v/>
      </c>
      <c r="L359" t="str">
        <f>IFERROR(INDEX(tblBatidas[Observação],MATCH("B"&amp;MID($A359,2,99),tblBatidas[Início vinculado],0)),"")</f>
        <v/>
      </c>
      <c r="M359" t="str">
        <f>IFERROR(INDEX(tblPessoas[Base],MATCH(E359,tblPessoas[ID],0)),"")</f>
        <v/>
      </c>
      <c r="N359" s="3">
        <f>IFERROR(IF(D359="DIA ÚTIL",INDEX(tblPessoas[R$/h útil],MATCH(E359,tblPessoas[ID],0)),INDEX(tblPessoas[R$/h FDS],MATCH(E359,tblPessoas[ID],0))),0)</f>
        <v>0</v>
      </c>
      <c r="O359" s="3">
        <f>IFERROR(INDEX(tblPessoas[R$/diária],MATCH(E359,tblPessoas[ID],0)),0)</f>
        <v>0</v>
      </c>
      <c r="P359" s="3" t="str">
        <f t="shared" si="22"/>
        <v/>
      </c>
      <c r="Q359" t="str">
        <f>IF(A359="","",IF(COUNTIF(tblBatidas[Início vinculado],"B"&amp;MID($A359,2,99))=0,"EM ABERTO",IF(OR(COUNTIF(tblBatidas[Início vinculado],"B"&amp;MID($A359,2,99))&gt;1,K359&lt;0,K359&gt;16,INT(INDEX(tblBatidas[Data e hora],MATCH("B"&amp;MID($A359,2,99),tblBatidas[Início vinculado],0)))&lt;&gt;B359,INDEX(tblBatidas[ID],MATCH("B"&amp;MID($A359,2,99),tblBatidas[Início vinculado],0))&lt;&gt;E359,INDEX(tblBatidas[Projeto],MATCH("B"&amp;MID($A359,2,99),tblBatidas[Início vinculado],0))&lt;&gt;G359,INDEX(tblBatidas[Atividade],MATCH("B"&amp;MID($A359,2,99),tblBatidas[Início vinculado],0))&lt;&gt;H359),"REVISAR","CONCLUÍDO")))</f>
        <v/>
      </c>
      <c r="R359">
        <f>IF(Q359&lt;&gt;"CONCLUÍDO",0,IF(COUNTIFS($E$5:E359,E359,$B$5:B359,B359,$Q$5:Q359,"CONCLUÍDO")=1,1,0))</f>
        <v>0</v>
      </c>
      <c r="S359" t="str">
        <f t="shared" si="23"/>
        <v/>
      </c>
      <c r="T359" t="str">
        <f>IF(E359="","",E359*100000+COUNTIFS(tblRegistros[ID],E359,tblRegistros[Data],"&lt;"&amp;B359)+COUNTIFS(tblRegistros[ID],E359,tblRegistros[Data],B359,tblRegistros[Início],"&lt;"&amp;I359)+COUNTIFS($E$5:E359,E359,$B$5:B359,B359,$I$5:I359,I359))</f>
        <v/>
      </c>
    </row>
    <row r="360" spans="2:20">
      <c r="B360" s="2" t="str">
        <f>IFERROR(INT(INDEX(tblBatidas[Data e hora],MATCH("B"&amp;MID($A360,2,99),tblBatidas[Batida ID],0))),"")</f>
        <v/>
      </c>
      <c r="C360" t="str">
        <f t="shared" si="20"/>
        <v/>
      </c>
      <c r="D360" t="str">
        <f t="shared" si="21"/>
        <v/>
      </c>
      <c r="E360" t="str">
        <f>IFERROR(INDEX(tblBatidas[ID],MATCH("B"&amp;MID($A360,2,99),tblBatidas[Batida ID],0)),"")</f>
        <v/>
      </c>
      <c r="F360" t="str">
        <f>IFERROR(INDEX(tblPessoas[Pessoa],MATCH(E360,tblPessoas[ID],0)),"")</f>
        <v/>
      </c>
      <c r="G360" t="str">
        <f>IFERROR(INDEX(tblBatidas[Projeto],MATCH("B"&amp;MID($A360,2,99),tblBatidas[Batida ID],0)),"")</f>
        <v/>
      </c>
      <c r="H360" t="str">
        <f>IFERROR(INDEX(tblBatidas[Atividade],MATCH("B"&amp;MID($A360,2,99),tblBatidas[Batida ID],0)),"")</f>
        <v/>
      </c>
      <c r="I360" s="4" t="str">
        <f>IFERROR(MOD(INDEX(tblBatidas[Data e hora],MATCH("B"&amp;MID($A360,2,99),tblBatidas[Batida ID],0)),1),"")</f>
        <v/>
      </c>
      <c r="J360" s="4" t="str">
        <f>IFERROR(MOD(INDEX(tblBatidas[Data e hora],MATCH("B"&amp;MID($A360,2,99),tblBatidas[Início vinculado],0)),1),"")</f>
        <v/>
      </c>
      <c r="K360" s="14" t="str">
        <f>IFERROR((INDEX(tblBatidas[Data e hora],MATCH("B"&amp;MID($A360,2,99),tblBatidas[Início vinculado],0))-INDEX(tblBatidas[Data e hora],MATCH("B"&amp;MID($A360,2,99),tblBatidas[Batida ID],0)))*24,"")</f>
        <v/>
      </c>
      <c r="L360" t="str">
        <f>IFERROR(INDEX(tblBatidas[Observação],MATCH("B"&amp;MID($A360,2,99),tblBatidas[Início vinculado],0)),"")</f>
        <v/>
      </c>
      <c r="M360" t="str">
        <f>IFERROR(INDEX(tblPessoas[Base],MATCH(E360,tblPessoas[ID],0)),"")</f>
        <v/>
      </c>
      <c r="N360" s="3">
        <f>IFERROR(IF(D360="DIA ÚTIL",INDEX(tblPessoas[R$/h útil],MATCH(E360,tblPessoas[ID],0)),INDEX(tblPessoas[R$/h FDS],MATCH(E360,tblPessoas[ID],0))),0)</f>
        <v>0</v>
      </c>
      <c r="O360" s="3">
        <f>IFERROR(INDEX(tblPessoas[R$/diária],MATCH(E360,tblPessoas[ID],0)),0)</f>
        <v>0</v>
      </c>
      <c r="P360" s="3" t="str">
        <f t="shared" si="22"/>
        <v/>
      </c>
      <c r="Q360" t="str">
        <f>IF(A360="","",IF(COUNTIF(tblBatidas[Início vinculado],"B"&amp;MID($A360,2,99))=0,"EM ABERTO",IF(OR(COUNTIF(tblBatidas[Início vinculado],"B"&amp;MID($A360,2,99))&gt;1,K360&lt;0,K360&gt;16,INT(INDEX(tblBatidas[Data e hora],MATCH("B"&amp;MID($A360,2,99),tblBatidas[Início vinculado],0)))&lt;&gt;B360,INDEX(tblBatidas[ID],MATCH("B"&amp;MID($A360,2,99),tblBatidas[Início vinculado],0))&lt;&gt;E360,INDEX(tblBatidas[Projeto],MATCH("B"&amp;MID($A360,2,99),tblBatidas[Início vinculado],0))&lt;&gt;G360,INDEX(tblBatidas[Atividade],MATCH("B"&amp;MID($A360,2,99),tblBatidas[Início vinculado],0))&lt;&gt;H360),"REVISAR","CONCLUÍDO")))</f>
        <v/>
      </c>
      <c r="R360">
        <f>IF(Q360&lt;&gt;"CONCLUÍDO",0,IF(COUNTIFS($E$5:E360,E360,$B$5:B360,B360,$Q$5:Q360,"CONCLUÍDO")=1,1,0))</f>
        <v>0</v>
      </c>
      <c r="S360" t="str">
        <f t="shared" si="23"/>
        <v/>
      </c>
      <c r="T360" t="str">
        <f>IF(E360="","",E360*100000+COUNTIFS(tblRegistros[ID],E360,tblRegistros[Data],"&lt;"&amp;B360)+COUNTIFS(tblRegistros[ID],E360,tblRegistros[Data],B360,tblRegistros[Início],"&lt;"&amp;I360)+COUNTIFS($E$5:E360,E360,$B$5:B360,B360,$I$5:I360,I360))</f>
        <v/>
      </c>
    </row>
    <row r="361" spans="2:20">
      <c r="B361" s="2" t="str">
        <f>IFERROR(INT(INDEX(tblBatidas[Data e hora],MATCH("B"&amp;MID($A361,2,99),tblBatidas[Batida ID],0))),"")</f>
        <v/>
      </c>
      <c r="C361" t="str">
        <f t="shared" si="20"/>
        <v/>
      </c>
      <c r="D361" t="str">
        <f t="shared" si="21"/>
        <v/>
      </c>
      <c r="E361" t="str">
        <f>IFERROR(INDEX(tblBatidas[ID],MATCH("B"&amp;MID($A361,2,99),tblBatidas[Batida ID],0)),"")</f>
        <v/>
      </c>
      <c r="F361" t="str">
        <f>IFERROR(INDEX(tblPessoas[Pessoa],MATCH(E361,tblPessoas[ID],0)),"")</f>
        <v/>
      </c>
      <c r="G361" t="str">
        <f>IFERROR(INDEX(tblBatidas[Projeto],MATCH("B"&amp;MID($A361,2,99),tblBatidas[Batida ID],0)),"")</f>
        <v/>
      </c>
      <c r="H361" t="str">
        <f>IFERROR(INDEX(tblBatidas[Atividade],MATCH("B"&amp;MID($A361,2,99),tblBatidas[Batida ID],0)),"")</f>
        <v/>
      </c>
      <c r="I361" s="4" t="str">
        <f>IFERROR(MOD(INDEX(tblBatidas[Data e hora],MATCH("B"&amp;MID($A361,2,99),tblBatidas[Batida ID],0)),1),"")</f>
        <v/>
      </c>
      <c r="J361" s="4" t="str">
        <f>IFERROR(MOD(INDEX(tblBatidas[Data e hora],MATCH("B"&amp;MID($A361,2,99),tblBatidas[Início vinculado],0)),1),"")</f>
        <v/>
      </c>
      <c r="K361" s="14" t="str">
        <f>IFERROR((INDEX(tblBatidas[Data e hora],MATCH("B"&amp;MID($A361,2,99),tblBatidas[Início vinculado],0))-INDEX(tblBatidas[Data e hora],MATCH("B"&amp;MID($A361,2,99),tblBatidas[Batida ID],0)))*24,"")</f>
        <v/>
      </c>
      <c r="L361" t="str">
        <f>IFERROR(INDEX(tblBatidas[Observação],MATCH("B"&amp;MID($A361,2,99),tblBatidas[Início vinculado],0)),"")</f>
        <v/>
      </c>
      <c r="M361" t="str">
        <f>IFERROR(INDEX(tblPessoas[Base],MATCH(E361,tblPessoas[ID],0)),"")</f>
        <v/>
      </c>
      <c r="N361" s="3">
        <f>IFERROR(IF(D361="DIA ÚTIL",INDEX(tblPessoas[R$/h útil],MATCH(E361,tblPessoas[ID],0)),INDEX(tblPessoas[R$/h FDS],MATCH(E361,tblPessoas[ID],0))),0)</f>
        <v>0</v>
      </c>
      <c r="O361" s="3">
        <f>IFERROR(INDEX(tblPessoas[R$/diária],MATCH(E361,tblPessoas[ID],0)),0)</f>
        <v>0</v>
      </c>
      <c r="P361" s="3" t="str">
        <f t="shared" si="22"/>
        <v/>
      </c>
      <c r="Q361" t="str">
        <f>IF(A361="","",IF(COUNTIF(tblBatidas[Início vinculado],"B"&amp;MID($A361,2,99))=0,"EM ABERTO",IF(OR(COUNTIF(tblBatidas[Início vinculado],"B"&amp;MID($A361,2,99))&gt;1,K361&lt;0,K361&gt;16,INT(INDEX(tblBatidas[Data e hora],MATCH("B"&amp;MID($A361,2,99),tblBatidas[Início vinculado],0)))&lt;&gt;B361,INDEX(tblBatidas[ID],MATCH("B"&amp;MID($A361,2,99),tblBatidas[Início vinculado],0))&lt;&gt;E361,INDEX(tblBatidas[Projeto],MATCH("B"&amp;MID($A361,2,99),tblBatidas[Início vinculado],0))&lt;&gt;G361,INDEX(tblBatidas[Atividade],MATCH("B"&amp;MID($A361,2,99),tblBatidas[Início vinculado],0))&lt;&gt;H361),"REVISAR","CONCLUÍDO")))</f>
        <v/>
      </c>
      <c r="R361">
        <f>IF(Q361&lt;&gt;"CONCLUÍDO",0,IF(COUNTIFS($E$5:E361,E361,$B$5:B361,B361,$Q$5:Q361,"CONCLUÍDO")=1,1,0))</f>
        <v>0</v>
      </c>
      <c r="S361" t="str">
        <f t="shared" si="23"/>
        <v/>
      </c>
      <c r="T361" t="str">
        <f>IF(E361="","",E361*100000+COUNTIFS(tblRegistros[ID],E361,tblRegistros[Data],"&lt;"&amp;B361)+COUNTIFS(tblRegistros[ID],E361,tblRegistros[Data],B361,tblRegistros[Início],"&lt;"&amp;I361)+COUNTIFS($E$5:E361,E361,$B$5:B361,B361,$I$5:I361,I361))</f>
        <v/>
      </c>
    </row>
    <row r="362" spans="2:20">
      <c r="B362" s="2" t="str">
        <f>IFERROR(INT(INDEX(tblBatidas[Data e hora],MATCH("B"&amp;MID($A362,2,99),tblBatidas[Batida ID],0))),"")</f>
        <v/>
      </c>
      <c r="C362" t="str">
        <f t="shared" si="20"/>
        <v/>
      </c>
      <c r="D362" t="str">
        <f t="shared" si="21"/>
        <v/>
      </c>
      <c r="E362" t="str">
        <f>IFERROR(INDEX(tblBatidas[ID],MATCH("B"&amp;MID($A362,2,99),tblBatidas[Batida ID],0)),"")</f>
        <v/>
      </c>
      <c r="F362" t="str">
        <f>IFERROR(INDEX(tblPessoas[Pessoa],MATCH(E362,tblPessoas[ID],0)),"")</f>
        <v/>
      </c>
      <c r="G362" t="str">
        <f>IFERROR(INDEX(tblBatidas[Projeto],MATCH("B"&amp;MID($A362,2,99),tblBatidas[Batida ID],0)),"")</f>
        <v/>
      </c>
      <c r="H362" t="str">
        <f>IFERROR(INDEX(tblBatidas[Atividade],MATCH("B"&amp;MID($A362,2,99),tblBatidas[Batida ID],0)),"")</f>
        <v/>
      </c>
      <c r="I362" s="4" t="str">
        <f>IFERROR(MOD(INDEX(tblBatidas[Data e hora],MATCH("B"&amp;MID($A362,2,99),tblBatidas[Batida ID],0)),1),"")</f>
        <v/>
      </c>
      <c r="J362" s="4" t="str">
        <f>IFERROR(MOD(INDEX(tblBatidas[Data e hora],MATCH("B"&amp;MID($A362,2,99),tblBatidas[Início vinculado],0)),1),"")</f>
        <v/>
      </c>
      <c r="K362" s="14" t="str">
        <f>IFERROR((INDEX(tblBatidas[Data e hora],MATCH("B"&amp;MID($A362,2,99),tblBatidas[Início vinculado],0))-INDEX(tblBatidas[Data e hora],MATCH("B"&amp;MID($A362,2,99),tblBatidas[Batida ID],0)))*24,"")</f>
        <v/>
      </c>
      <c r="L362" t="str">
        <f>IFERROR(INDEX(tblBatidas[Observação],MATCH("B"&amp;MID($A362,2,99),tblBatidas[Início vinculado],0)),"")</f>
        <v/>
      </c>
      <c r="M362" t="str">
        <f>IFERROR(INDEX(tblPessoas[Base],MATCH(E362,tblPessoas[ID],0)),"")</f>
        <v/>
      </c>
      <c r="N362" s="3">
        <f>IFERROR(IF(D362="DIA ÚTIL",INDEX(tblPessoas[R$/h útil],MATCH(E362,tblPessoas[ID],0)),INDEX(tblPessoas[R$/h FDS],MATCH(E362,tblPessoas[ID],0))),0)</f>
        <v>0</v>
      </c>
      <c r="O362" s="3">
        <f>IFERROR(INDEX(tblPessoas[R$/diária],MATCH(E362,tblPessoas[ID],0)),0)</f>
        <v>0</v>
      </c>
      <c r="P362" s="3" t="str">
        <f t="shared" si="22"/>
        <v/>
      </c>
      <c r="Q362" t="str">
        <f>IF(A362="","",IF(COUNTIF(tblBatidas[Início vinculado],"B"&amp;MID($A362,2,99))=0,"EM ABERTO",IF(OR(COUNTIF(tblBatidas[Início vinculado],"B"&amp;MID($A362,2,99))&gt;1,K362&lt;0,K362&gt;16,INT(INDEX(tblBatidas[Data e hora],MATCH("B"&amp;MID($A362,2,99),tblBatidas[Início vinculado],0)))&lt;&gt;B362,INDEX(tblBatidas[ID],MATCH("B"&amp;MID($A362,2,99),tblBatidas[Início vinculado],0))&lt;&gt;E362,INDEX(tblBatidas[Projeto],MATCH("B"&amp;MID($A362,2,99),tblBatidas[Início vinculado],0))&lt;&gt;G362,INDEX(tblBatidas[Atividade],MATCH("B"&amp;MID($A362,2,99),tblBatidas[Início vinculado],0))&lt;&gt;H362),"REVISAR","CONCLUÍDO")))</f>
        <v/>
      </c>
      <c r="R362">
        <f>IF(Q362&lt;&gt;"CONCLUÍDO",0,IF(COUNTIFS($E$5:E362,E362,$B$5:B362,B362,$Q$5:Q362,"CONCLUÍDO")=1,1,0))</f>
        <v>0</v>
      </c>
      <c r="S362" t="str">
        <f t="shared" si="23"/>
        <v/>
      </c>
      <c r="T362" t="str">
        <f>IF(E362="","",E362*100000+COUNTIFS(tblRegistros[ID],E362,tblRegistros[Data],"&lt;"&amp;B362)+COUNTIFS(tblRegistros[ID],E362,tblRegistros[Data],B362,tblRegistros[Início],"&lt;"&amp;I362)+COUNTIFS($E$5:E362,E362,$B$5:B362,B362,$I$5:I362,I362))</f>
        <v/>
      </c>
    </row>
    <row r="363" spans="2:20">
      <c r="B363" s="2" t="str">
        <f>IFERROR(INT(INDEX(tblBatidas[Data e hora],MATCH("B"&amp;MID($A363,2,99),tblBatidas[Batida ID],0))),"")</f>
        <v/>
      </c>
      <c r="C363" t="str">
        <f t="shared" si="20"/>
        <v/>
      </c>
      <c r="D363" t="str">
        <f t="shared" si="21"/>
        <v/>
      </c>
      <c r="E363" t="str">
        <f>IFERROR(INDEX(tblBatidas[ID],MATCH("B"&amp;MID($A363,2,99),tblBatidas[Batida ID],0)),"")</f>
        <v/>
      </c>
      <c r="F363" t="str">
        <f>IFERROR(INDEX(tblPessoas[Pessoa],MATCH(E363,tblPessoas[ID],0)),"")</f>
        <v/>
      </c>
      <c r="G363" t="str">
        <f>IFERROR(INDEX(tblBatidas[Projeto],MATCH("B"&amp;MID($A363,2,99),tblBatidas[Batida ID],0)),"")</f>
        <v/>
      </c>
      <c r="H363" t="str">
        <f>IFERROR(INDEX(tblBatidas[Atividade],MATCH("B"&amp;MID($A363,2,99),tblBatidas[Batida ID],0)),"")</f>
        <v/>
      </c>
      <c r="I363" s="4" t="str">
        <f>IFERROR(MOD(INDEX(tblBatidas[Data e hora],MATCH("B"&amp;MID($A363,2,99),tblBatidas[Batida ID],0)),1),"")</f>
        <v/>
      </c>
      <c r="J363" s="4" t="str">
        <f>IFERROR(MOD(INDEX(tblBatidas[Data e hora],MATCH("B"&amp;MID($A363,2,99),tblBatidas[Início vinculado],0)),1),"")</f>
        <v/>
      </c>
      <c r="K363" s="14" t="str">
        <f>IFERROR((INDEX(tblBatidas[Data e hora],MATCH("B"&amp;MID($A363,2,99),tblBatidas[Início vinculado],0))-INDEX(tblBatidas[Data e hora],MATCH("B"&amp;MID($A363,2,99),tblBatidas[Batida ID],0)))*24,"")</f>
        <v/>
      </c>
      <c r="L363" t="str">
        <f>IFERROR(INDEX(tblBatidas[Observação],MATCH("B"&amp;MID($A363,2,99),tblBatidas[Início vinculado],0)),"")</f>
        <v/>
      </c>
      <c r="M363" t="str">
        <f>IFERROR(INDEX(tblPessoas[Base],MATCH(E363,tblPessoas[ID],0)),"")</f>
        <v/>
      </c>
      <c r="N363" s="3">
        <f>IFERROR(IF(D363="DIA ÚTIL",INDEX(tblPessoas[R$/h útil],MATCH(E363,tblPessoas[ID],0)),INDEX(tblPessoas[R$/h FDS],MATCH(E363,tblPessoas[ID],0))),0)</f>
        <v>0</v>
      </c>
      <c r="O363" s="3">
        <f>IFERROR(INDEX(tblPessoas[R$/diária],MATCH(E363,tblPessoas[ID],0)),0)</f>
        <v>0</v>
      </c>
      <c r="P363" s="3" t="str">
        <f t="shared" si="22"/>
        <v/>
      </c>
      <c r="Q363" t="str">
        <f>IF(A363="","",IF(COUNTIF(tblBatidas[Início vinculado],"B"&amp;MID($A363,2,99))=0,"EM ABERTO",IF(OR(COUNTIF(tblBatidas[Início vinculado],"B"&amp;MID($A363,2,99))&gt;1,K363&lt;0,K363&gt;16,INT(INDEX(tblBatidas[Data e hora],MATCH("B"&amp;MID($A363,2,99),tblBatidas[Início vinculado],0)))&lt;&gt;B363,INDEX(tblBatidas[ID],MATCH("B"&amp;MID($A363,2,99),tblBatidas[Início vinculado],0))&lt;&gt;E363,INDEX(tblBatidas[Projeto],MATCH("B"&amp;MID($A363,2,99),tblBatidas[Início vinculado],0))&lt;&gt;G363,INDEX(tblBatidas[Atividade],MATCH("B"&amp;MID($A363,2,99),tblBatidas[Início vinculado],0))&lt;&gt;H363),"REVISAR","CONCLUÍDO")))</f>
        <v/>
      </c>
      <c r="R363">
        <f>IF(Q363&lt;&gt;"CONCLUÍDO",0,IF(COUNTIFS($E$5:E363,E363,$B$5:B363,B363,$Q$5:Q363,"CONCLUÍDO")=1,1,0))</f>
        <v>0</v>
      </c>
      <c r="S363" t="str">
        <f t="shared" si="23"/>
        <v/>
      </c>
      <c r="T363" t="str">
        <f>IF(E363="","",E363*100000+COUNTIFS(tblRegistros[ID],E363,tblRegistros[Data],"&lt;"&amp;B363)+COUNTIFS(tblRegistros[ID],E363,tblRegistros[Data],B363,tblRegistros[Início],"&lt;"&amp;I363)+COUNTIFS($E$5:E363,E363,$B$5:B363,B363,$I$5:I363,I363))</f>
        <v/>
      </c>
    </row>
    <row r="364" spans="2:20">
      <c r="B364" s="2" t="str">
        <f>IFERROR(INT(INDEX(tblBatidas[Data e hora],MATCH("B"&amp;MID($A364,2,99),tblBatidas[Batida ID],0))),"")</f>
        <v/>
      </c>
      <c r="C364" t="str">
        <f t="shared" si="20"/>
        <v/>
      </c>
      <c r="D364" t="str">
        <f t="shared" si="21"/>
        <v/>
      </c>
      <c r="E364" t="str">
        <f>IFERROR(INDEX(tblBatidas[ID],MATCH("B"&amp;MID($A364,2,99),tblBatidas[Batida ID],0)),"")</f>
        <v/>
      </c>
      <c r="F364" t="str">
        <f>IFERROR(INDEX(tblPessoas[Pessoa],MATCH(E364,tblPessoas[ID],0)),"")</f>
        <v/>
      </c>
      <c r="G364" t="str">
        <f>IFERROR(INDEX(tblBatidas[Projeto],MATCH("B"&amp;MID($A364,2,99),tblBatidas[Batida ID],0)),"")</f>
        <v/>
      </c>
      <c r="H364" t="str">
        <f>IFERROR(INDEX(tblBatidas[Atividade],MATCH("B"&amp;MID($A364,2,99),tblBatidas[Batida ID],0)),"")</f>
        <v/>
      </c>
      <c r="I364" s="4" t="str">
        <f>IFERROR(MOD(INDEX(tblBatidas[Data e hora],MATCH("B"&amp;MID($A364,2,99),tblBatidas[Batida ID],0)),1),"")</f>
        <v/>
      </c>
      <c r="J364" s="4" t="str">
        <f>IFERROR(MOD(INDEX(tblBatidas[Data e hora],MATCH("B"&amp;MID($A364,2,99),tblBatidas[Início vinculado],0)),1),"")</f>
        <v/>
      </c>
      <c r="K364" s="14" t="str">
        <f>IFERROR((INDEX(tblBatidas[Data e hora],MATCH("B"&amp;MID($A364,2,99),tblBatidas[Início vinculado],0))-INDEX(tblBatidas[Data e hora],MATCH("B"&amp;MID($A364,2,99),tblBatidas[Batida ID],0)))*24,"")</f>
        <v/>
      </c>
      <c r="L364" t="str">
        <f>IFERROR(INDEX(tblBatidas[Observação],MATCH("B"&amp;MID($A364,2,99),tblBatidas[Início vinculado],0)),"")</f>
        <v/>
      </c>
      <c r="M364" t="str">
        <f>IFERROR(INDEX(tblPessoas[Base],MATCH(E364,tblPessoas[ID],0)),"")</f>
        <v/>
      </c>
      <c r="N364" s="3">
        <f>IFERROR(IF(D364="DIA ÚTIL",INDEX(tblPessoas[R$/h útil],MATCH(E364,tblPessoas[ID],0)),INDEX(tblPessoas[R$/h FDS],MATCH(E364,tblPessoas[ID],0))),0)</f>
        <v>0</v>
      </c>
      <c r="O364" s="3">
        <f>IFERROR(INDEX(tblPessoas[R$/diária],MATCH(E364,tblPessoas[ID],0)),0)</f>
        <v>0</v>
      </c>
      <c r="P364" s="3" t="str">
        <f t="shared" si="22"/>
        <v/>
      </c>
      <c r="Q364" t="str">
        <f>IF(A364="","",IF(COUNTIF(tblBatidas[Início vinculado],"B"&amp;MID($A364,2,99))=0,"EM ABERTO",IF(OR(COUNTIF(tblBatidas[Início vinculado],"B"&amp;MID($A364,2,99))&gt;1,K364&lt;0,K364&gt;16,INT(INDEX(tblBatidas[Data e hora],MATCH("B"&amp;MID($A364,2,99),tblBatidas[Início vinculado],0)))&lt;&gt;B364,INDEX(tblBatidas[ID],MATCH("B"&amp;MID($A364,2,99),tblBatidas[Início vinculado],0))&lt;&gt;E364,INDEX(tblBatidas[Projeto],MATCH("B"&amp;MID($A364,2,99),tblBatidas[Início vinculado],0))&lt;&gt;G364,INDEX(tblBatidas[Atividade],MATCH("B"&amp;MID($A364,2,99),tblBatidas[Início vinculado],0))&lt;&gt;H364),"REVISAR","CONCLUÍDO")))</f>
        <v/>
      </c>
      <c r="R364">
        <f>IF(Q364&lt;&gt;"CONCLUÍDO",0,IF(COUNTIFS($E$5:E364,E364,$B$5:B364,B364,$Q$5:Q364,"CONCLUÍDO")=1,1,0))</f>
        <v>0</v>
      </c>
      <c r="S364" t="str">
        <f t="shared" si="23"/>
        <v/>
      </c>
      <c r="T364" t="str">
        <f>IF(E364="","",E364*100000+COUNTIFS(tblRegistros[ID],E364,tblRegistros[Data],"&lt;"&amp;B364)+COUNTIFS(tblRegistros[ID],E364,tblRegistros[Data],B364,tblRegistros[Início],"&lt;"&amp;I364)+COUNTIFS($E$5:E364,E364,$B$5:B364,B364,$I$5:I364,I364))</f>
        <v/>
      </c>
    </row>
    <row r="365" spans="2:20">
      <c r="B365" s="2" t="str">
        <f>IFERROR(INT(INDEX(tblBatidas[Data e hora],MATCH("B"&amp;MID($A365,2,99),tblBatidas[Batida ID],0))),"")</f>
        <v/>
      </c>
      <c r="C365" t="str">
        <f t="shared" si="20"/>
        <v/>
      </c>
      <c r="D365" t="str">
        <f t="shared" si="21"/>
        <v/>
      </c>
      <c r="E365" t="str">
        <f>IFERROR(INDEX(tblBatidas[ID],MATCH("B"&amp;MID($A365,2,99),tblBatidas[Batida ID],0)),"")</f>
        <v/>
      </c>
      <c r="F365" t="str">
        <f>IFERROR(INDEX(tblPessoas[Pessoa],MATCH(E365,tblPessoas[ID],0)),"")</f>
        <v/>
      </c>
      <c r="G365" t="str">
        <f>IFERROR(INDEX(tblBatidas[Projeto],MATCH("B"&amp;MID($A365,2,99),tblBatidas[Batida ID],0)),"")</f>
        <v/>
      </c>
      <c r="H365" t="str">
        <f>IFERROR(INDEX(tblBatidas[Atividade],MATCH("B"&amp;MID($A365,2,99),tblBatidas[Batida ID],0)),"")</f>
        <v/>
      </c>
      <c r="I365" s="4" t="str">
        <f>IFERROR(MOD(INDEX(tblBatidas[Data e hora],MATCH("B"&amp;MID($A365,2,99),tblBatidas[Batida ID],0)),1),"")</f>
        <v/>
      </c>
      <c r="J365" s="4" t="str">
        <f>IFERROR(MOD(INDEX(tblBatidas[Data e hora],MATCH("B"&amp;MID($A365,2,99),tblBatidas[Início vinculado],0)),1),"")</f>
        <v/>
      </c>
      <c r="K365" s="14" t="str">
        <f>IFERROR((INDEX(tblBatidas[Data e hora],MATCH("B"&amp;MID($A365,2,99),tblBatidas[Início vinculado],0))-INDEX(tblBatidas[Data e hora],MATCH("B"&amp;MID($A365,2,99),tblBatidas[Batida ID],0)))*24,"")</f>
        <v/>
      </c>
      <c r="L365" t="str">
        <f>IFERROR(INDEX(tblBatidas[Observação],MATCH("B"&amp;MID($A365,2,99),tblBatidas[Início vinculado],0)),"")</f>
        <v/>
      </c>
      <c r="M365" t="str">
        <f>IFERROR(INDEX(tblPessoas[Base],MATCH(E365,tblPessoas[ID],0)),"")</f>
        <v/>
      </c>
      <c r="N365" s="3">
        <f>IFERROR(IF(D365="DIA ÚTIL",INDEX(tblPessoas[R$/h útil],MATCH(E365,tblPessoas[ID],0)),INDEX(tblPessoas[R$/h FDS],MATCH(E365,tblPessoas[ID],0))),0)</f>
        <v>0</v>
      </c>
      <c r="O365" s="3">
        <f>IFERROR(INDEX(tblPessoas[R$/diária],MATCH(E365,tblPessoas[ID],0)),0)</f>
        <v>0</v>
      </c>
      <c r="P365" s="3" t="str">
        <f t="shared" si="22"/>
        <v/>
      </c>
      <c r="Q365" t="str">
        <f>IF(A365="","",IF(COUNTIF(tblBatidas[Início vinculado],"B"&amp;MID($A365,2,99))=0,"EM ABERTO",IF(OR(COUNTIF(tblBatidas[Início vinculado],"B"&amp;MID($A365,2,99))&gt;1,K365&lt;0,K365&gt;16,INT(INDEX(tblBatidas[Data e hora],MATCH("B"&amp;MID($A365,2,99),tblBatidas[Início vinculado],0)))&lt;&gt;B365,INDEX(tblBatidas[ID],MATCH("B"&amp;MID($A365,2,99),tblBatidas[Início vinculado],0))&lt;&gt;E365,INDEX(tblBatidas[Projeto],MATCH("B"&amp;MID($A365,2,99),tblBatidas[Início vinculado],0))&lt;&gt;G365,INDEX(tblBatidas[Atividade],MATCH("B"&amp;MID($A365,2,99),tblBatidas[Início vinculado],0))&lt;&gt;H365),"REVISAR","CONCLUÍDO")))</f>
        <v/>
      </c>
      <c r="R365">
        <f>IF(Q365&lt;&gt;"CONCLUÍDO",0,IF(COUNTIFS($E$5:E365,E365,$B$5:B365,B365,$Q$5:Q365,"CONCLUÍDO")=1,1,0))</f>
        <v>0</v>
      </c>
      <c r="S365" t="str">
        <f t="shared" si="23"/>
        <v/>
      </c>
      <c r="T365" t="str">
        <f>IF(E365="","",E365*100000+COUNTIFS(tblRegistros[ID],E365,tblRegistros[Data],"&lt;"&amp;B365)+COUNTIFS(tblRegistros[ID],E365,tblRegistros[Data],B365,tblRegistros[Início],"&lt;"&amp;I365)+COUNTIFS($E$5:E365,E365,$B$5:B365,B365,$I$5:I365,I365))</f>
        <v/>
      </c>
    </row>
    <row r="366" spans="2:20">
      <c r="B366" s="2" t="str">
        <f>IFERROR(INT(INDEX(tblBatidas[Data e hora],MATCH("B"&amp;MID($A366,2,99),tblBatidas[Batida ID],0))),"")</f>
        <v/>
      </c>
      <c r="C366" t="str">
        <f t="shared" si="20"/>
        <v/>
      </c>
      <c r="D366" t="str">
        <f t="shared" si="21"/>
        <v/>
      </c>
      <c r="E366" t="str">
        <f>IFERROR(INDEX(tblBatidas[ID],MATCH("B"&amp;MID($A366,2,99),tblBatidas[Batida ID],0)),"")</f>
        <v/>
      </c>
      <c r="F366" t="str">
        <f>IFERROR(INDEX(tblPessoas[Pessoa],MATCH(E366,tblPessoas[ID],0)),"")</f>
        <v/>
      </c>
      <c r="G366" t="str">
        <f>IFERROR(INDEX(tblBatidas[Projeto],MATCH("B"&amp;MID($A366,2,99),tblBatidas[Batida ID],0)),"")</f>
        <v/>
      </c>
      <c r="H366" t="str">
        <f>IFERROR(INDEX(tblBatidas[Atividade],MATCH("B"&amp;MID($A366,2,99),tblBatidas[Batida ID],0)),"")</f>
        <v/>
      </c>
      <c r="I366" s="4" t="str">
        <f>IFERROR(MOD(INDEX(tblBatidas[Data e hora],MATCH("B"&amp;MID($A366,2,99),tblBatidas[Batida ID],0)),1),"")</f>
        <v/>
      </c>
      <c r="J366" s="4" t="str">
        <f>IFERROR(MOD(INDEX(tblBatidas[Data e hora],MATCH("B"&amp;MID($A366,2,99),tblBatidas[Início vinculado],0)),1),"")</f>
        <v/>
      </c>
      <c r="K366" s="14" t="str">
        <f>IFERROR((INDEX(tblBatidas[Data e hora],MATCH("B"&amp;MID($A366,2,99),tblBatidas[Início vinculado],0))-INDEX(tblBatidas[Data e hora],MATCH("B"&amp;MID($A366,2,99),tblBatidas[Batida ID],0)))*24,"")</f>
        <v/>
      </c>
      <c r="L366" t="str">
        <f>IFERROR(INDEX(tblBatidas[Observação],MATCH("B"&amp;MID($A366,2,99),tblBatidas[Início vinculado],0)),"")</f>
        <v/>
      </c>
      <c r="M366" t="str">
        <f>IFERROR(INDEX(tblPessoas[Base],MATCH(E366,tblPessoas[ID],0)),"")</f>
        <v/>
      </c>
      <c r="N366" s="3">
        <f>IFERROR(IF(D366="DIA ÚTIL",INDEX(tblPessoas[R$/h útil],MATCH(E366,tblPessoas[ID],0)),INDEX(tblPessoas[R$/h FDS],MATCH(E366,tblPessoas[ID],0))),0)</f>
        <v>0</v>
      </c>
      <c r="O366" s="3">
        <f>IFERROR(INDEX(tblPessoas[R$/diária],MATCH(E366,tblPessoas[ID],0)),0)</f>
        <v>0</v>
      </c>
      <c r="P366" s="3" t="str">
        <f t="shared" si="22"/>
        <v/>
      </c>
      <c r="Q366" t="str">
        <f>IF(A366="","",IF(COUNTIF(tblBatidas[Início vinculado],"B"&amp;MID($A366,2,99))=0,"EM ABERTO",IF(OR(COUNTIF(tblBatidas[Início vinculado],"B"&amp;MID($A366,2,99))&gt;1,K366&lt;0,K366&gt;16,INT(INDEX(tblBatidas[Data e hora],MATCH("B"&amp;MID($A366,2,99),tblBatidas[Início vinculado],0)))&lt;&gt;B366,INDEX(tblBatidas[ID],MATCH("B"&amp;MID($A366,2,99),tblBatidas[Início vinculado],0))&lt;&gt;E366,INDEX(tblBatidas[Projeto],MATCH("B"&amp;MID($A366,2,99),tblBatidas[Início vinculado],0))&lt;&gt;G366,INDEX(tblBatidas[Atividade],MATCH("B"&amp;MID($A366,2,99),tblBatidas[Início vinculado],0))&lt;&gt;H366),"REVISAR","CONCLUÍDO")))</f>
        <v/>
      </c>
      <c r="R366">
        <f>IF(Q366&lt;&gt;"CONCLUÍDO",0,IF(COUNTIFS($E$5:E366,E366,$B$5:B366,B366,$Q$5:Q366,"CONCLUÍDO")=1,1,0))</f>
        <v>0</v>
      </c>
      <c r="S366" t="str">
        <f t="shared" si="23"/>
        <v/>
      </c>
      <c r="T366" t="str">
        <f>IF(E366="","",E366*100000+COUNTIFS(tblRegistros[ID],E366,tblRegistros[Data],"&lt;"&amp;B366)+COUNTIFS(tblRegistros[ID],E366,tblRegistros[Data],B366,tblRegistros[Início],"&lt;"&amp;I366)+COUNTIFS($E$5:E366,E366,$B$5:B366,B366,$I$5:I366,I366))</f>
        <v/>
      </c>
    </row>
    <row r="367" spans="2:20">
      <c r="B367" s="2" t="str">
        <f>IFERROR(INT(INDEX(tblBatidas[Data e hora],MATCH("B"&amp;MID($A367,2,99),tblBatidas[Batida ID],0))),"")</f>
        <v/>
      </c>
      <c r="C367" t="str">
        <f t="shared" si="20"/>
        <v/>
      </c>
      <c r="D367" t="str">
        <f t="shared" si="21"/>
        <v/>
      </c>
      <c r="E367" t="str">
        <f>IFERROR(INDEX(tblBatidas[ID],MATCH("B"&amp;MID($A367,2,99),tblBatidas[Batida ID],0)),"")</f>
        <v/>
      </c>
      <c r="F367" t="str">
        <f>IFERROR(INDEX(tblPessoas[Pessoa],MATCH(E367,tblPessoas[ID],0)),"")</f>
        <v/>
      </c>
      <c r="G367" t="str">
        <f>IFERROR(INDEX(tblBatidas[Projeto],MATCH("B"&amp;MID($A367,2,99),tblBatidas[Batida ID],0)),"")</f>
        <v/>
      </c>
      <c r="H367" t="str">
        <f>IFERROR(INDEX(tblBatidas[Atividade],MATCH("B"&amp;MID($A367,2,99),tblBatidas[Batida ID],0)),"")</f>
        <v/>
      </c>
      <c r="I367" s="4" t="str">
        <f>IFERROR(MOD(INDEX(tblBatidas[Data e hora],MATCH("B"&amp;MID($A367,2,99),tblBatidas[Batida ID],0)),1),"")</f>
        <v/>
      </c>
      <c r="J367" s="4" t="str">
        <f>IFERROR(MOD(INDEX(tblBatidas[Data e hora],MATCH("B"&amp;MID($A367,2,99),tblBatidas[Início vinculado],0)),1),"")</f>
        <v/>
      </c>
      <c r="K367" s="14" t="str">
        <f>IFERROR((INDEX(tblBatidas[Data e hora],MATCH("B"&amp;MID($A367,2,99),tblBatidas[Início vinculado],0))-INDEX(tblBatidas[Data e hora],MATCH("B"&amp;MID($A367,2,99),tblBatidas[Batida ID],0)))*24,"")</f>
        <v/>
      </c>
      <c r="L367" t="str">
        <f>IFERROR(INDEX(tblBatidas[Observação],MATCH("B"&amp;MID($A367,2,99),tblBatidas[Início vinculado],0)),"")</f>
        <v/>
      </c>
      <c r="M367" t="str">
        <f>IFERROR(INDEX(tblPessoas[Base],MATCH(E367,tblPessoas[ID],0)),"")</f>
        <v/>
      </c>
      <c r="N367" s="3">
        <f>IFERROR(IF(D367="DIA ÚTIL",INDEX(tblPessoas[R$/h útil],MATCH(E367,tblPessoas[ID],0)),INDEX(tblPessoas[R$/h FDS],MATCH(E367,tblPessoas[ID],0))),0)</f>
        <v>0</v>
      </c>
      <c r="O367" s="3">
        <f>IFERROR(INDEX(tblPessoas[R$/diária],MATCH(E367,tblPessoas[ID],0)),0)</f>
        <v>0</v>
      </c>
      <c r="P367" s="3" t="str">
        <f t="shared" si="22"/>
        <v/>
      </c>
      <c r="Q367" t="str">
        <f>IF(A367="","",IF(COUNTIF(tblBatidas[Início vinculado],"B"&amp;MID($A367,2,99))=0,"EM ABERTO",IF(OR(COUNTIF(tblBatidas[Início vinculado],"B"&amp;MID($A367,2,99))&gt;1,K367&lt;0,K367&gt;16,INT(INDEX(tblBatidas[Data e hora],MATCH("B"&amp;MID($A367,2,99),tblBatidas[Início vinculado],0)))&lt;&gt;B367,INDEX(tblBatidas[ID],MATCH("B"&amp;MID($A367,2,99),tblBatidas[Início vinculado],0))&lt;&gt;E367,INDEX(tblBatidas[Projeto],MATCH("B"&amp;MID($A367,2,99),tblBatidas[Início vinculado],0))&lt;&gt;G367,INDEX(tblBatidas[Atividade],MATCH("B"&amp;MID($A367,2,99),tblBatidas[Início vinculado],0))&lt;&gt;H367),"REVISAR","CONCLUÍDO")))</f>
        <v/>
      </c>
      <c r="R367">
        <f>IF(Q367&lt;&gt;"CONCLUÍDO",0,IF(COUNTIFS($E$5:E367,E367,$B$5:B367,B367,$Q$5:Q367,"CONCLUÍDO")=1,1,0))</f>
        <v>0</v>
      </c>
      <c r="S367" t="str">
        <f t="shared" si="23"/>
        <v/>
      </c>
      <c r="T367" t="str">
        <f>IF(E367="","",E367*100000+COUNTIFS(tblRegistros[ID],E367,tblRegistros[Data],"&lt;"&amp;B367)+COUNTIFS(tblRegistros[ID],E367,tblRegistros[Data],B367,tblRegistros[Início],"&lt;"&amp;I367)+COUNTIFS($E$5:E367,E367,$B$5:B367,B367,$I$5:I367,I367))</f>
        <v/>
      </c>
    </row>
    <row r="368" spans="2:20">
      <c r="B368" s="2" t="str">
        <f>IFERROR(INT(INDEX(tblBatidas[Data e hora],MATCH("B"&amp;MID($A368,2,99),tblBatidas[Batida ID],0))),"")</f>
        <v/>
      </c>
      <c r="C368" t="str">
        <f t="shared" si="20"/>
        <v/>
      </c>
      <c r="D368" t="str">
        <f t="shared" si="21"/>
        <v/>
      </c>
      <c r="E368" t="str">
        <f>IFERROR(INDEX(tblBatidas[ID],MATCH("B"&amp;MID($A368,2,99),tblBatidas[Batida ID],0)),"")</f>
        <v/>
      </c>
      <c r="F368" t="str">
        <f>IFERROR(INDEX(tblPessoas[Pessoa],MATCH(E368,tblPessoas[ID],0)),"")</f>
        <v/>
      </c>
      <c r="G368" t="str">
        <f>IFERROR(INDEX(tblBatidas[Projeto],MATCH("B"&amp;MID($A368,2,99),tblBatidas[Batida ID],0)),"")</f>
        <v/>
      </c>
      <c r="H368" t="str">
        <f>IFERROR(INDEX(tblBatidas[Atividade],MATCH("B"&amp;MID($A368,2,99),tblBatidas[Batida ID],0)),"")</f>
        <v/>
      </c>
      <c r="I368" s="4" t="str">
        <f>IFERROR(MOD(INDEX(tblBatidas[Data e hora],MATCH("B"&amp;MID($A368,2,99),tblBatidas[Batida ID],0)),1),"")</f>
        <v/>
      </c>
      <c r="J368" s="4" t="str">
        <f>IFERROR(MOD(INDEX(tblBatidas[Data e hora],MATCH("B"&amp;MID($A368,2,99),tblBatidas[Início vinculado],0)),1),"")</f>
        <v/>
      </c>
      <c r="K368" s="14" t="str">
        <f>IFERROR((INDEX(tblBatidas[Data e hora],MATCH("B"&amp;MID($A368,2,99),tblBatidas[Início vinculado],0))-INDEX(tblBatidas[Data e hora],MATCH("B"&amp;MID($A368,2,99),tblBatidas[Batida ID],0)))*24,"")</f>
        <v/>
      </c>
      <c r="L368" t="str">
        <f>IFERROR(INDEX(tblBatidas[Observação],MATCH("B"&amp;MID($A368,2,99),tblBatidas[Início vinculado],0)),"")</f>
        <v/>
      </c>
      <c r="M368" t="str">
        <f>IFERROR(INDEX(tblPessoas[Base],MATCH(E368,tblPessoas[ID],0)),"")</f>
        <v/>
      </c>
      <c r="N368" s="3">
        <f>IFERROR(IF(D368="DIA ÚTIL",INDEX(tblPessoas[R$/h útil],MATCH(E368,tblPessoas[ID],0)),INDEX(tblPessoas[R$/h FDS],MATCH(E368,tblPessoas[ID],0))),0)</f>
        <v>0</v>
      </c>
      <c r="O368" s="3">
        <f>IFERROR(INDEX(tblPessoas[R$/diária],MATCH(E368,tblPessoas[ID],0)),0)</f>
        <v>0</v>
      </c>
      <c r="P368" s="3" t="str">
        <f t="shared" si="22"/>
        <v/>
      </c>
      <c r="Q368" t="str">
        <f>IF(A368="","",IF(COUNTIF(tblBatidas[Início vinculado],"B"&amp;MID($A368,2,99))=0,"EM ABERTO",IF(OR(COUNTIF(tblBatidas[Início vinculado],"B"&amp;MID($A368,2,99))&gt;1,K368&lt;0,K368&gt;16,INT(INDEX(tblBatidas[Data e hora],MATCH("B"&amp;MID($A368,2,99),tblBatidas[Início vinculado],0)))&lt;&gt;B368,INDEX(tblBatidas[ID],MATCH("B"&amp;MID($A368,2,99),tblBatidas[Início vinculado],0))&lt;&gt;E368,INDEX(tblBatidas[Projeto],MATCH("B"&amp;MID($A368,2,99),tblBatidas[Início vinculado],0))&lt;&gt;G368,INDEX(tblBatidas[Atividade],MATCH("B"&amp;MID($A368,2,99),tblBatidas[Início vinculado],0))&lt;&gt;H368),"REVISAR","CONCLUÍDO")))</f>
        <v/>
      </c>
      <c r="R368">
        <f>IF(Q368&lt;&gt;"CONCLUÍDO",0,IF(COUNTIFS($E$5:E368,E368,$B$5:B368,B368,$Q$5:Q368,"CONCLUÍDO")=1,1,0))</f>
        <v>0</v>
      </c>
      <c r="S368" t="str">
        <f t="shared" si="23"/>
        <v/>
      </c>
      <c r="T368" t="str">
        <f>IF(E368="","",E368*100000+COUNTIFS(tblRegistros[ID],E368,tblRegistros[Data],"&lt;"&amp;B368)+COUNTIFS(tblRegistros[ID],E368,tblRegistros[Data],B368,tblRegistros[Início],"&lt;"&amp;I368)+COUNTIFS($E$5:E368,E368,$B$5:B368,B368,$I$5:I368,I368))</f>
        <v/>
      </c>
    </row>
    <row r="369" spans="2:20">
      <c r="B369" s="2" t="str">
        <f>IFERROR(INT(INDEX(tblBatidas[Data e hora],MATCH("B"&amp;MID($A369,2,99),tblBatidas[Batida ID],0))),"")</f>
        <v/>
      </c>
      <c r="C369" t="str">
        <f t="shared" si="20"/>
        <v/>
      </c>
      <c r="D369" t="str">
        <f t="shared" si="21"/>
        <v/>
      </c>
      <c r="E369" t="str">
        <f>IFERROR(INDEX(tblBatidas[ID],MATCH("B"&amp;MID($A369,2,99),tblBatidas[Batida ID],0)),"")</f>
        <v/>
      </c>
      <c r="F369" t="str">
        <f>IFERROR(INDEX(tblPessoas[Pessoa],MATCH(E369,tblPessoas[ID],0)),"")</f>
        <v/>
      </c>
      <c r="G369" t="str">
        <f>IFERROR(INDEX(tblBatidas[Projeto],MATCH("B"&amp;MID($A369,2,99),tblBatidas[Batida ID],0)),"")</f>
        <v/>
      </c>
      <c r="H369" t="str">
        <f>IFERROR(INDEX(tblBatidas[Atividade],MATCH("B"&amp;MID($A369,2,99),tblBatidas[Batida ID],0)),"")</f>
        <v/>
      </c>
      <c r="I369" s="4" t="str">
        <f>IFERROR(MOD(INDEX(tblBatidas[Data e hora],MATCH("B"&amp;MID($A369,2,99),tblBatidas[Batida ID],0)),1),"")</f>
        <v/>
      </c>
      <c r="J369" s="4" t="str">
        <f>IFERROR(MOD(INDEX(tblBatidas[Data e hora],MATCH("B"&amp;MID($A369,2,99),tblBatidas[Início vinculado],0)),1),"")</f>
        <v/>
      </c>
      <c r="K369" s="14" t="str">
        <f>IFERROR((INDEX(tblBatidas[Data e hora],MATCH("B"&amp;MID($A369,2,99),tblBatidas[Início vinculado],0))-INDEX(tblBatidas[Data e hora],MATCH("B"&amp;MID($A369,2,99),tblBatidas[Batida ID],0)))*24,"")</f>
        <v/>
      </c>
      <c r="L369" t="str">
        <f>IFERROR(INDEX(tblBatidas[Observação],MATCH("B"&amp;MID($A369,2,99),tblBatidas[Início vinculado],0)),"")</f>
        <v/>
      </c>
      <c r="M369" t="str">
        <f>IFERROR(INDEX(tblPessoas[Base],MATCH(E369,tblPessoas[ID],0)),"")</f>
        <v/>
      </c>
      <c r="N369" s="3">
        <f>IFERROR(IF(D369="DIA ÚTIL",INDEX(tblPessoas[R$/h útil],MATCH(E369,tblPessoas[ID],0)),INDEX(tblPessoas[R$/h FDS],MATCH(E369,tblPessoas[ID],0))),0)</f>
        <v>0</v>
      </c>
      <c r="O369" s="3">
        <f>IFERROR(INDEX(tblPessoas[R$/diária],MATCH(E369,tblPessoas[ID],0)),0)</f>
        <v>0</v>
      </c>
      <c r="P369" s="3" t="str">
        <f t="shared" si="22"/>
        <v/>
      </c>
      <c r="Q369" t="str">
        <f>IF(A369="","",IF(COUNTIF(tblBatidas[Início vinculado],"B"&amp;MID($A369,2,99))=0,"EM ABERTO",IF(OR(COUNTIF(tblBatidas[Início vinculado],"B"&amp;MID($A369,2,99))&gt;1,K369&lt;0,K369&gt;16,INT(INDEX(tblBatidas[Data e hora],MATCH("B"&amp;MID($A369,2,99),tblBatidas[Início vinculado],0)))&lt;&gt;B369,INDEX(tblBatidas[ID],MATCH("B"&amp;MID($A369,2,99),tblBatidas[Início vinculado],0))&lt;&gt;E369,INDEX(tblBatidas[Projeto],MATCH("B"&amp;MID($A369,2,99),tblBatidas[Início vinculado],0))&lt;&gt;G369,INDEX(tblBatidas[Atividade],MATCH("B"&amp;MID($A369,2,99),tblBatidas[Início vinculado],0))&lt;&gt;H369),"REVISAR","CONCLUÍDO")))</f>
        <v/>
      </c>
      <c r="R369">
        <f>IF(Q369&lt;&gt;"CONCLUÍDO",0,IF(COUNTIFS($E$5:E369,E369,$B$5:B369,B369,$Q$5:Q369,"CONCLUÍDO")=1,1,0))</f>
        <v>0</v>
      </c>
      <c r="S369" t="str">
        <f t="shared" si="23"/>
        <v/>
      </c>
      <c r="T369" t="str">
        <f>IF(E369="","",E369*100000+COUNTIFS(tblRegistros[ID],E369,tblRegistros[Data],"&lt;"&amp;B369)+COUNTIFS(tblRegistros[ID],E369,tblRegistros[Data],B369,tblRegistros[Início],"&lt;"&amp;I369)+COUNTIFS($E$5:E369,E369,$B$5:B369,B369,$I$5:I369,I369))</f>
        <v/>
      </c>
    </row>
    <row r="370" spans="2:20">
      <c r="B370" s="2" t="str">
        <f>IFERROR(INT(INDEX(tblBatidas[Data e hora],MATCH("B"&amp;MID($A370,2,99),tblBatidas[Batida ID],0))),"")</f>
        <v/>
      </c>
      <c r="C370" t="str">
        <f t="shared" si="20"/>
        <v/>
      </c>
      <c r="D370" t="str">
        <f t="shared" si="21"/>
        <v/>
      </c>
      <c r="E370" t="str">
        <f>IFERROR(INDEX(tblBatidas[ID],MATCH("B"&amp;MID($A370,2,99),tblBatidas[Batida ID],0)),"")</f>
        <v/>
      </c>
      <c r="F370" t="str">
        <f>IFERROR(INDEX(tblPessoas[Pessoa],MATCH(E370,tblPessoas[ID],0)),"")</f>
        <v/>
      </c>
      <c r="G370" t="str">
        <f>IFERROR(INDEX(tblBatidas[Projeto],MATCH("B"&amp;MID($A370,2,99),tblBatidas[Batida ID],0)),"")</f>
        <v/>
      </c>
      <c r="H370" t="str">
        <f>IFERROR(INDEX(tblBatidas[Atividade],MATCH("B"&amp;MID($A370,2,99),tblBatidas[Batida ID],0)),"")</f>
        <v/>
      </c>
      <c r="I370" s="4" t="str">
        <f>IFERROR(MOD(INDEX(tblBatidas[Data e hora],MATCH("B"&amp;MID($A370,2,99),tblBatidas[Batida ID],0)),1),"")</f>
        <v/>
      </c>
      <c r="J370" s="4" t="str">
        <f>IFERROR(MOD(INDEX(tblBatidas[Data e hora],MATCH("B"&amp;MID($A370,2,99),tblBatidas[Início vinculado],0)),1),"")</f>
        <v/>
      </c>
      <c r="K370" s="14" t="str">
        <f>IFERROR((INDEX(tblBatidas[Data e hora],MATCH("B"&amp;MID($A370,2,99),tblBatidas[Início vinculado],0))-INDEX(tblBatidas[Data e hora],MATCH("B"&amp;MID($A370,2,99),tblBatidas[Batida ID],0)))*24,"")</f>
        <v/>
      </c>
      <c r="L370" t="str">
        <f>IFERROR(INDEX(tblBatidas[Observação],MATCH("B"&amp;MID($A370,2,99),tblBatidas[Início vinculado],0)),"")</f>
        <v/>
      </c>
      <c r="M370" t="str">
        <f>IFERROR(INDEX(tblPessoas[Base],MATCH(E370,tblPessoas[ID],0)),"")</f>
        <v/>
      </c>
      <c r="N370" s="3">
        <f>IFERROR(IF(D370="DIA ÚTIL",INDEX(tblPessoas[R$/h útil],MATCH(E370,tblPessoas[ID],0)),INDEX(tblPessoas[R$/h FDS],MATCH(E370,tblPessoas[ID],0))),0)</f>
        <v>0</v>
      </c>
      <c r="O370" s="3">
        <f>IFERROR(INDEX(tblPessoas[R$/diária],MATCH(E370,tblPessoas[ID],0)),0)</f>
        <v>0</v>
      </c>
      <c r="P370" s="3" t="str">
        <f t="shared" si="22"/>
        <v/>
      </c>
      <c r="Q370" t="str">
        <f>IF(A370="","",IF(COUNTIF(tblBatidas[Início vinculado],"B"&amp;MID($A370,2,99))=0,"EM ABERTO",IF(OR(COUNTIF(tblBatidas[Início vinculado],"B"&amp;MID($A370,2,99))&gt;1,K370&lt;0,K370&gt;16,INT(INDEX(tblBatidas[Data e hora],MATCH("B"&amp;MID($A370,2,99),tblBatidas[Início vinculado],0)))&lt;&gt;B370,INDEX(tblBatidas[ID],MATCH("B"&amp;MID($A370,2,99),tblBatidas[Início vinculado],0))&lt;&gt;E370,INDEX(tblBatidas[Projeto],MATCH("B"&amp;MID($A370,2,99),tblBatidas[Início vinculado],0))&lt;&gt;G370,INDEX(tblBatidas[Atividade],MATCH("B"&amp;MID($A370,2,99),tblBatidas[Início vinculado],0))&lt;&gt;H370),"REVISAR","CONCLUÍDO")))</f>
        <v/>
      </c>
      <c r="R370">
        <f>IF(Q370&lt;&gt;"CONCLUÍDO",0,IF(COUNTIFS($E$5:E370,E370,$B$5:B370,B370,$Q$5:Q370,"CONCLUÍDO")=1,1,0))</f>
        <v>0</v>
      </c>
      <c r="S370" t="str">
        <f t="shared" si="23"/>
        <v/>
      </c>
      <c r="T370" t="str">
        <f>IF(E370="","",E370*100000+COUNTIFS(tblRegistros[ID],E370,tblRegistros[Data],"&lt;"&amp;B370)+COUNTIFS(tblRegistros[ID],E370,tblRegistros[Data],B370,tblRegistros[Início],"&lt;"&amp;I370)+COUNTIFS($E$5:E370,E370,$B$5:B370,B370,$I$5:I370,I370))</f>
        <v/>
      </c>
    </row>
    <row r="371" spans="2:20">
      <c r="B371" s="2" t="str">
        <f>IFERROR(INT(INDEX(tblBatidas[Data e hora],MATCH("B"&amp;MID($A371,2,99),tblBatidas[Batida ID],0))),"")</f>
        <v/>
      </c>
      <c r="C371" t="str">
        <f t="shared" si="20"/>
        <v/>
      </c>
      <c r="D371" t="str">
        <f t="shared" si="21"/>
        <v/>
      </c>
      <c r="E371" t="str">
        <f>IFERROR(INDEX(tblBatidas[ID],MATCH("B"&amp;MID($A371,2,99),tblBatidas[Batida ID],0)),"")</f>
        <v/>
      </c>
      <c r="F371" t="str">
        <f>IFERROR(INDEX(tblPessoas[Pessoa],MATCH(E371,tblPessoas[ID],0)),"")</f>
        <v/>
      </c>
      <c r="G371" t="str">
        <f>IFERROR(INDEX(tblBatidas[Projeto],MATCH("B"&amp;MID($A371,2,99),tblBatidas[Batida ID],0)),"")</f>
        <v/>
      </c>
      <c r="H371" t="str">
        <f>IFERROR(INDEX(tblBatidas[Atividade],MATCH("B"&amp;MID($A371,2,99),tblBatidas[Batida ID],0)),"")</f>
        <v/>
      </c>
      <c r="I371" s="4" t="str">
        <f>IFERROR(MOD(INDEX(tblBatidas[Data e hora],MATCH("B"&amp;MID($A371,2,99),tblBatidas[Batida ID],0)),1),"")</f>
        <v/>
      </c>
      <c r="J371" s="4" t="str">
        <f>IFERROR(MOD(INDEX(tblBatidas[Data e hora],MATCH("B"&amp;MID($A371,2,99),tblBatidas[Início vinculado],0)),1),"")</f>
        <v/>
      </c>
      <c r="K371" s="14" t="str">
        <f>IFERROR((INDEX(tblBatidas[Data e hora],MATCH("B"&amp;MID($A371,2,99),tblBatidas[Início vinculado],0))-INDEX(tblBatidas[Data e hora],MATCH("B"&amp;MID($A371,2,99),tblBatidas[Batida ID],0)))*24,"")</f>
        <v/>
      </c>
      <c r="L371" t="str">
        <f>IFERROR(INDEX(tblBatidas[Observação],MATCH("B"&amp;MID($A371,2,99),tblBatidas[Início vinculado],0)),"")</f>
        <v/>
      </c>
      <c r="M371" t="str">
        <f>IFERROR(INDEX(tblPessoas[Base],MATCH(E371,tblPessoas[ID],0)),"")</f>
        <v/>
      </c>
      <c r="N371" s="3">
        <f>IFERROR(IF(D371="DIA ÚTIL",INDEX(tblPessoas[R$/h útil],MATCH(E371,tblPessoas[ID],0)),INDEX(tblPessoas[R$/h FDS],MATCH(E371,tblPessoas[ID],0))),0)</f>
        <v>0</v>
      </c>
      <c r="O371" s="3">
        <f>IFERROR(INDEX(tblPessoas[R$/diária],MATCH(E371,tblPessoas[ID],0)),0)</f>
        <v>0</v>
      </c>
      <c r="P371" s="3" t="str">
        <f t="shared" si="22"/>
        <v/>
      </c>
      <c r="Q371" t="str">
        <f>IF(A371="","",IF(COUNTIF(tblBatidas[Início vinculado],"B"&amp;MID($A371,2,99))=0,"EM ABERTO",IF(OR(COUNTIF(tblBatidas[Início vinculado],"B"&amp;MID($A371,2,99))&gt;1,K371&lt;0,K371&gt;16,INT(INDEX(tblBatidas[Data e hora],MATCH("B"&amp;MID($A371,2,99),tblBatidas[Início vinculado],0)))&lt;&gt;B371,INDEX(tblBatidas[ID],MATCH("B"&amp;MID($A371,2,99),tblBatidas[Início vinculado],0))&lt;&gt;E371,INDEX(tblBatidas[Projeto],MATCH("B"&amp;MID($A371,2,99),tblBatidas[Início vinculado],0))&lt;&gt;G371,INDEX(tblBatidas[Atividade],MATCH("B"&amp;MID($A371,2,99),tblBatidas[Início vinculado],0))&lt;&gt;H371),"REVISAR","CONCLUÍDO")))</f>
        <v/>
      </c>
      <c r="R371">
        <f>IF(Q371&lt;&gt;"CONCLUÍDO",0,IF(COUNTIFS($E$5:E371,E371,$B$5:B371,B371,$Q$5:Q371,"CONCLUÍDO")=1,1,0))</f>
        <v>0</v>
      </c>
      <c r="S371" t="str">
        <f t="shared" si="23"/>
        <v/>
      </c>
      <c r="T371" t="str">
        <f>IF(E371="","",E371*100000+COUNTIFS(tblRegistros[ID],E371,tblRegistros[Data],"&lt;"&amp;B371)+COUNTIFS(tblRegistros[ID],E371,tblRegistros[Data],B371,tblRegistros[Início],"&lt;"&amp;I371)+COUNTIFS($E$5:E371,E371,$B$5:B371,B371,$I$5:I371,I371))</f>
        <v/>
      </c>
    </row>
    <row r="372" spans="2:20">
      <c r="B372" s="2" t="str">
        <f>IFERROR(INT(INDEX(tblBatidas[Data e hora],MATCH("B"&amp;MID($A372,2,99),tblBatidas[Batida ID],0))),"")</f>
        <v/>
      </c>
      <c r="C372" t="str">
        <f t="shared" si="20"/>
        <v/>
      </c>
      <c r="D372" t="str">
        <f t="shared" si="21"/>
        <v/>
      </c>
      <c r="E372" t="str">
        <f>IFERROR(INDEX(tblBatidas[ID],MATCH("B"&amp;MID($A372,2,99),tblBatidas[Batida ID],0)),"")</f>
        <v/>
      </c>
      <c r="F372" t="str">
        <f>IFERROR(INDEX(tblPessoas[Pessoa],MATCH(E372,tblPessoas[ID],0)),"")</f>
        <v/>
      </c>
      <c r="G372" t="str">
        <f>IFERROR(INDEX(tblBatidas[Projeto],MATCH("B"&amp;MID($A372,2,99),tblBatidas[Batida ID],0)),"")</f>
        <v/>
      </c>
      <c r="H372" t="str">
        <f>IFERROR(INDEX(tblBatidas[Atividade],MATCH("B"&amp;MID($A372,2,99),tblBatidas[Batida ID],0)),"")</f>
        <v/>
      </c>
      <c r="I372" s="4" t="str">
        <f>IFERROR(MOD(INDEX(tblBatidas[Data e hora],MATCH("B"&amp;MID($A372,2,99),tblBatidas[Batida ID],0)),1),"")</f>
        <v/>
      </c>
      <c r="J372" s="4" t="str">
        <f>IFERROR(MOD(INDEX(tblBatidas[Data e hora],MATCH("B"&amp;MID($A372,2,99),tblBatidas[Início vinculado],0)),1),"")</f>
        <v/>
      </c>
      <c r="K372" s="14" t="str">
        <f>IFERROR((INDEX(tblBatidas[Data e hora],MATCH("B"&amp;MID($A372,2,99),tblBatidas[Início vinculado],0))-INDEX(tblBatidas[Data e hora],MATCH("B"&amp;MID($A372,2,99),tblBatidas[Batida ID],0)))*24,"")</f>
        <v/>
      </c>
      <c r="L372" t="str">
        <f>IFERROR(INDEX(tblBatidas[Observação],MATCH("B"&amp;MID($A372,2,99),tblBatidas[Início vinculado],0)),"")</f>
        <v/>
      </c>
      <c r="M372" t="str">
        <f>IFERROR(INDEX(tblPessoas[Base],MATCH(E372,tblPessoas[ID],0)),"")</f>
        <v/>
      </c>
      <c r="N372" s="3">
        <f>IFERROR(IF(D372="DIA ÚTIL",INDEX(tblPessoas[R$/h útil],MATCH(E372,tblPessoas[ID],0)),INDEX(tblPessoas[R$/h FDS],MATCH(E372,tblPessoas[ID],0))),0)</f>
        <v>0</v>
      </c>
      <c r="O372" s="3">
        <f>IFERROR(INDEX(tblPessoas[R$/diária],MATCH(E372,tblPessoas[ID],0)),0)</f>
        <v>0</v>
      </c>
      <c r="P372" s="3" t="str">
        <f t="shared" si="22"/>
        <v/>
      </c>
      <c r="Q372" t="str">
        <f>IF(A372="","",IF(COUNTIF(tblBatidas[Início vinculado],"B"&amp;MID($A372,2,99))=0,"EM ABERTO",IF(OR(COUNTIF(tblBatidas[Início vinculado],"B"&amp;MID($A372,2,99))&gt;1,K372&lt;0,K372&gt;16,INT(INDEX(tblBatidas[Data e hora],MATCH("B"&amp;MID($A372,2,99),tblBatidas[Início vinculado],0)))&lt;&gt;B372,INDEX(tblBatidas[ID],MATCH("B"&amp;MID($A372,2,99),tblBatidas[Início vinculado],0))&lt;&gt;E372,INDEX(tblBatidas[Projeto],MATCH("B"&amp;MID($A372,2,99),tblBatidas[Início vinculado],0))&lt;&gt;G372,INDEX(tblBatidas[Atividade],MATCH("B"&amp;MID($A372,2,99),tblBatidas[Início vinculado],0))&lt;&gt;H372),"REVISAR","CONCLUÍDO")))</f>
        <v/>
      </c>
      <c r="R372">
        <f>IF(Q372&lt;&gt;"CONCLUÍDO",0,IF(COUNTIFS($E$5:E372,E372,$B$5:B372,B372,$Q$5:Q372,"CONCLUÍDO")=1,1,0))</f>
        <v>0</v>
      </c>
      <c r="S372" t="str">
        <f t="shared" si="23"/>
        <v/>
      </c>
      <c r="T372" t="str">
        <f>IF(E372="","",E372*100000+COUNTIFS(tblRegistros[ID],E372,tblRegistros[Data],"&lt;"&amp;B372)+COUNTIFS(tblRegistros[ID],E372,tblRegistros[Data],B372,tblRegistros[Início],"&lt;"&amp;I372)+COUNTIFS($E$5:E372,E372,$B$5:B372,B372,$I$5:I372,I372))</f>
        <v/>
      </c>
    </row>
    <row r="373" spans="2:20">
      <c r="B373" s="2" t="str">
        <f>IFERROR(INT(INDEX(tblBatidas[Data e hora],MATCH("B"&amp;MID($A373,2,99),tblBatidas[Batida ID],0))),"")</f>
        <v/>
      </c>
      <c r="C373" t="str">
        <f t="shared" si="20"/>
        <v/>
      </c>
      <c r="D373" t="str">
        <f t="shared" si="21"/>
        <v/>
      </c>
      <c r="E373" t="str">
        <f>IFERROR(INDEX(tblBatidas[ID],MATCH("B"&amp;MID($A373,2,99),tblBatidas[Batida ID],0)),"")</f>
        <v/>
      </c>
      <c r="F373" t="str">
        <f>IFERROR(INDEX(tblPessoas[Pessoa],MATCH(E373,tblPessoas[ID],0)),"")</f>
        <v/>
      </c>
      <c r="G373" t="str">
        <f>IFERROR(INDEX(tblBatidas[Projeto],MATCH("B"&amp;MID($A373,2,99),tblBatidas[Batida ID],0)),"")</f>
        <v/>
      </c>
      <c r="H373" t="str">
        <f>IFERROR(INDEX(tblBatidas[Atividade],MATCH("B"&amp;MID($A373,2,99),tblBatidas[Batida ID],0)),"")</f>
        <v/>
      </c>
      <c r="I373" s="4" t="str">
        <f>IFERROR(MOD(INDEX(tblBatidas[Data e hora],MATCH("B"&amp;MID($A373,2,99),tblBatidas[Batida ID],0)),1),"")</f>
        <v/>
      </c>
      <c r="J373" s="4" t="str">
        <f>IFERROR(MOD(INDEX(tblBatidas[Data e hora],MATCH("B"&amp;MID($A373,2,99),tblBatidas[Início vinculado],0)),1),"")</f>
        <v/>
      </c>
      <c r="K373" s="14" t="str">
        <f>IFERROR((INDEX(tblBatidas[Data e hora],MATCH("B"&amp;MID($A373,2,99),tblBatidas[Início vinculado],0))-INDEX(tblBatidas[Data e hora],MATCH("B"&amp;MID($A373,2,99),tblBatidas[Batida ID],0)))*24,"")</f>
        <v/>
      </c>
      <c r="L373" t="str">
        <f>IFERROR(INDEX(tblBatidas[Observação],MATCH("B"&amp;MID($A373,2,99),tblBatidas[Início vinculado],0)),"")</f>
        <v/>
      </c>
      <c r="M373" t="str">
        <f>IFERROR(INDEX(tblPessoas[Base],MATCH(E373,tblPessoas[ID],0)),"")</f>
        <v/>
      </c>
      <c r="N373" s="3">
        <f>IFERROR(IF(D373="DIA ÚTIL",INDEX(tblPessoas[R$/h útil],MATCH(E373,tblPessoas[ID],0)),INDEX(tblPessoas[R$/h FDS],MATCH(E373,tblPessoas[ID],0))),0)</f>
        <v>0</v>
      </c>
      <c r="O373" s="3">
        <f>IFERROR(INDEX(tblPessoas[R$/diária],MATCH(E373,tblPessoas[ID],0)),0)</f>
        <v>0</v>
      </c>
      <c r="P373" s="3" t="str">
        <f t="shared" si="22"/>
        <v/>
      </c>
      <c r="Q373" t="str">
        <f>IF(A373="","",IF(COUNTIF(tblBatidas[Início vinculado],"B"&amp;MID($A373,2,99))=0,"EM ABERTO",IF(OR(COUNTIF(tblBatidas[Início vinculado],"B"&amp;MID($A373,2,99))&gt;1,K373&lt;0,K373&gt;16,INT(INDEX(tblBatidas[Data e hora],MATCH("B"&amp;MID($A373,2,99),tblBatidas[Início vinculado],0)))&lt;&gt;B373,INDEX(tblBatidas[ID],MATCH("B"&amp;MID($A373,2,99),tblBatidas[Início vinculado],0))&lt;&gt;E373,INDEX(tblBatidas[Projeto],MATCH("B"&amp;MID($A373,2,99),tblBatidas[Início vinculado],0))&lt;&gt;G373,INDEX(tblBatidas[Atividade],MATCH("B"&amp;MID($A373,2,99),tblBatidas[Início vinculado],0))&lt;&gt;H373),"REVISAR","CONCLUÍDO")))</f>
        <v/>
      </c>
      <c r="R373">
        <f>IF(Q373&lt;&gt;"CONCLUÍDO",0,IF(COUNTIFS($E$5:E373,E373,$B$5:B373,B373,$Q$5:Q373,"CONCLUÍDO")=1,1,0))</f>
        <v>0</v>
      </c>
      <c r="S373" t="str">
        <f t="shared" si="23"/>
        <v/>
      </c>
      <c r="T373" t="str">
        <f>IF(E373="","",E373*100000+COUNTIFS(tblRegistros[ID],E373,tblRegistros[Data],"&lt;"&amp;B373)+COUNTIFS(tblRegistros[ID],E373,tblRegistros[Data],B373,tblRegistros[Início],"&lt;"&amp;I373)+COUNTIFS($E$5:E373,E373,$B$5:B373,B373,$I$5:I373,I373))</f>
        <v/>
      </c>
    </row>
    <row r="374" spans="2:20">
      <c r="B374" s="2" t="str">
        <f>IFERROR(INT(INDEX(tblBatidas[Data e hora],MATCH("B"&amp;MID($A374,2,99),tblBatidas[Batida ID],0))),"")</f>
        <v/>
      </c>
      <c r="C374" t="str">
        <f t="shared" si="20"/>
        <v/>
      </c>
      <c r="D374" t="str">
        <f t="shared" si="21"/>
        <v/>
      </c>
      <c r="E374" t="str">
        <f>IFERROR(INDEX(tblBatidas[ID],MATCH("B"&amp;MID($A374,2,99),tblBatidas[Batida ID],0)),"")</f>
        <v/>
      </c>
      <c r="F374" t="str">
        <f>IFERROR(INDEX(tblPessoas[Pessoa],MATCH(E374,tblPessoas[ID],0)),"")</f>
        <v/>
      </c>
      <c r="G374" t="str">
        <f>IFERROR(INDEX(tblBatidas[Projeto],MATCH("B"&amp;MID($A374,2,99),tblBatidas[Batida ID],0)),"")</f>
        <v/>
      </c>
      <c r="H374" t="str">
        <f>IFERROR(INDEX(tblBatidas[Atividade],MATCH("B"&amp;MID($A374,2,99),tblBatidas[Batida ID],0)),"")</f>
        <v/>
      </c>
      <c r="I374" s="4" t="str">
        <f>IFERROR(MOD(INDEX(tblBatidas[Data e hora],MATCH("B"&amp;MID($A374,2,99),tblBatidas[Batida ID],0)),1),"")</f>
        <v/>
      </c>
      <c r="J374" s="4" t="str">
        <f>IFERROR(MOD(INDEX(tblBatidas[Data e hora],MATCH("B"&amp;MID($A374,2,99),tblBatidas[Início vinculado],0)),1),"")</f>
        <v/>
      </c>
      <c r="K374" s="14" t="str">
        <f>IFERROR((INDEX(tblBatidas[Data e hora],MATCH("B"&amp;MID($A374,2,99),tblBatidas[Início vinculado],0))-INDEX(tblBatidas[Data e hora],MATCH("B"&amp;MID($A374,2,99),tblBatidas[Batida ID],0)))*24,"")</f>
        <v/>
      </c>
      <c r="L374" t="str">
        <f>IFERROR(INDEX(tblBatidas[Observação],MATCH("B"&amp;MID($A374,2,99),tblBatidas[Início vinculado],0)),"")</f>
        <v/>
      </c>
      <c r="M374" t="str">
        <f>IFERROR(INDEX(tblPessoas[Base],MATCH(E374,tblPessoas[ID],0)),"")</f>
        <v/>
      </c>
      <c r="N374" s="3">
        <f>IFERROR(IF(D374="DIA ÚTIL",INDEX(tblPessoas[R$/h útil],MATCH(E374,tblPessoas[ID],0)),INDEX(tblPessoas[R$/h FDS],MATCH(E374,tblPessoas[ID],0))),0)</f>
        <v>0</v>
      </c>
      <c r="O374" s="3">
        <f>IFERROR(INDEX(tblPessoas[R$/diária],MATCH(E374,tblPessoas[ID],0)),0)</f>
        <v>0</v>
      </c>
      <c r="P374" s="3" t="str">
        <f t="shared" si="22"/>
        <v/>
      </c>
      <c r="Q374" t="str">
        <f>IF(A374="","",IF(COUNTIF(tblBatidas[Início vinculado],"B"&amp;MID($A374,2,99))=0,"EM ABERTO",IF(OR(COUNTIF(tblBatidas[Início vinculado],"B"&amp;MID($A374,2,99))&gt;1,K374&lt;0,K374&gt;16,INT(INDEX(tblBatidas[Data e hora],MATCH("B"&amp;MID($A374,2,99),tblBatidas[Início vinculado],0)))&lt;&gt;B374,INDEX(tblBatidas[ID],MATCH("B"&amp;MID($A374,2,99),tblBatidas[Início vinculado],0))&lt;&gt;E374,INDEX(tblBatidas[Projeto],MATCH("B"&amp;MID($A374,2,99),tblBatidas[Início vinculado],0))&lt;&gt;G374,INDEX(tblBatidas[Atividade],MATCH("B"&amp;MID($A374,2,99),tblBatidas[Início vinculado],0))&lt;&gt;H374),"REVISAR","CONCLUÍDO")))</f>
        <v/>
      </c>
      <c r="R374">
        <f>IF(Q374&lt;&gt;"CONCLUÍDO",0,IF(COUNTIFS($E$5:E374,E374,$B$5:B374,B374,$Q$5:Q374,"CONCLUÍDO")=1,1,0))</f>
        <v>0</v>
      </c>
      <c r="S374" t="str">
        <f t="shared" si="23"/>
        <v/>
      </c>
      <c r="T374" t="str">
        <f>IF(E374="","",E374*100000+COUNTIFS(tblRegistros[ID],E374,tblRegistros[Data],"&lt;"&amp;B374)+COUNTIFS(tblRegistros[ID],E374,tblRegistros[Data],B374,tblRegistros[Início],"&lt;"&amp;I374)+COUNTIFS($E$5:E374,E374,$B$5:B374,B374,$I$5:I374,I374))</f>
        <v/>
      </c>
    </row>
    <row r="375" spans="2:20">
      <c r="B375" s="2" t="str">
        <f>IFERROR(INT(INDEX(tblBatidas[Data e hora],MATCH("B"&amp;MID($A375,2,99),tblBatidas[Batida ID],0))),"")</f>
        <v/>
      </c>
      <c r="C375" t="str">
        <f t="shared" si="20"/>
        <v/>
      </c>
      <c r="D375" t="str">
        <f t="shared" si="21"/>
        <v/>
      </c>
      <c r="E375" t="str">
        <f>IFERROR(INDEX(tblBatidas[ID],MATCH("B"&amp;MID($A375,2,99),tblBatidas[Batida ID],0)),"")</f>
        <v/>
      </c>
      <c r="F375" t="str">
        <f>IFERROR(INDEX(tblPessoas[Pessoa],MATCH(E375,tblPessoas[ID],0)),"")</f>
        <v/>
      </c>
      <c r="G375" t="str">
        <f>IFERROR(INDEX(tblBatidas[Projeto],MATCH("B"&amp;MID($A375,2,99),tblBatidas[Batida ID],0)),"")</f>
        <v/>
      </c>
      <c r="H375" t="str">
        <f>IFERROR(INDEX(tblBatidas[Atividade],MATCH("B"&amp;MID($A375,2,99),tblBatidas[Batida ID],0)),"")</f>
        <v/>
      </c>
      <c r="I375" s="4" t="str">
        <f>IFERROR(MOD(INDEX(tblBatidas[Data e hora],MATCH("B"&amp;MID($A375,2,99),tblBatidas[Batida ID],0)),1),"")</f>
        <v/>
      </c>
      <c r="J375" s="4" t="str">
        <f>IFERROR(MOD(INDEX(tblBatidas[Data e hora],MATCH("B"&amp;MID($A375,2,99),tblBatidas[Início vinculado],0)),1),"")</f>
        <v/>
      </c>
      <c r="K375" s="14" t="str">
        <f>IFERROR((INDEX(tblBatidas[Data e hora],MATCH("B"&amp;MID($A375,2,99),tblBatidas[Início vinculado],0))-INDEX(tblBatidas[Data e hora],MATCH("B"&amp;MID($A375,2,99),tblBatidas[Batida ID],0)))*24,"")</f>
        <v/>
      </c>
      <c r="L375" t="str">
        <f>IFERROR(INDEX(tblBatidas[Observação],MATCH("B"&amp;MID($A375,2,99),tblBatidas[Início vinculado],0)),"")</f>
        <v/>
      </c>
      <c r="M375" t="str">
        <f>IFERROR(INDEX(tblPessoas[Base],MATCH(E375,tblPessoas[ID],0)),"")</f>
        <v/>
      </c>
      <c r="N375" s="3">
        <f>IFERROR(IF(D375="DIA ÚTIL",INDEX(tblPessoas[R$/h útil],MATCH(E375,tblPessoas[ID],0)),INDEX(tblPessoas[R$/h FDS],MATCH(E375,tblPessoas[ID],0))),0)</f>
        <v>0</v>
      </c>
      <c r="O375" s="3">
        <f>IFERROR(INDEX(tblPessoas[R$/diária],MATCH(E375,tblPessoas[ID],0)),0)</f>
        <v>0</v>
      </c>
      <c r="P375" s="3" t="str">
        <f t="shared" si="22"/>
        <v/>
      </c>
      <c r="Q375" t="str">
        <f>IF(A375="","",IF(COUNTIF(tblBatidas[Início vinculado],"B"&amp;MID($A375,2,99))=0,"EM ABERTO",IF(OR(COUNTIF(tblBatidas[Início vinculado],"B"&amp;MID($A375,2,99))&gt;1,K375&lt;0,K375&gt;16,INT(INDEX(tblBatidas[Data e hora],MATCH("B"&amp;MID($A375,2,99),tblBatidas[Início vinculado],0)))&lt;&gt;B375,INDEX(tblBatidas[ID],MATCH("B"&amp;MID($A375,2,99),tblBatidas[Início vinculado],0))&lt;&gt;E375,INDEX(tblBatidas[Projeto],MATCH("B"&amp;MID($A375,2,99),tblBatidas[Início vinculado],0))&lt;&gt;G375,INDEX(tblBatidas[Atividade],MATCH("B"&amp;MID($A375,2,99),tblBatidas[Início vinculado],0))&lt;&gt;H375),"REVISAR","CONCLUÍDO")))</f>
        <v/>
      </c>
      <c r="R375">
        <f>IF(Q375&lt;&gt;"CONCLUÍDO",0,IF(COUNTIFS($E$5:E375,E375,$B$5:B375,B375,$Q$5:Q375,"CONCLUÍDO")=1,1,0))</f>
        <v>0</v>
      </c>
      <c r="S375" t="str">
        <f t="shared" si="23"/>
        <v/>
      </c>
      <c r="T375" t="str">
        <f>IF(E375="","",E375*100000+COUNTIFS(tblRegistros[ID],E375,tblRegistros[Data],"&lt;"&amp;B375)+COUNTIFS(tblRegistros[ID],E375,tblRegistros[Data],B375,tblRegistros[Início],"&lt;"&amp;I375)+COUNTIFS($E$5:E375,E375,$B$5:B375,B375,$I$5:I375,I375))</f>
        <v/>
      </c>
    </row>
    <row r="376" spans="2:20">
      <c r="B376" s="2" t="str">
        <f>IFERROR(INT(INDEX(tblBatidas[Data e hora],MATCH("B"&amp;MID($A376,2,99),tblBatidas[Batida ID],0))),"")</f>
        <v/>
      </c>
      <c r="C376" t="str">
        <f t="shared" si="20"/>
        <v/>
      </c>
      <c r="D376" t="str">
        <f t="shared" si="21"/>
        <v/>
      </c>
      <c r="E376" t="str">
        <f>IFERROR(INDEX(tblBatidas[ID],MATCH("B"&amp;MID($A376,2,99),tblBatidas[Batida ID],0)),"")</f>
        <v/>
      </c>
      <c r="F376" t="str">
        <f>IFERROR(INDEX(tblPessoas[Pessoa],MATCH(E376,tblPessoas[ID],0)),"")</f>
        <v/>
      </c>
      <c r="G376" t="str">
        <f>IFERROR(INDEX(tblBatidas[Projeto],MATCH("B"&amp;MID($A376,2,99),tblBatidas[Batida ID],0)),"")</f>
        <v/>
      </c>
      <c r="H376" t="str">
        <f>IFERROR(INDEX(tblBatidas[Atividade],MATCH("B"&amp;MID($A376,2,99),tblBatidas[Batida ID],0)),"")</f>
        <v/>
      </c>
      <c r="I376" s="4" t="str">
        <f>IFERROR(MOD(INDEX(tblBatidas[Data e hora],MATCH("B"&amp;MID($A376,2,99),tblBatidas[Batida ID],0)),1),"")</f>
        <v/>
      </c>
      <c r="J376" s="4" t="str">
        <f>IFERROR(MOD(INDEX(tblBatidas[Data e hora],MATCH("B"&amp;MID($A376,2,99),tblBatidas[Início vinculado],0)),1),"")</f>
        <v/>
      </c>
      <c r="K376" s="14" t="str">
        <f>IFERROR((INDEX(tblBatidas[Data e hora],MATCH("B"&amp;MID($A376,2,99),tblBatidas[Início vinculado],0))-INDEX(tblBatidas[Data e hora],MATCH("B"&amp;MID($A376,2,99),tblBatidas[Batida ID],0)))*24,"")</f>
        <v/>
      </c>
      <c r="L376" t="str">
        <f>IFERROR(INDEX(tblBatidas[Observação],MATCH("B"&amp;MID($A376,2,99),tblBatidas[Início vinculado],0)),"")</f>
        <v/>
      </c>
      <c r="M376" t="str">
        <f>IFERROR(INDEX(tblPessoas[Base],MATCH(E376,tblPessoas[ID],0)),"")</f>
        <v/>
      </c>
      <c r="N376" s="3">
        <f>IFERROR(IF(D376="DIA ÚTIL",INDEX(tblPessoas[R$/h útil],MATCH(E376,tblPessoas[ID],0)),INDEX(tblPessoas[R$/h FDS],MATCH(E376,tblPessoas[ID],0))),0)</f>
        <v>0</v>
      </c>
      <c r="O376" s="3">
        <f>IFERROR(INDEX(tblPessoas[R$/diária],MATCH(E376,tblPessoas[ID],0)),0)</f>
        <v>0</v>
      </c>
      <c r="P376" s="3" t="str">
        <f t="shared" si="22"/>
        <v/>
      </c>
      <c r="Q376" t="str">
        <f>IF(A376="","",IF(COUNTIF(tblBatidas[Início vinculado],"B"&amp;MID($A376,2,99))=0,"EM ABERTO",IF(OR(COUNTIF(tblBatidas[Início vinculado],"B"&amp;MID($A376,2,99))&gt;1,K376&lt;0,K376&gt;16,INT(INDEX(tblBatidas[Data e hora],MATCH("B"&amp;MID($A376,2,99),tblBatidas[Início vinculado],0)))&lt;&gt;B376,INDEX(tblBatidas[ID],MATCH("B"&amp;MID($A376,2,99),tblBatidas[Início vinculado],0))&lt;&gt;E376,INDEX(tblBatidas[Projeto],MATCH("B"&amp;MID($A376,2,99),tblBatidas[Início vinculado],0))&lt;&gt;G376,INDEX(tblBatidas[Atividade],MATCH("B"&amp;MID($A376,2,99),tblBatidas[Início vinculado],0))&lt;&gt;H376),"REVISAR","CONCLUÍDO")))</f>
        <v/>
      </c>
      <c r="R376">
        <f>IF(Q376&lt;&gt;"CONCLUÍDO",0,IF(COUNTIFS($E$5:E376,E376,$B$5:B376,B376,$Q$5:Q376,"CONCLUÍDO")=1,1,0))</f>
        <v>0</v>
      </c>
      <c r="S376" t="str">
        <f t="shared" si="23"/>
        <v/>
      </c>
      <c r="T376" t="str">
        <f>IF(E376="","",E376*100000+COUNTIFS(tblRegistros[ID],E376,tblRegistros[Data],"&lt;"&amp;B376)+COUNTIFS(tblRegistros[ID],E376,tblRegistros[Data],B376,tblRegistros[Início],"&lt;"&amp;I376)+COUNTIFS($E$5:E376,E376,$B$5:B376,B376,$I$5:I376,I376))</f>
        <v/>
      </c>
    </row>
    <row r="377" spans="2:20">
      <c r="B377" s="2" t="str">
        <f>IFERROR(INT(INDEX(tblBatidas[Data e hora],MATCH("B"&amp;MID($A377,2,99),tblBatidas[Batida ID],0))),"")</f>
        <v/>
      </c>
      <c r="C377" t="str">
        <f t="shared" si="20"/>
        <v/>
      </c>
      <c r="D377" t="str">
        <f t="shared" si="21"/>
        <v/>
      </c>
      <c r="E377" t="str">
        <f>IFERROR(INDEX(tblBatidas[ID],MATCH("B"&amp;MID($A377,2,99),tblBatidas[Batida ID],0)),"")</f>
        <v/>
      </c>
      <c r="F377" t="str">
        <f>IFERROR(INDEX(tblPessoas[Pessoa],MATCH(E377,tblPessoas[ID],0)),"")</f>
        <v/>
      </c>
      <c r="G377" t="str">
        <f>IFERROR(INDEX(tblBatidas[Projeto],MATCH("B"&amp;MID($A377,2,99),tblBatidas[Batida ID],0)),"")</f>
        <v/>
      </c>
      <c r="H377" t="str">
        <f>IFERROR(INDEX(tblBatidas[Atividade],MATCH("B"&amp;MID($A377,2,99),tblBatidas[Batida ID],0)),"")</f>
        <v/>
      </c>
      <c r="I377" s="4" t="str">
        <f>IFERROR(MOD(INDEX(tblBatidas[Data e hora],MATCH("B"&amp;MID($A377,2,99),tblBatidas[Batida ID],0)),1),"")</f>
        <v/>
      </c>
      <c r="J377" s="4" t="str">
        <f>IFERROR(MOD(INDEX(tblBatidas[Data e hora],MATCH("B"&amp;MID($A377,2,99),tblBatidas[Início vinculado],0)),1),"")</f>
        <v/>
      </c>
      <c r="K377" s="14" t="str">
        <f>IFERROR((INDEX(tblBatidas[Data e hora],MATCH("B"&amp;MID($A377,2,99),tblBatidas[Início vinculado],0))-INDEX(tblBatidas[Data e hora],MATCH("B"&amp;MID($A377,2,99),tblBatidas[Batida ID],0)))*24,"")</f>
        <v/>
      </c>
      <c r="L377" t="str">
        <f>IFERROR(INDEX(tblBatidas[Observação],MATCH("B"&amp;MID($A377,2,99),tblBatidas[Início vinculado],0)),"")</f>
        <v/>
      </c>
      <c r="M377" t="str">
        <f>IFERROR(INDEX(tblPessoas[Base],MATCH(E377,tblPessoas[ID],0)),"")</f>
        <v/>
      </c>
      <c r="N377" s="3">
        <f>IFERROR(IF(D377="DIA ÚTIL",INDEX(tblPessoas[R$/h útil],MATCH(E377,tblPessoas[ID],0)),INDEX(tblPessoas[R$/h FDS],MATCH(E377,tblPessoas[ID],0))),0)</f>
        <v>0</v>
      </c>
      <c r="O377" s="3">
        <f>IFERROR(INDEX(tblPessoas[R$/diária],MATCH(E377,tblPessoas[ID],0)),0)</f>
        <v>0</v>
      </c>
      <c r="P377" s="3" t="str">
        <f t="shared" si="22"/>
        <v/>
      </c>
      <c r="Q377" t="str">
        <f>IF(A377="","",IF(COUNTIF(tblBatidas[Início vinculado],"B"&amp;MID($A377,2,99))=0,"EM ABERTO",IF(OR(COUNTIF(tblBatidas[Início vinculado],"B"&amp;MID($A377,2,99))&gt;1,K377&lt;0,K377&gt;16,INT(INDEX(tblBatidas[Data e hora],MATCH("B"&amp;MID($A377,2,99),tblBatidas[Início vinculado],0)))&lt;&gt;B377,INDEX(tblBatidas[ID],MATCH("B"&amp;MID($A377,2,99),tblBatidas[Início vinculado],0))&lt;&gt;E377,INDEX(tblBatidas[Projeto],MATCH("B"&amp;MID($A377,2,99),tblBatidas[Início vinculado],0))&lt;&gt;G377,INDEX(tblBatidas[Atividade],MATCH("B"&amp;MID($A377,2,99),tblBatidas[Início vinculado],0))&lt;&gt;H377),"REVISAR","CONCLUÍDO")))</f>
        <v/>
      </c>
      <c r="R377">
        <f>IF(Q377&lt;&gt;"CONCLUÍDO",0,IF(COUNTIFS($E$5:E377,E377,$B$5:B377,B377,$Q$5:Q377,"CONCLUÍDO")=1,1,0))</f>
        <v>0</v>
      </c>
      <c r="S377" t="str">
        <f t="shared" si="23"/>
        <v/>
      </c>
      <c r="T377" t="str">
        <f>IF(E377="","",E377*100000+COUNTIFS(tblRegistros[ID],E377,tblRegistros[Data],"&lt;"&amp;B377)+COUNTIFS(tblRegistros[ID],E377,tblRegistros[Data],B377,tblRegistros[Início],"&lt;"&amp;I377)+COUNTIFS($E$5:E377,E377,$B$5:B377,B377,$I$5:I377,I377))</f>
        <v/>
      </c>
    </row>
    <row r="378" spans="2:20">
      <c r="B378" s="2" t="str">
        <f>IFERROR(INT(INDEX(tblBatidas[Data e hora],MATCH("B"&amp;MID($A378,2,99),tblBatidas[Batida ID],0))),"")</f>
        <v/>
      </c>
      <c r="C378" t="str">
        <f t="shared" si="20"/>
        <v/>
      </c>
      <c r="D378" t="str">
        <f t="shared" si="21"/>
        <v/>
      </c>
      <c r="E378" t="str">
        <f>IFERROR(INDEX(tblBatidas[ID],MATCH("B"&amp;MID($A378,2,99),tblBatidas[Batida ID],0)),"")</f>
        <v/>
      </c>
      <c r="F378" t="str">
        <f>IFERROR(INDEX(tblPessoas[Pessoa],MATCH(E378,tblPessoas[ID],0)),"")</f>
        <v/>
      </c>
      <c r="G378" t="str">
        <f>IFERROR(INDEX(tblBatidas[Projeto],MATCH("B"&amp;MID($A378,2,99),tblBatidas[Batida ID],0)),"")</f>
        <v/>
      </c>
      <c r="H378" t="str">
        <f>IFERROR(INDEX(tblBatidas[Atividade],MATCH("B"&amp;MID($A378,2,99),tblBatidas[Batida ID],0)),"")</f>
        <v/>
      </c>
      <c r="I378" s="4" t="str">
        <f>IFERROR(MOD(INDEX(tblBatidas[Data e hora],MATCH("B"&amp;MID($A378,2,99),tblBatidas[Batida ID],0)),1),"")</f>
        <v/>
      </c>
      <c r="J378" s="4" t="str">
        <f>IFERROR(MOD(INDEX(tblBatidas[Data e hora],MATCH("B"&amp;MID($A378,2,99),tblBatidas[Início vinculado],0)),1),"")</f>
        <v/>
      </c>
      <c r="K378" s="14" t="str">
        <f>IFERROR((INDEX(tblBatidas[Data e hora],MATCH("B"&amp;MID($A378,2,99),tblBatidas[Início vinculado],0))-INDEX(tblBatidas[Data e hora],MATCH("B"&amp;MID($A378,2,99),tblBatidas[Batida ID],0)))*24,"")</f>
        <v/>
      </c>
      <c r="L378" t="str">
        <f>IFERROR(INDEX(tblBatidas[Observação],MATCH("B"&amp;MID($A378,2,99),tblBatidas[Início vinculado],0)),"")</f>
        <v/>
      </c>
      <c r="M378" t="str">
        <f>IFERROR(INDEX(tblPessoas[Base],MATCH(E378,tblPessoas[ID],0)),"")</f>
        <v/>
      </c>
      <c r="N378" s="3">
        <f>IFERROR(IF(D378="DIA ÚTIL",INDEX(tblPessoas[R$/h útil],MATCH(E378,tblPessoas[ID],0)),INDEX(tblPessoas[R$/h FDS],MATCH(E378,tblPessoas[ID],0))),0)</f>
        <v>0</v>
      </c>
      <c r="O378" s="3">
        <f>IFERROR(INDEX(tblPessoas[R$/diária],MATCH(E378,tblPessoas[ID],0)),0)</f>
        <v>0</v>
      </c>
      <c r="P378" s="3" t="str">
        <f t="shared" si="22"/>
        <v/>
      </c>
      <c r="Q378" t="str">
        <f>IF(A378="","",IF(COUNTIF(tblBatidas[Início vinculado],"B"&amp;MID($A378,2,99))=0,"EM ABERTO",IF(OR(COUNTIF(tblBatidas[Início vinculado],"B"&amp;MID($A378,2,99))&gt;1,K378&lt;0,K378&gt;16,INT(INDEX(tblBatidas[Data e hora],MATCH("B"&amp;MID($A378,2,99),tblBatidas[Início vinculado],0)))&lt;&gt;B378,INDEX(tblBatidas[ID],MATCH("B"&amp;MID($A378,2,99),tblBatidas[Início vinculado],0))&lt;&gt;E378,INDEX(tblBatidas[Projeto],MATCH("B"&amp;MID($A378,2,99),tblBatidas[Início vinculado],0))&lt;&gt;G378,INDEX(tblBatidas[Atividade],MATCH("B"&amp;MID($A378,2,99),tblBatidas[Início vinculado],0))&lt;&gt;H378),"REVISAR","CONCLUÍDO")))</f>
        <v/>
      </c>
      <c r="R378">
        <f>IF(Q378&lt;&gt;"CONCLUÍDO",0,IF(COUNTIFS($E$5:E378,E378,$B$5:B378,B378,$Q$5:Q378,"CONCLUÍDO")=1,1,0))</f>
        <v>0</v>
      </c>
      <c r="S378" t="str">
        <f t="shared" si="23"/>
        <v/>
      </c>
      <c r="T378" t="str">
        <f>IF(E378="","",E378*100000+COUNTIFS(tblRegistros[ID],E378,tblRegistros[Data],"&lt;"&amp;B378)+COUNTIFS(tblRegistros[ID],E378,tblRegistros[Data],B378,tblRegistros[Início],"&lt;"&amp;I378)+COUNTIFS($E$5:E378,E378,$B$5:B378,B378,$I$5:I378,I378))</f>
        <v/>
      </c>
    </row>
    <row r="379" spans="2:20">
      <c r="B379" s="2" t="str">
        <f>IFERROR(INT(INDEX(tblBatidas[Data e hora],MATCH("B"&amp;MID($A379,2,99),tblBatidas[Batida ID],0))),"")</f>
        <v/>
      </c>
      <c r="C379" t="str">
        <f t="shared" si="20"/>
        <v/>
      </c>
      <c r="D379" t="str">
        <f t="shared" si="21"/>
        <v/>
      </c>
      <c r="E379" t="str">
        <f>IFERROR(INDEX(tblBatidas[ID],MATCH("B"&amp;MID($A379,2,99),tblBatidas[Batida ID],0)),"")</f>
        <v/>
      </c>
      <c r="F379" t="str">
        <f>IFERROR(INDEX(tblPessoas[Pessoa],MATCH(E379,tblPessoas[ID],0)),"")</f>
        <v/>
      </c>
      <c r="G379" t="str">
        <f>IFERROR(INDEX(tblBatidas[Projeto],MATCH("B"&amp;MID($A379,2,99),tblBatidas[Batida ID],0)),"")</f>
        <v/>
      </c>
      <c r="H379" t="str">
        <f>IFERROR(INDEX(tblBatidas[Atividade],MATCH("B"&amp;MID($A379,2,99),tblBatidas[Batida ID],0)),"")</f>
        <v/>
      </c>
      <c r="I379" s="4" t="str">
        <f>IFERROR(MOD(INDEX(tblBatidas[Data e hora],MATCH("B"&amp;MID($A379,2,99),tblBatidas[Batida ID],0)),1),"")</f>
        <v/>
      </c>
      <c r="J379" s="4" t="str">
        <f>IFERROR(MOD(INDEX(tblBatidas[Data e hora],MATCH("B"&amp;MID($A379,2,99),tblBatidas[Início vinculado],0)),1),"")</f>
        <v/>
      </c>
      <c r="K379" s="14" t="str">
        <f>IFERROR((INDEX(tblBatidas[Data e hora],MATCH("B"&amp;MID($A379,2,99),tblBatidas[Início vinculado],0))-INDEX(tblBatidas[Data e hora],MATCH("B"&amp;MID($A379,2,99),tblBatidas[Batida ID],0)))*24,"")</f>
        <v/>
      </c>
      <c r="L379" t="str">
        <f>IFERROR(INDEX(tblBatidas[Observação],MATCH("B"&amp;MID($A379,2,99),tblBatidas[Início vinculado],0)),"")</f>
        <v/>
      </c>
      <c r="M379" t="str">
        <f>IFERROR(INDEX(tblPessoas[Base],MATCH(E379,tblPessoas[ID],0)),"")</f>
        <v/>
      </c>
      <c r="N379" s="3">
        <f>IFERROR(IF(D379="DIA ÚTIL",INDEX(tblPessoas[R$/h útil],MATCH(E379,tblPessoas[ID],0)),INDEX(tblPessoas[R$/h FDS],MATCH(E379,tblPessoas[ID],0))),0)</f>
        <v>0</v>
      </c>
      <c r="O379" s="3">
        <f>IFERROR(INDEX(tblPessoas[R$/diária],MATCH(E379,tblPessoas[ID],0)),0)</f>
        <v>0</v>
      </c>
      <c r="P379" s="3" t="str">
        <f t="shared" si="22"/>
        <v/>
      </c>
      <c r="Q379" t="str">
        <f>IF(A379="","",IF(COUNTIF(tblBatidas[Início vinculado],"B"&amp;MID($A379,2,99))=0,"EM ABERTO",IF(OR(COUNTIF(tblBatidas[Início vinculado],"B"&amp;MID($A379,2,99))&gt;1,K379&lt;0,K379&gt;16,INT(INDEX(tblBatidas[Data e hora],MATCH("B"&amp;MID($A379,2,99),tblBatidas[Início vinculado],0)))&lt;&gt;B379,INDEX(tblBatidas[ID],MATCH("B"&amp;MID($A379,2,99),tblBatidas[Início vinculado],0))&lt;&gt;E379,INDEX(tblBatidas[Projeto],MATCH("B"&amp;MID($A379,2,99),tblBatidas[Início vinculado],0))&lt;&gt;G379,INDEX(tblBatidas[Atividade],MATCH("B"&amp;MID($A379,2,99),tblBatidas[Início vinculado],0))&lt;&gt;H379),"REVISAR","CONCLUÍDO")))</f>
        <v/>
      </c>
      <c r="R379">
        <f>IF(Q379&lt;&gt;"CONCLUÍDO",0,IF(COUNTIFS($E$5:E379,E379,$B$5:B379,B379,$Q$5:Q379,"CONCLUÍDO")=1,1,0))</f>
        <v>0</v>
      </c>
      <c r="S379" t="str">
        <f t="shared" si="23"/>
        <v/>
      </c>
      <c r="T379" t="str">
        <f>IF(E379="","",E379*100000+COUNTIFS(tblRegistros[ID],E379,tblRegistros[Data],"&lt;"&amp;B379)+COUNTIFS(tblRegistros[ID],E379,tblRegistros[Data],B379,tblRegistros[Início],"&lt;"&amp;I379)+COUNTIFS($E$5:E379,E379,$B$5:B379,B379,$I$5:I379,I379))</f>
        <v/>
      </c>
    </row>
    <row r="380" spans="2:20">
      <c r="B380" s="2" t="str">
        <f>IFERROR(INT(INDEX(tblBatidas[Data e hora],MATCH("B"&amp;MID($A380,2,99),tblBatidas[Batida ID],0))),"")</f>
        <v/>
      </c>
      <c r="C380" t="str">
        <f t="shared" si="20"/>
        <v/>
      </c>
      <c r="D380" t="str">
        <f t="shared" si="21"/>
        <v/>
      </c>
      <c r="E380" t="str">
        <f>IFERROR(INDEX(tblBatidas[ID],MATCH("B"&amp;MID($A380,2,99),tblBatidas[Batida ID],0)),"")</f>
        <v/>
      </c>
      <c r="F380" t="str">
        <f>IFERROR(INDEX(tblPessoas[Pessoa],MATCH(E380,tblPessoas[ID],0)),"")</f>
        <v/>
      </c>
      <c r="G380" t="str">
        <f>IFERROR(INDEX(tblBatidas[Projeto],MATCH("B"&amp;MID($A380,2,99),tblBatidas[Batida ID],0)),"")</f>
        <v/>
      </c>
      <c r="H380" t="str">
        <f>IFERROR(INDEX(tblBatidas[Atividade],MATCH("B"&amp;MID($A380,2,99),tblBatidas[Batida ID],0)),"")</f>
        <v/>
      </c>
      <c r="I380" s="4" t="str">
        <f>IFERROR(MOD(INDEX(tblBatidas[Data e hora],MATCH("B"&amp;MID($A380,2,99),tblBatidas[Batida ID],0)),1),"")</f>
        <v/>
      </c>
      <c r="J380" s="4" t="str">
        <f>IFERROR(MOD(INDEX(tblBatidas[Data e hora],MATCH("B"&amp;MID($A380,2,99),tblBatidas[Início vinculado],0)),1),"")</f>
        <v/>
      </c>
      <c r="K380" s="14" t="str">
        <f>IFERROR((INDEX(tblBatidas[Data e hora],MATCH("B"&amp;MID($A380,2,99),tblBatidas[Início vinculado],0))-INDEX(tblBatidas[Data e hora],MATCH("B"&amp;MID($A380,2,99),tblBatidas[Batida ID],0)))*24,"")</f>
        <v/>
      </c>
      <c r="L380" t="str">
        <f>IFERROR(INDEX(tblBatidas[Observação],MATCH("B"&amp;MID($A380,2,99),tblBatidas[Início vinculado],0)),"")</f>
        <v/>
      </c>
      <c r="M380" t="str">
        <f>IFERROR(INDEX(tblPessoas[Base],MATCH(E380,tblPessoas[ID],0)),"")</f>
        <v/>
      </c>
      <c r="N380" s="3">
        <f>IFERROR(IF(D380="DIA ÚTIL",INDEX(tblPessoas[R$/h útil],MATCH(E380,tblPessoas[ID],0)),INDEX(tblPessoas[R$/h FDS],MATCH(E380,tblPessoas[ID],0))),0)</f>
        <v>0</v>
      </c>
      <c r="O380" s="3">
        <f>IFERROR(INDEX(tblPessoas[R$/diária],MATCH(E380,tblPessoas[ID],0)),0)</f>
        <v>0</v>
      </c>
      <c r="P380" s="3" t="str">
        <f t="shared" si="22"/>
        <v/>
      </c>
      <c r="Q380" t="str">
        <f>IF(A380="","",IF(COUNTIF(tblBatidas[Início vinculado],"B"&amp;MID($A380,2,99))=0,"EM ABERTO",IF(OR(COUNTIF(tblBatidas[Início vinculado],"B"&amp;MID($A380,2,99))&gt;1,K380&lt;0,K380&gt;16,INT(INDEX(tblBatidas[Data e hora],MATCH("B"&amp;MID($A380,2,99),tblBatidas[Início vinculado],0)))&lt;&gt;B380,INDEX(tblBatidas[ID],MATCH("B"&amp;MID($A380,2,99),tblBatidas[Início vinculado],0))&lt;&gt;E380,INDEX(tblBatidas[Projeto],MATCH("B"&amp;MID($A380,2,99),tblBatidas[Início vinculado],0))&lt;&gt;G380,INDEX(tblBatidas[Atividade],MATCH("B"&amp;MID($A380,2,99),tblBatidas[Início vinculado],0))&lt;&gt;H380),"REVISAR","CONCLUÍDO")))</f>
        <v/>
      </c>
      <c r="R380">
        <f>IF(Q380&lt;&gt;"CONCLUÍDO",0,IF(COUNTIFS($E$5:E380,E380,$B$5:B380,B380,$Q$5:Q380,"CONCLUÍDO")=1,1,0))</f>
        <v>0</v>
      </c>
      <c r="S380" t="str">
        <f t="shared" si="23"/>
        <v/>
      </c>
      <c r="T380" t="str">
        <f>IF(E380="","",E380*100000+COUNTIFS(tblRegistros[ID],E380,tblRegistros[Data],"&lt;"&amp;B380)+COUNTIFS(tblRegistros[ID],E380,tblRegistros[Data],B380,tblRegistros[Início],"&lt;"&amp;I380)+COUNTIFS($E$5:E380,E380,$B$5:B380,B380,$I$5:I380,I380))</f>
        <v/>
      </c>
    </row>
    <row r="381" spans="2:20">
      <c r="B381" s="2" t="str">
        <f>IFERROR(INT(INDEX(tblBatidas[Data e hora],MATCH("B"&amp;MID($A381,2,99),tblBatidas[Batida ID],0))),"")</f>
        <v/>
      </c>
      <c r="C381" t="str">
        <f t="shared" si="20"/>
        <v/>
      </c>
      <c r="D381" t="str">
        <f t="shared" si="21"/>
        <v/>
      </c>
      <c r="E381" t="str">
        <f>IFERROR(INDEX(tblBatidas[ID],MATCH("B"&amp;MID($A381,2,99),tblBatidas[Batida ID],0)),"")</f>
        <v/>
      </c>
      <c r="F381" t="str">
        <f>IFERROR(INDEX(tblPessoas[Pessoa],MATCH(E381,tblPessoas[ID],0)),"")</f>
        <v/>
      </c>
      <c r="G381" t="str">
        <f>IFERROR(INDEX(tblBatidas[Projeto],MATCH("B"&amp;MID($A381,2,99),tblBatidas[Batida ID],0)),"")</f>
        <v/>
      </c>
      <c r="H381" t="str">
        <f>IFERROR(INDEX(tblBatidas[Atividade],MATCH("B"&amp;MID($A381,2,99),tblBatidas[Batida ID],0)),"")</f>
        <v/>
      </c>
      <c r="I381" s="4" t="str">
        <f>IFERROR(MOD(INDEX(tblBatidas[Data e hora],MATCH("B"&amp;MID($A381,2,99),tblBatidas[Batida ID],0)),1),"")</f>
        <v/>
      </c>
      <c r="J381" s="4" t="str">
        <f>IFERROR(MOD(INDEX(tblBatidas[Data e hora],MATCH("B"&amp;MID($A381,2,99),tblBatidas[Início vinculado],0)),1),"")</f>
        <v/>
      </c>
      <c r="K381" s="14" t="str">
        <f>IFERROR((INDEX(tblBatidas[Data e hora],MATCH("B"&amp;MID($A381,2,99),tblBatidas[Início vinculado],0))-INDEX(tblBatidas[Data e hora],MATCH("B"&amp;MID($A381,2,99),tblBatidas[Batida ID],0)))*24,"")</f>
        <v/>
      </c>
      <c r="L381" t="str">
        <f>IFERROR(INDEX(tblBatidas[Observação],MATCH("B"&amp;MID($A381,2,99),tblBatidas[Início vinculado],0)),"")</f>
        <v/>
      </c>
      <c r="M381" t="str">
        <f>IFERROR(INDEX(tblPessoas[Base],MATCH(E381,tblPessoas[ID],0)),"")</f>
        <v/>
      </c>
      <c r="N381" s="3">
        <f>IFERROR(IF(D381="DIA ÚTIL",INDEX(tblPessoas[R$/h útil],MATCH(E381,tblPessoas[ID],0)),INDEX(tblPessoas[R$/h FDS],MATCH(E381,tblPessoas[ID],0))),0)</f>
        <v>0</v>
      </c>
      <c r="O381" s="3">
        <f>IFERROR(INDEX(tblPessoas[R$/diária],MATCH(E381,tblPessoas[ID],0)),0)</f>
        <v>0</v>
      </c>
      <c r="P381" s="3" t="str">
        <f t="shared" si="22"/>
        <v/>
      </c>
      <c r="Q381" t="str">
        <f>IF(A381="","",IF(COUNTIF(tblBatidas[Início vinculado],"B"&amp;MID($A381,2,99))=0,"EM ABERTO",IF(OR(COUNTIF(tblBatidas[Início vinculado],"B"&amp;MID($A381,2,99))&gt;1,K381&lt;0,K381&gt;16,INT(INDEX(tblBatidas[Data e hora],MATCH("B"&amp;MID($A381,2,99),tblBatidas[Início vinculado],0)))&lt;&gt;B381,INDEX(tblBatidas[ID],MATCH("B"&amp;MID($A381,2,99),tblBatidas[Início vinculado],0))&lt;&gt;E381,INDEX(tblBatidas[Projeto],MATCH("B"&amp;MID($A381,2,99),tblBatidas[Início vinculado],0))&lt;&gt;G381,INDEX(tblBatidas[Atividade],MATCH("B"&amp;MID($A381,2,99),tblBatidas[Início vinculado],0))&lt;&gt;H381),"REVISAR","CONCLUÍDO")))</f>
        <v/>
      </c>
      <c r="R381">
        <f>IF(Q381&lt;&gt;"CONCLUÍDO",0,IF(COUNTIFS($E$5:E381,E381,$B$5:B381,B381,$Q$5:Q381,"CONCLUÍDO")=1,1,0))</f>
        <v>0</v>
      </c>
      <c r="S381" t="str">
        <f t="shared" si="23"/>
        <v/>
      </c>
      <c r="T381" t="str">
        <f>IF(E381="","",E381*100000+COUNTIFS(tblRegistros[ID],E381,tblRegistros[Data],"&lt;"&amp;B381)+COUNTIFS(tblRegistros[ID],E381,tblRegistros[Data],B381,tblRegistros[Início],"&lt;"&amp;I381)+COUNTIFS($E$5:E381,E381,$B$5:B381,B381,$I$5:I381,I381))</f>
        <v/>
      </c>
    </row>
    <row r="382" spans="2:20">
      <c r="B382" s="2" t="str">
        <f>IFERROR(INT(INDEX(tblBatidas[Data e hora],MATCH("B"&amp;MID($A382,2,99),tblBatidas[Batida ID],0))),"")</f>
        <v/>
      </c>
      <c r="C382" t="str">
        <f t="shared" si="20"/>
        <v/>
      </c>
      <c r="D382" t="str">
        <f t="shared" si="21"/>
        <v/>
      </c>
      <c r="E382" t="str">
        <f>IFERROR(INDEX(tblBatidas[ID],MATCH("B"&amp;MID($A382,2,99),tblBatidas[Batida ID],0)),"")</f>
        <v/>
      </c>
      <c r="F382" t="str">
        <f>IFERROR(INDEX(tblPessoas[Pessoa],MATCH(E382,tblPessoas[ID],0)),"")</f>
        <v/>
      </c>
      <c r="G382" t="str">
        <f>IFERROR(INDEX(tblBatidas[Projeto],MATCH("B"&amp;MID($A382,2,99),tblBatidas[Batida ID],0)),"")</f>
        <v/>
      </c>
      <c r="H382" t="str">
        <f>IFERROR(INDEX(tblBatidas[Atividade],MATCH("B"&amp;MID($A382,2,99),tblBatidas[Batida ID],0)),"")</f>
        <v/>
      </c>
      <c r="I382" s="4" t="str">
        <f>IFERROR(MOD(INDEX(tblBatidas[Data e hora],MATCH("B"&amp;MID($A382,2,99),tblBatidas[Batida ID],0)),1),"")</f>
        <v/>
      </c>
      <c r="J382" s="4" t="str">
        <f>IFERROR(MOD(INDEX(tblBatidas[Data e hora],MATCH("B"&amp;MID($A382,2,99),tblBatidas[Início vinculado],0)),1),"")</f>
        <v/>
      </c>
      <c r="K382" s="14" t="str">
        <f>IFERROR((INDEX(tblBatidas[Data e hora],MATCH("B"&amp;MID($A382,2,99),tblBatidas[Início vinculado],0))-INDEX(tblBatidas[Data e hora],MATCH("B"&amp;MID($A382,2,99),tblBatidas[Batida ID],0)))*24,"")</f>
        <v/>
      </c>
      <c r="L382" t="str">
        <f>IFERROR(INDEX(tblBatidas[Observação],MATCH("B"&amp;MID($A382,2,99),tblBatidas[Início vinculado],0)),"")</f>
        <v/>
      </c>
      <c r="M382" t="str">
        <f>IFERROR(INDEX(tblPessoas[Base],MATCH(E382,tblPessoas[ID],0)),"")</f>
        <v/>
      </c>
      <c r="N382" s="3">
        <f>IFERROR(IF(D382="DIA ÚTIL",INDEX(tblPessoas[R$/h útil],MATCH(E382,tblPessoas[ID],0)),INDEX(tblPessoas[R$/h FDS],MATCH(E382,tblPessoas[ID],0))),0)</f>
        <v>0</v>
      </c>
      <c r="O382" s="3">
        <f>IFERROR(INDEX(tblPessoas[R$/diária],MATCH(E382,tblPessoas[ID],0)),0)</f>
        <v>0</v>
      </c>
      <c r="P382" s="3" t="str">
        <f t="shared" si="22"/>
        <v/>
      </c>
      <c r="Q382" t="str">
        <f>IF(A382="","",IF(COUNTIF(tblBatidas[Início vinculado],"B"&amp;MID($A382,2,99))=0,"EM ABERTO",IF(OR(COUNTIF(tblBatidas[Início vinculado],"B"&amp;MID($A382,2,99))&gt;1,K382&lt;0,K382&gt;16,INT(INDEX(tblBatidas[Data e hora],MATCH("B"&amp;MID($A382,2,99),tblBatidas[Início vinculado],0)))&lt;&gt;B382,INDEX(tblBatidas[ID],MATCH("B"&amp;MID($A382,2,99),tblBatidas[Início vinculado],0))&lt;&gt;E382,INDEX(tblBatidas[Projeto],MATCH("B"&amp;MID($A382,2,99),tblBatidas[Início vinculado],0))&lt;&gt;G382,INDEX(tblBatidas[Atividade],MATCH("B"&amp;MID($A382,2,99),tblBatidas[Início vinculado],0))&lt;&gt;H382),"REVISAR","CONCLUÍDO")))</f>
        <v/>
      </c>
      <c r="R382">
        <f>IF(Q382&lt;&gt;"CONCLUÍDO",0,IF(COUNTIFS($E$5:E382,E382,$B$5:B382,B382,$Q$5:Q382,"CONCLUÍDO")=1,1,0))</f>
        <v>0</v>
      </c>
      <c r="S382" t="str">
        <f t="shared" si="23"/>
        <v/>
      </c>
      <c r="T382" t="str">
        <f>IF(E382="","",E382*100000+COUNTIFS(tblRegistros[ID],E382,tblRegistros[Data],"&lt;"&amp;B382)+COUNTIFS(tblRegistros[ID],E382,tblRegistros[Data],B382,tblRegistros[Início],"&lt;"&amp;I382)+COUNTIFS($E$5:E382,E382,$B$5:B382,B382,$I$5:I382,I382))</f>
        <v/>
      </c>
    </row>
    <row r="383" spans="2:20">
      <c r="B383" s="2" t="str">
        <f>IFERROR(INT(INDEX(tblBatidas[Data e hora],MATCH("B"&amp;MID($A383,2,99),tblBatidas[Batida ID],0))),"")</f>
        <v/>
      </c>
      <c r="C383" t="str">
        <f t="shared" si="20"/>
        <v/>
      </c>
      <c r="D383" t="str">
        <f t="shared" si="21"/>
        <v/>
      </c>
      <c r="E383" t="str">
        <f>IFERROR(INDEX(tblBatidas[ID],MATCH("B"&amp;MID($A383,2,99),tblBatidas[Batida ID],0)),"")</f>
        <v/>
      </c>
      <c r="F383" t="str">
        <f>IFERROR(INDEX(tblPessoas[Pessoa],MATCH(E383,tblPessoas[ID],0)),"")</f>
        <v/>
      </c>
      <c r="G383" t="str">
        <f>IFERROR(INDEX(tblBatidas[Projeto],MATCH("B"&amp;MID($A383,2,99),tblBatidas[Batida ID],0)),"")</f>
        <v/>
      </c>
      <c r="H383" t="str">
        <f>IFERROR(INDEX(tblBatidas[Atividade],MATCH("B"&amp;MID($A383,2,99),tblBatidas[Batida ID],0)),"")</f>
        <v/>
      </c>
      <c r="I383" s="4" t="str">
        <f>IFERROR(MOD(INDEX(tblBatidas[Data e hora],MATCH("B"&amp;MID($A383,2,99),tblBatidas[Batida ID],0)),1),"")</f>
        <v/>
      </c>
      <c r="J383" s="4" t="str">
        <f>IFERROR(MOD(INDEX(tblBatidas[Data e hora],MATCH("B"&amp;MID($A383,2,99),tblBatidas[Início vinculado],0)),1),"")</f>
        <v/>
      </c>
      <c r="K383" s="14" t="str">
        <f>IFERROR((INDEX(tblBatidas[Data e hora],MATCH("B"&amp;MID($A383,2,99),tblBatidas[Início vinculado],0))-INDEX(tblBatidas[Data e hora],MATCH("B"&amp;MID($A383,2,99),tblBatidas[Batida ID],0)))*24,"")</f>
        <v/>
      </c>
      <c r="L383" t="str">
        <f>IFERROR(INDEX(tblBatidas[Observação],MATCH("B"&amp;MID($A383,2,99),tblBatidas[Início vinculado],0)),"")</f>
        <v/>
      </c>
      <c r="M383" t="str">
        <f>IFERROR(INDEX(tblPessoas[Base],MATCH(E383,tblPessoas[ID],0)),"")</f>
        <v/>
      </c>
      <c r="N383" s="3">
        <f>IFERROR(IF(D383="DIA ÚTIL",INDEX(tblPessoas[R$/h útil],MATCH(E383,tblPessoas[ID],0)),INDEX(tblPessoas[R$/h FDS],MATCH(E383,tblPessoas[ID],0))),0)</f>
        <v>0</v>
      </c>
      <c r="O383" s="3">
        <f>IFERROR(INDEX(tblPessoas[R$/diária],MATCH(E383,tblPessoas[ID],0)),0)</f>
        <v>0</v>
      </c>
      <c r="P383" s="3" t="str">
        <f t="shared" si="22"/>
        <v/>
      </c>
      <c r="Q383" t="str">
        <f>IF(A383="","",IF(COUNTIF(tblBatidas[Início vinculado],"B"&amp;MID($A383,2,99))=0,"EM ABERTO",IF(OR(COUNTIF(tblBatidas[Início vinculado],"B"&amp;MID($A383,2,99))&gt;1,K383&lt;0,K383&gt;16,INT(INDEX(tblBatidas[Data e hora],MATCH("B"&amp;MID($A383,2,99),tblBatidas[Início vinculado],0)))&lt;&gt;B383,INDEX(tblBatidas[ID],MATCH("B"&amp;MID($A383,2,99),tblBatidas[Início vinculado],0))&lt;&gt;E383,INDEX(tblBatidas[Projeto],MATCH("B"&amp;MID($A383,2,99),tblBatidas[Início vinculado],0))&lt;&gt;G383,INDEX(tblBatidas[Atividade],MATCH("B"&amp;MID($A383,2,99),tblBatidas[Início vinculado],0))&lt;&gt;H383),"REVISAR","CONCLUÍDO")))</f>
        <v/>
      </c>
      <c r="R383">
        <f>IF(Q383&lt;&gt;"CONCLUÍDO",0,IF(COUNTIFS($E$5:E383,E383,$B$5:B383,B383,$Q$5:Q383,"CONCLUÍDO")=1,1,0))</f>
        <v>0</v>
      </c>
      <c r="S383" t="str">
        <f t="shared" si="23"/>
        <v/>
      </c>
      <c r="T383" t="str">
        <f>IF(E383="","",E383*100000+COUNTIFS(tblRegistros[ID],E383,tblRegistros[Data],"&lt;"&amp;B383)+COUNTIFS(tblRegistros[ID],E383,tblRegistros[Data],B383,tblRegistros[Início],"&lt;"&amp;I383)+COUNTIFS($E$5:E383,E383,$B$5:B383,B383,$I$5:I383,I383))</f>
        <v/>
      </c>
    </row>
    <row r="384" spans="2:20">
      <c r="B384" s="2" t="str">
        <f>IFERROR(INT(INDEX(tblBatidas[Data e hora],MATCH("B"&amp;MID($A384,2,99),tblBatidas[Batida ID],0))),"")</f>
        <v/>
      </c>
      <c r="C384" t="str">
        <f t="shared" si="20"/>
        <v/>
      </c>
      <c r="D384" t="str">
        <f t="shared" si="21"/>
        <v/>
      </c>
      <c r="E384" t="str">
        <f>IFERROR(INDEX(tblBatidas[ID],MATCH("B"&amp;MID($A384,2,99),tblBatidas[Batida ID],0)),"")</f>
        <v/>
      </c>
      <c r="F384" t="str">
        <f>IFERROR(INDEX(tblPessoas[Pessoa],MATCH(E384,tblPessoas[ID],0)),"")</f>
        <v/>
      </c>
      <c r="G384" t="str">
        <f>IFERROR(INDEX(tblBatidas[Projeto],MATCH("B"&amp;MID($A384,2,99),tblBatidas[Batida ID],0)),"")</f>
        <v/>
      </c>
      <c r="H384" t="str">
        <f>IFERROR(INDEX(tblBatidas[Atividade],MATCH("B"&amp;MID($A384,2,99),tblBatidas[Batida ID],0)),"")</f>
        <v/>
      </c>
      <c r="I384" s="4" t="str">
        <f>IFERROR(MOD(INDEX(tblBatidas[Data e hora],MATCH("B"&amp;MID($A384,2,99),tblBatidas[Batida ID],0)),1),"")</f>
        <v/>
      </c>
      <c r="J384" s="4" t="str">
        <f>IFERROR(MOD(INDEX(tblBatidas[Data e hora],MATCH("B"&amp;MID($A384,2,99),tblBatidas[Início vinculado],0)),1),"")</f>
        <v/>
      </c>
      <c r="K384" s="14" t="str">
        <f>IFERROR((INDEX(tblBatidas[Data e hora],MATCH("B"&amp;MID($A384,2,99),tblBatidas[Início vinculado],0))-INDEX(tblBatidas[Data e hora],MATCH("B"&amp;MID($A384,2,99),tblBatidas[Batida ID],0)))*24,"")</f>
        <v/>
      </c>
      <c r="L384" t="str">
        <f>IFERROR(INDEX(tblBatidas[Observação],MATCH("B"&amp;MID($A384,2,99),tblBatidas[Início vinculado],0)),"")</f>
        <v/>
      </c>
      <c r="M384" t="str">
        <f>IFERROR(INDEX(tblPessoas[Base],MATCH(E384,tblPessoas[ID],0)),"")</f>
        <v/>
      </c>
      <c r="N384" s="3">
        <f>IFERROR(IF(D384="DIA ÚTIL",INDEX(tblPessoas[R$/h útil],MATCH(E384,tblPessoas[ID],0)),INDEX(tblPessoas[R$/h FDS],MATCH(E384,tblPessoas[ID],0))),0)</f>
        <v>0</v>
      </c>
      <c r="O384" s="3">
        <f>IFERROR(INDEX(tblPessoas[R$/diária],MATCH(E384,tblPessoas[ID],0)),0)</f>
        <v>0</v>
      </c>
      <c r="P384" s="3" t="str">
        <f t="shared" si="22"/>
        <v/>
      </c>
      <c r="Q384" t="str">
        <f>IF(A384="","",IF(COUNTIF(tblBatidas[Início vinculado],"B"&amp;MID($A384,2,99))=0,"EM ABERTO",IF(OR(COUNTIF(tblBatidas[Início vinculado],"B"&amp;MID($A384,2,99))&gt;1,K384&lt;0,K384&gt;16,INT(INDEX(tblBatidas[Data e hora],MATCH("B"&amp;MID($A384,2,99),tblBatidas[Início vinculado],0)))&lt;&gt;B384,INDEX(tblBatidas[ID],MATCH("B"&amp;MID($A384,2,99),tblBatidas[Início vinculado],0))&lt;&gt;E384,INDEX(tblBatidas[Projeto],MATCH("B"&amp;MID($A384,2,99),tblBatidas[Início vinculado],0))&lt;&gt;G384,INDEX(tblBatidas[Atividade],MATCH("B"&amp;MID($A384,2,99),tblBatidas[Início vinculado],0))&lt;&gt;H384),"REVISAR","CONCLUÍDO")))</f>
        <v/>
      </c>
      <c r="R384">
        <f>IF(Q384&lt;&gt;"CONCLUÍDO",0,IF(COUNTIFS($E$5:E384,E384,$B$5:B384,B384,$Q$5:Q384,"CONCLUÍDO")=1,1,0))</f>
        <v>0</v>
      </c>
      <c r="S384" t="str">
        <f t="shared" si="23"/>
        <v/>
      </c>
      <c r="T384" t="str">
        <f>IF(E384="","",E384*100000+COUNTIFS(tblRegistros[ID],E384,tblRegistros[Data],"&lt;"&amp;B384)+COUNTIFS(tblRegistros[ID],E384,tblRegistros[Data],B384,tblRegistros[Início],"&lt;"&amp;I384)+COUNTIFS($E$5:E384,E384,$B$5:B384,B384,$I$5:I384,I384))</f>
        <v/>
      </c>
    </row>
    <row r="385" spans="2:20">
      <c r="B385" s="2" t="str">
        <f>IFERROR(INT(INDEX(tblBatidas[Data e hora],MATCH("B"&amp;MID($A385,2,99),tblBatidas[Batida ID],0))),"")</f>
        <v/>
      </c>
      <c r="C385" t="str">
        <f t="shared" si="20"/>
        <v/>
      </c>
      <c r="D385" t="str">
        <f t="shared" si="21"/>
        <v/>
      </c>
      <c r="E385" t="str">
        <f>IFERROR(INDEX(tblBatidas[ID],MATCH("B"&amp;MID($A385,2,99),tblBatidas[Batida ID],0)),"")</f>
        <v/>
      </c>
      <c r="F385" t="str">
        <f>IFERROR(INDEX(tblPessoas[Pessoa],MATCH(E385,tblPessoas[ID],0)),"")</f>
        <v/>
      </c>
      <c r="G385" t="str">
        <f>IFERROR(INDEX(tblBatidas[Projeto],MATCH("B"&amp;MID($A385,2,99),tblBatidas[Batida ID],0)),"")</f>
        <v/>
      </c>
      <c r="H385" t="str">
        <f>IFERROR(INDEX(tblBatidas[Atividade],MATCH("B"&amp;MID($A385,2,99),tblBatidas[Batida ID],0)),"")</f>
        <v/>
      </c>
      <c r="I385" s="4" t="str">
        <f>IFERROR(MOD(INDEX(tblBatidas[Data e hora],MATCH("B"&amp;MID($A385,2,99),tblBatidas[Batida ID],0)),1),"")</f>
        <v/>
      </c>
      <c r="J385" s="4" t="str">
        <f>IFERROR(MOD(INDEX(tblBatidas[Data e hora],MATCH("B"&amp;MID($A385,2,99),tblBatidas[Início vinculado],0)),1),"")</f>
        <v/>
      </c>
      <c r="K385" s="14" t="str">
        <f>IFERROR((INDEX(tblBatidas[Data e hora],MATCH("B"&amp;MID($A385,2,99),tblBatidas[Início vinculado],0))-INDEX(tblBatidas[Data e hora],MATCH("B"&amp;MID($A385,2,99),tblBatidas[Batida ID],0)))*24,"")</f>
        <v/>
      </c>
      <c r="L385" t="str">
        <f>IFERROR(INDEX(tblBatidas[Observação],MATCH("B"&amp;MID($A385,2,99),tblBatidas[Início vinculado],0)),"")</f>
        <v/>
      </c>
      <c r="M385" t="str">
        <f>IFERROR(INDEX(tblPessoas[Base],MATCH(E385,tblPessoas[ID],0)),"")</f>
        <v/>
      </c>
      <c r="N385" s="3">
        <f>IFERROR(IF(D385="DIA ÚTIL",INDEX(tblPessoas[R$/h útil],MATCH(E385,tblPessoas[ID],0)),INDEX(tblPessoas[R$/h FDS],MATCH(E385,tblPessoas[ID],0))),0)</f>
        <v>0</v>
      </c>
      <c r="O385" s="3">
        <f>IFERROR(INDEX(tblPessoas[R$/diária],MATCH(E385,tblPessoas[ID],0)),0)</f>
        <v>0</v>
      </c>
      <c r="P385" s="3" t="str">
        <f t="shared" si="22"/>
        <v/>
      </c>
      <c r="Q385" t="str">
        <f>IF(A385="","",IF(COUNTIF(tblBatidas[Início vinculado],"B"&amp;MID($A385,2,99))=0,"EM ABERTO",IF(OR(COUNTIF(tblBatidas[Início vinculado],"B"&amp;MID($A385,2,99))&gt;1,K385&lt;0,K385&gt;16,INT(INDEX(tblBatidas[Data e hora],MATCH("B"&amp;MID($A385,2,99),tblBatidas[Início vinculado],0)))&lt;&gt;B385,INDEX(tblBatidas[ID],MATCH("B"&amp;MID($A385,2,99),tblBatidas[Início vinculado],0))&lt;&gt;E385,INDEX(tblBatidas[Projeto],MATCH("B"&amp;MID($A385,2,99),tblBatidas[Início vinculado],0))&lt;&gt;G385,INDEX(tblBatidas[Atividade],MATCH("B"&amp;MID($A385,2,99),tblBatidas[Início vinculado],0))&lt;&gt;H385),"REVISAR","CONCLUÍDO")))</f>
        <v/>
      </c>
      <c r="R385">
        <f>IF(Q385&lt;&gt;"CONCLUÍDO",0,IF(COUNTIFS($E$5:E385,E385,$B$5:B385,B385,$Q$5:Q385,"CONCLUÍDO")=1,1,0))</f>
        <v>0</v>
      </c>
      <c r="S385" t="str">
        <f t="shared" si="23"/>
        <v/>
      </c>
      <c r="T385" t="str">
        <f>IF(E385="","",E385*100000+COUNTIFS(tblRegistros[ID],E385,tblRegistros[Data],"&lt;"&amp;B385)+COUNTIFS(tblRegistros[ID],E385,tblRegistros[Data],B385,tblRegistros[Início],"&lt;"&amp;I385)+COUNTIFS($E$5:E385,E385,$B$5:B385,B385,$I$5:I385,I385))</f>
        <v/>
      </c>
    </row>
    <row r="386" spans="2:20">
      <c r="B386" s="2" t="str">
        <f>IFERROR(INT(INDEX(tblBatidas[Data e hora],MATCH("B"&amp;MID($A386,2,99),tblBatidas[Batida ID],0))),"")</f>
        <v/>
      </c>
      <c r="C386" t="str">
        <f t="shared" si="20"/>
        <v/>
      </c>
      <c r="D386" t="str">
        <f t="shared" si="21"/>
        <v/>
      </c>
      <c r="E386" t="str">
        <f>IFERROR(INDEX(tblBatidas[ID],MATCH("B"&amp;MID($A386,2,99),tblBatidas[Batida ID],0)),"")</f>
        <v/>
      </c>
      <c r="F386" t="str">
        <f>IFERROR(INDEX(tblPessoas[Pessoa],MATCH(E386,tblPessoas[ID],0)),"")</f>
        <v/>
      </c>
      <c r="G386" t="str">
        <f>IFERROR(INDEX(tblBatidas[Projeto],MATCH("B"&amp;MID($A386,2,99),tblBatidas[Batida ID],0)),"")</f>
        <v/>
      </c>
      <c r="H386" t="str">
        <f>IFERROR(INDEX(tblBatidas[Atividade],MATCH("B"&amp;MID($A386,2,99),tblBatidas[Batida ID],0)),"")</f>
        <v/>
      </c>
      <c r="I386" s="4" t="str">
        <f>IFERROR(MOD(INDEX(tblBatidas[Data e hora],MATCH("B"&amp;MID($A386,2,99),tblBatidas[Batida ID],0)),1),"")</f>
        <v/>
      </c>
      <c r="J386" s="4" t="str">
        <f>IFERROR(MOD(INDEX(tblBatidas[Data e hora],MATCH("B"&amp;MID($A386,2,99),tblBatidas[Início vinculado],0)),1),"")</f>
        <v/>
      </c>
      <c r="K386" s="14" t="str">
        <f>IFERROR((INDEX(tblBatidas[Data e hora],MATCH("B"&amp;MID($A386,2,99),tblBatidas[Início vinculado],0))-INDEX(tblBatidas[Data e hora],MATCH("B"&amp;MID($A386,2,99),tblBatidas[Batida ID],0)))*24,"")</f>
        <v/>
      </c>
      <c r="L386" t="str">
        <f>IFERROR(INDEX(tblBatidas[Observação],MATCH("B"&amp;MID($A386,2,99),tblBatidas[Início vinculado],0)),"")</f>
        <v/>
      </c>
      <c r="M386" t="str">
        <f>IFERROR(INDEX(tblPessoas[Base],MATCH(E386,tblPessoas[ID],0)),"")</f>
        <v/>
      </c>
      <c r="N386" s="3">
        <f>IFERROR(IF(D386="DIA ÚTIL",INDEX(tblPessoas[R$/h útil],MATCH(E386,tblPessoas[ID],0)),INDEX(tblPessoas[R$/h FDS],MATCH(E386,tblPessoas[ID],0))),0)</f>
        <v>0</v>
      </c>
      <c r="O386" s="3">
        <f>IFERROR(INDEX(tblPessoas[R$/diária],MATCH(E386,tblPessoas[ID],0)),0)</f>
        <v>0</v>
      </c>
      <c r="P386" s="3" t="str">
        <f t="shared" si="22"/>
        <v/>
      </c>
      <c r="Q386" t="str">
        <f>IF(A386="","",IF(COUNTIF(tblBatidas[Início vinculado],"B"&amp;MID($A386,2,99))=0,"EM ABERTO",IF(OR(COUNTIF(tblBatidas[Início vinculado],"B"&amp;MID($A386,2,99))&gt;1,K386&lt;0,K386&gt;16,INT(INDEX(tblBatidas[Data e hora],MATCH("B"&amp;MID($A386,2,99),tblBatidas[Início vinculado],0)))&lt;&gt;B386,INDEX(tblBatidas[ID],MATCH("B"&amp;MID($A386,2,99),tblBatidas[Início vinculado],0))&lt;&gt;E386,INDEX(tblBatidas[Projeto],MATCH("B"&amp;MID($A386,2,99),tblBatidas[Início vinculado],0))&lt;&gt;G386,INDEX(tblBatidas[Atividade],MATCH("B"&amp;MID($A386,2,99),tblBatidas[Início vinculado],0))&lt;&gt;H386),"REVISAR","CONCLUÍDO")))</f>
        <v/>
      </c>
      <c r="R386">
        <f>IF(Q386&lt;&gt;"CONCLUÍDO",0,IF(COUNTIFS($E$5:E386,E386,$B$5:B386,B386,$Q$5:Q386,"CONCLUÍDO")=1,1,0))</f>
        <v>0</v>
      </c>
      <c r="S386" t="str">
        <f t="shared" si="23"/>
        <v/>
      </c>
      <c r="T386" t="str">
        <f>IF(E386="","",E386*100000+COUNTIFS(tblRegistros[ID],E386,tblRegistros[Data],"&lt;"&amp;B386)+COUNTIFS(tblRegistros[ID],E386,tblRegistros[Data],B386,tblRegistros[Início],"&lt;"&amp;I386)+COUNTIFS($E$5:E386,E386,$B$5:B386,B386,$I$5:I386,I386))</f>
        <v/>
      </c>
    </row>
    <row r="387" spans="2:20">
      <c r="B387" s="2" t="str">
        <f>IFERROR(INT(INDEX(tblBatidas[Data e hora],MATCH("B"&amp;MID($A387,2,99),tblBatidas[Batida ID],0))),"")</f>
        <v/>
      </c>
      <c r="C387" t="str">
        <f t="shared" si="20"/>
        <v/>
      </c>
      <c r="D387" t="str">
        <f t="shared" si="21"/>
        <v/>
      </c>
      <c r="E387" t="str">
        <f>IFERROR(INDEX(tblBatidas[ID],MATCH("B"&amp;MID($A387,2,99),tblBatidas[Batida ID],0)),"")</f>
        <v/>
      </c>
      <c r="F387" t="str">
        <f>IFERROR(INDEX(tblPessoas[Pessoa],MATCH(E387,tblPessoas[ID],0)),"")</f>
        <v/>
      </c>
      <c r="G387" t="str">
        <f>IFERROR(INDEX(tblBatidas[Projeto],MATCH("B"&amp;MID($A387,2,99),tblBatidas[Batida ID],0)),"")</f>
        <v/>
      </c>
      <c r="H387" t="str">
        <f>IFERROR(INDEX(tblBatidas[Atividade],MATCH("B"&amp;MID($A387,2,99),tblBatidas[Batida ID],0)),"")</f>
        <v/>
      </c>
      <c r="I387" s="4" t="str">
        <f>IFERROR(MOD(INDEX(tblBatidas[Data e hora],MATCH("B"&amp;MID($A387,2,99),tblBatidas[Batida ID],0)),1),"")</f>
        <v/>
      </c>
      <c r="J387" s="4" t="str">
        <f>IFERROR(MOD(INDEX(tblBatidas[Data e hora],MATCH("B"&amp;MID($A387,2,99),tblBatidas[Início vinculado],0)),1),"")</f>
        <v/>
      </c>
      <c r="K387" s="14" t="str">
        <f>IFERROR((INDEX(tblBatidas[Data e hora],MATCH("B"&amp;MID($A387,2,99),tblBatidas[Início vinculado],0))-INDEX(tblBatidas[Data e hora],MATCH("B"&amp;MID($A387,2,99),tblBatidas[Batida ID],0)))*24,"")</f>
        <v/>
      </c>
      <c r="L387" t="str">
        <f>IFERROR(INDEX(tblBatidas[Observação],MATCH("B"&amp;MID($A387,2,99),tblBatidas[Início vinculado],0)),"")</f>
        <v/>
      </c>
      <c r="M387" t="str">
        <f>IFERROR(INDEX(tblPessoas[Base],MATCH(E387,tblPessoas[ID],0)),"")</f>
        <v/>
      </c>
      <c r="N387" s="3">
        <f>IFERROR(IF(D387="DIA ÚTIL",INDEX(tblPessoas[R$/h útil],MATCH(E387,tblPessoas[ID],0)),INDEX(tblPessoas[R$/h FDS],MATCH(E387,tblPessoas[ID],0))),0)</f>
        <v>0</v>
      </c>
      <c r="O387" s="3">
        <f>IFERROR(INDEX(tblPessoas[R$/diária],MATCH(E387,tblPessoas[ID],0)),0)</f>
        <v>0</v>
      </c>
      <c r="P387" s="3" t="str">
        <f t="shared" si="22"/>
        <v/>
      </c>
      <c r="Q387" t="str">
        <f>IF(A387="","",IF(COUNTIF(tblBatidas[Início vinculado],"B"&amp;MID($A387,2,99))=0,"EM ABERTO",IF(OR(COUNTIF(tblBatidas[Início vinculado],"B"&amp;MID($A387,2,99))&gt;1,K387&lt;0,K387&gt;16,INT(INDEX(tblBatidas[Data e hora],MATCH("B"&amp;MID($A387,2,99),tblBatidas[Início vinculado],0)))&lt;&gt;B387,INDEX(tblBatidas[ID],MATCH("B"&amp;MID($A387,2,99),tblBatidas[Início vinculado],0))&lt;&gt;E387,INDEX(tblBatidas[Projeto],MATCH("B"&amp;MID($A387,2,99),tblBatidas[Início vinculado],0))&lt;&gt;G387,INDEX(tblBatidas[Atividade],MATCH("B"&amp;MID($A387,2,99),tblBatidas[Início vinculado],0))&lt;&gt;H387),"REVISAR","CONCLUÍDO")))</f>
        <v/>
      </c>
      <c r="R387">
        <f>IF(Q387&lt;&gt;"CONCLUÍDO",0,IF(COUNTIFS($E$5:E387,E387,$B$5:B387,B387,$Q$5:Q387,"CONCLUÍDO")=1,1,0))</f>
        <v>0</v>
      </c>
      <c r="S387" t="str">
        <f t="shared" si="23"/>
        <v/>
      </c>
      <c r="T387" t="str">
        <f>IF(E387="","",E387*100000+COUNTIFS(tblRegistros[ID],E387,tblRegistros[Data],"&lt;"&amp;B387)+COUNTIFS(tblRegistros[ID],E387,tblRegistros[Data],B387,tblRegistros[Início],"&lt;"&amp;I387)+COUNTIFS($E$5:E387,E387,$B$5:B387,B387,$I$5:I387,I387))</f>
        <v/>
      </c>
    </row>
    <row r="388" spans="2:20">
      <c r="B388" s="2" t="str">
        <f>IFERROR(INT(INDEX(tblBatidas[Data e hora],MATCH("B"&amp;MID($A388,2,99),tblBatidas[Batida ID],0))),"")</f>
        <v/>
      </c>
      <c r="C388" t="str">
        <f t="shared" si="20"/>
        <v/>
      </c>
      <c r="D388" t="str">
        <f t="shared" si="21"/>
        <v/>
      </c>
      <c r="E388" t="str">
        <f>IFERROR(INDEX(tblBatidas[ID],MATCH("B"&amp;MID($A388,2,99),tblBatidas[Batida ID],0)),"")</f>
        <v/>
      </c>
      <c r="F388" t="str">
        <f>IFERROR(INDEX(tblPessoas[Pessoa],MATCH(E388,tblPessoas[ID],0)),"")</f>
        <v/>
      </c>
      <c r="G388" t="str">
        <f>IFERROR(INDEX(tblBatidas[Projeto],MATCH("B"&amp;MID($A388,2,99),tblBatidas[Batida ID],0)),"")</f>
        <v/>
      </c>
      <c r="H388" t="str">
        <f>IFERROR(INDEX(tblBatidas[Atividade],MATCH("B"&amp;MID($A388,2,99),tblBatidas[Batida ID],0)),"")</f>
        <v/>
      </c>
      <c r="I388" s="4" t="str">
        <f>IFERROR(MOD(INDEX(tblBatidas[Data e hora],MATCH("B"&amp;MID($A388,2,99),tblBatidas[Batida ID],0)),1),"")</f>
        <v/>
      </c>
      <c r="J388" s="4" t="str">
        <f>IFERROR(MOD(INDEX(tblBatidas[Data e hora],MATCH("B"&amp;MID($A388,2,99),tblBatidas[Início vinculado],0)),1),"")</f>
        <v/>
      </c>
      <c r="K388" s="14" t="str">
        <f>IFERROR((INDEX(tblBatidas[Data e hora],MATCH("B"&amp;MID($A388,2,99),tblBatidas[Início vinculado],0))-INDEX(tblBatidas[Data e hora],MATCH("B"&amp;MID($A388,2,99),tblBatidas[Batida ID],0)))*24,"")</f>
        <v/>
      </c>
      <c r="L388" t="str">
        <f>IFERROR(INDEX(tblBatidas[Observação],MATCH("B"&amp;MID($A388,2,99),tblBatidas[Início vinculado],0)),"")</f>
        <v/>
      </c>
      <c r="M388" t="str">
        <f>IFERROR(INDEX(tblPessoas[Base],MATCH(E388,tblPessoas[ID],0)),"")</f>
        <v/>
      </c>
      <c r="N388" s="3">
        <f>IFERROR(IF(D388="DIA ÚTIL",INDEX(tblPessoas[R$/h útil],MATCH(E388,tblPessoas[ID],0)),INDEX(tblPessoas[R$/h FDS],MATCH(E388,tblPessoas[ID],0))),0)</f>
        <v>0</v>
      </c>
      <c r="O388" s="3">
        <f>IFERROR(INDEX(tblPessoas[R$/diária],MATCH(E388,tblPessoas[ID],0)),0)</f>
        <v>0</v>
      </c>
      <c r="P388" s="3" t="str">
        <f t="shared" si="22"/>
        <v/>
      </c>
      <c r="Q388" t="str">
        <f>IF(A388="","",IF(COUNTIF(tblBatidas[Início vinculado],"B"&amp;MID($A388,2,99))=0,"EM ABERTO",IF(OR(COUNTIF(tblBatidas[Início vinculado],"B"&amp;MID($A388,2,99))&gt;1,K388&lt;0,K388&gt;16,INT(INDEX(tblBatidas[Data e hora],MATCH("B"&amp;MID($A388,2,99),tblBatidas[Início vinculado],0)))&lt;&gt;B388,INDEX(tblBatidas[ID],MATCH("B"&amp;MID($A388,2,99),tblBatidas[Início vinculado],0))&lt;&gt;E388,INDEX(tblBatidas[Projeto],MATCH("B"&amp;MID($A388,2,99),tblBatidas[Início vinculado],0))&lt;&gt;G388,INDEX(tblBatidas[Atividade],MATCH("B"&amp;MID($A388,2,99),tblBatidas[Início vinculado],0))&lt;&gt;H388),"REVISAR","CONCLUÍDO")))</f>
        <v/>
      </c>
      <c r="R388">
        <f>IF(Q388&lt;&gt;"CONCLUÍDO",0,IF(COUNTIFS($E$5:E388,E388,$B$5:B388,B388,$Q$5:Q388,"CONCLUÍDO")=1,1,0))</f>
        <v>0</v>
      </c>
      <c r="S388" t="str">
        <f t="shared" si="23"/>
        <v/>
      </c>
      <c r="T388" t="str">
        <f>IF(E388="","",E388*100000+COUNTIFS(tblRegistros[ID],E388,tblRegistros[Data],"&lt;"&amp;B388)+COUNTIFS(tblRegistros[ID],E388,tblRegistros[Data],B388,tblRegistros[Início],"&lt;"&amp;I388)+COUNTIFS($E$5:E388,E388,$B$5:B388,B388,$I$5:I388,I388))</f>
        <v/>
      </c>
    </row>
    <row r="389" spans="2:20">
      <c r="B389" s="2" t="str">
        <f>IFERROR(INT(INDEX(tblBatidas[Data e hora],MATCH("B"&amp;MID($A389,2,99),tblBatidas[Batida ID],0))),"")</f>
        <v/>
      </c>
      <c r="C389" t="str">
        <f t="shared" ref="C389:C398" si="24">IF(B389="","",CHOOSE(WEEKDAY(B389,2),"SEGUNDA-FEIRA","TERÇA-FEIRA","QUARTA-FEIRA","QUINTA-FEIRA","SEXTA-FEIRA","SÁBADO","DOMINGO"))</f>
        <v/>
      </c>
      <c r="D389" t="str">
        <f t="shared" ref="D389:D398" si="25">IF(B389="","",IF(WEEKDAY(B389,2)&gt;5,"FDS/FERIADO","DIA ÚTIL"))</f>
        <v/>
      </c>
      <c r="E389" t="str">
        <f>IFERROR(INDEX(tblBatidas[ID],MATCH("B"&amp;MID($A389,2,99),tblBatidas[Batida ID],0)),"")</f>
        <v/>
      </c>
      <c r="F389" t="str">
        <f>IFERROR(INDEX(tblPessoas[Pessoa],MATCH(E389,tblPessoas[ID],0)),"")</f>
        <v/>
      </c>
      <c r="G389" t="str">
        <f>IFERROR(INDEX(tblBatidas[Projeto],MATCH("B"&amp;MID($A389,2,99),tblBatidas[Batida ID],0)),"")</f>
        <v/>
      </c>
      <c r="H389" t="str">
        <f>IFERROR(INDEX(tblBatidas[Atividade],MATCH("B"&amp;MID($A389,2,99),tblBatidas[Batida ID],0)),"")</f>
        <v/>
      </c>
      <c r="I389" s="4" t="str">
        <f>IFERROR(MOD(INDEX(tblBatidas[Data e hora],MATCH("B"&amp;MID($A389,2,99),tblBatidas[Batida ID],0)),1),"")</f>
        <v/>
      </c>
      <c r="J389" s="4" t="str">
        <f>IFERROR(MOD(INDEX(tblBatidas[Data e hora],MATCH("B"&amp;MID($A389,2,99),tblBatidas[Início vinculado],0)),1),"")</f>
        <v/>
      </c>
      <c r="K389" s="14" t="str">
        <f>IFERROR((INDEX(tblBatidas[Data e hora],MATCH("B"&amp;MID($A389,2,99),tblBatidas[Início vinculado],0))-INDEX(tblBatidas[Data e hora],MATCH("B"&amp;MID($A389,2,99),tblBatidas[Batida ID],0)))*24,"")</f>
        <v/>
      </c>
      <c r="L389" t="str">
        <f>IFERROR(INDEX(tblBatidas[Observação],MATCH("B"&amp;MID($A389,2,99),tblBatidas[Início vinculado],0)),"")</f>
        <v/>
      </c>
      <c r="M389" t="str">
        <f>IFERROR(INDEX(tblPessoas[Base],MATCH(E389,tblPessoas[ID],0)),"")</f>
        <v/>
      </c>
      <c r="N389" s="3">
        <f>IFERROR(IF(D389="DIA ÚTIL",INDEX(tblPessoas[R$/h útil],MATCH(E389,tblPessoas[ID],0)),INDEX(tblPessoas[R$/h FDS],MATCH(E389,tblPessoas[ID],0))),0)</f>
        <v>0</v>
      </c>
      <c r="O389" s="3">
        <f>IFERROR(INDEX(tblPessoas[R$/diária],MATCH(E389,tblPessoas[ID],0)),0)</f>
        <v>0</v>
      </c>
      <c r="P389" s="3" t="str">
        <f t="shared" ref="P389:P398" si="26">IF(Q389&lt;&gt;"CONCLUÍDO","",IF(M389="Diária",O389*R389,K389*N389))</f>
        <v/>
      </c>
      <c r="Q389" t="str">
        <f>IF(A389="","",IF(COUNTIF(tblBatidas[Início vinculado],"B"&amp;MID($A389,2,99))=0,"EM ABERTO",IF(OR(COUNTIF(tblBatidas[Início vinculado],"B"&amp;MID($A389,2,99))&gt;1,K389&lt;0,K389&gt;16,INT(INDEX(tblBatidas[Data e hora],MATCH("B"&amp;MID($A389,2,99),tblBatidas[Início vinculado],0)))&lt;&gt;B389,INDEX(tblBatidas[ID],MATCH("B"&amp;MID($A389,2,99),tblBatidas[Início vinculado],0))&lt;&gt;E389,INDEX(tblBatidas[Projeto],MATCH("B"&amp;MID($A389,2,99),tblBatidas[Início vinculado],0))&lt;&gt;G389,INDEX(tblBatidas[Atividade],MATCH("B"&amp;MID($A389,2,99),tblBatidas[Início vinculado],0))&lt;&gt;H389),"REVISAR","CONCLUÍDO")))</f>
        <v/>
      </c>
      <c r="R389">
        <f>IF(Q389&lt;&gt;"CONCLUÍDO",0,IF(COUNTIFS($E$5:E389,E389,$B$5:B389,B389,$Q$5:Q389,"CONCLUÍDO")=1,1,0))</f>
        <v>0</v>
      </c>
      <c r="S389" t="str">
        <f t="shared" ref="S389:S398" si="27">IF(B389="","",TEXT(B389,"yyyy-mm"))</f>
        <v/>
      </c>
      <c r="T389" t="str">
        <f>IF(E389="","",E389*100000+COUNTIFS(tblRegistros[ID],E389,tblRegistros[Data],"&lt;"&amp;B389)+COUNTIFS(tblRegistros[ID],E389,tblRegistros[Data],B389,tblRegistros[Início],"&lt;"&amp;I389)+COUNTIFS($E$5:E389,E389,$B$5:B389,B389,$I$5:I389,I389))</f>
        <v/>
      </c>
    </row>
    <row r="390" spans="2:20">
      <c r="B390" s="2" t="str">
        <f>IFERROR(INT(INDEX(tblBatidas[Data e hora],MATCH("B"&amp;MID($A390,2,99),tblBatidas[Batida ID],0))),"")</f>
        <v/>
      </c>
      <c r="C390" t="str">
        <f t="shared" si="24"/>
        <v/>
      </c>
      <c r="D390" t="str">
        <f t="shared" si="25"/>
        <v/>
      </c>
      <c r="E390" t="str">
        <f>IFERROR(INDEX(tblBatidas[ID],MATCH("B"&amp;MID($A390,2,99),tblBatidas[Batida ID],0)),"")</f>
        <v/>
      </c>
      <c r="F390" t="str">
        <f>IFERROR(INDEX(tblPessoas[Pessoa],MATCH(E390,tblPessoas[ID],0)),"")</f>
        <v/>
      </c>
      <c r="G390" t="str">
        <f>IFERROR(INDEX(tblBatidas[Projeto],MATCH("B"&amp;MID($A390,2,99),tblBatidas[Batida ID],0)),"")</f>
        <v/>
      </c>
      <c r="H390" t="str">
        <f>IFERROR(INDEX(tblBatidas[Atividade],MATCH("B"&amp;MID($A390,2,99),tblBatidas[Batida ID],0)),"")</f>
        <v/>
      </c>
      <c r="I390" s="4" t="str">
        <f>IFERROR(MOD(INDEX(tblBatidas[Data e hora],MATCH("B"&amp;MID($A390,2,99),tblBatidas[Batida ID],0)),1),"")</f>
        <v/>
      </c>
      <c r="J390" s="4" t="str">
        <f>IFERROR(MOD(INDEX(tblBatidas[Data e hora],MATCH("B"&amp;MID($A390,2,99),tblBatidas[Início vinculado],0)),1),"")</f>
        <v/>
      </c>
      <c r="K390" s="14" t="str">
        <f>IFERROR((INDEX(tblBatidas[Data e hora],MATCH("B"&amp;MID($A390,2,99),tblBatidas[Início vinculado],0))-INDEX(tblBatidas[Data e hora],MATCH("B"&amp;MID($A390,2,99),tblBatidas[Batida ID],0)))*24,"")</f>
        <v/>
      </c>
      <c r="L390" t="str">
        <f>IFERROR(INDEX(tblBatidas[Observação],MATCH("B"&amp;MID($A390,2,99),tblBatidas[Início vinculado],0)),"")</f>
        <v/>
      </c>
      <c r="M390" t="str">
        <f>IFERROR(INDEX(tblPessoas[Base],MATCH(E390,tblPessoas[ID],0)),"")</f>
        <v/>
      </c>
      <c r="N390" s="3">
        <f>IFERROR(IF(D390="DIA ÚTIL",INDEX(tblPessoas[R$/h útil],MATCH(E390,tblPessoas[ID],0)),INDEX(tblPessoas[R$/h FDS],MATCH(E390,tblPessoas[ID],0))),0)</f>
        <v>0</v>
      </c>
      <c r="O390" s="3">
        <f>IFERROR(INDEX(tblPessoas[R$/diária],MATCH(E390,tblPessoas[ID],0)),0)</f>
        <v>0</v>
      </c>
      <c r="P390" s="3" t="str">
        <f t="shared" si="26"/>
        <v/>
      </c>
      <c r="Q390" t="str">
        <f>IF(A390="","",IF(COUNTIF(tblBatidas[Início vinculado],"B"&amp;MID($A390,2,99))=0,"EM ABERTO",IF(OR(COUNTIF(tblBatidas[Início vinculado],"B"&amp;MID($A390,2,99))&gt;1,K390&lt;0,K390&gt;16,INT(INDEX(tblBatidas[Data e hora],MATCH("B"&amp;MID($A390,2,99),tblBatidas[Início vinculado],0)))&lt;&gt;B390,INDEX(tblBatidas[ID],MATCH("B"&amp;MID($A390,2,99),tblBatidas[Início vinculado],0))&lt;&gt;E390,INDEX(tblBatidas[Projeto],MATCH("B"&amp;MID($A390,2,99),tblBatidas[Início vinculado],0))&lt;&gt;G390,INDEX(tblBatidas[Atividade],MATCH("B"&amp;MID($A390,2,99),tblBatidas[Início vinculado],0))&lt;&gt;H390),"REVISAR","CONCLUÍDO")))</f>
        <v/>
      </c>
      <c r="R390">
        <f>IF(Q390&lt;&gt;"CONCLUÍDO",0,IF(COUNTIFS($E$5:E390,E390,$B$5:B390,B390,$Q$5:Q390,"CONCLUÍDO")=1,1,0))</f>
        <v>0</v>
      </c>
      <c r="S390" t="str">
        <f t="shared" si="27"/>
        <v/>
      </c>
      <c r="T390" t="str">
        <f>IF(E390="","",E390*100000+COUNTIFS(tblRegistros[ID],E390,tblRegistros[Data],"&lt;"&amp;B390)+COUNTIFS(tblRegistros[ID],E390,tblRegistros[Data],B390,tblRegistros[Início],"&lt;"&amp;I390)+COUNTIFS($E$5:E390,E390,$B$5:B390,B390,$I$5:I390,I390))</f>
        <v/>
      </c>
    </row>
    <row r="391" spans="2:20">
      <c r="B391" s="2" t="str">
        <f>IFERROR(INT(INDEX(tblBatidas[Data e hora],MATCH("B"&amp;MID($A391,2,99),tblBatidas[Batida ID],0))),"")</f>
        <v/>
      </c>
      <c r="C391" t="str">
        <f t="shared" si="24"/>
        <v/>
      </c>
      <c r="D391" t="str">
        <f t="shared" si="25"/>
        <v/>
      </c>
      <c r="E391" t="str">
        <f>IFERROR(INDEX(tblBatidas[ID],MATCH("B"&amp;MID($A391,2,99),tblBatidas[Batida ID],0)),"")</f>
        <v/>
      </c>
      <c r="F391" t="str">
        <f>IFERROR(INDEX(tblPessoas[Pessoa],MATCH(E391,tblPessoas[ID],0)),"")</f>
        <v/>
      </c>
      <c r="G391" t="str">
        <f>IFERROR(INDEX(tblBatidas[Projeto],MATCH("B"&amp;MID($A391,2,99),tblBatidas[Batida ID],0)),"")</f>
        <v/>
      </c>
      <c r="H391" t="str">
        <f>IFERROR(INDEX(tblBatidas[Atividade],MATCH("B"&amp;MID($A391,2,99),tblBatidas[Batida ID],0)),"")</f>
        <v/>
      </c>
      <c r="I391" s="4" t="str">
        <f>IFERROR(MOD(INDEX(tblBatidas[Data e hora],MATCH("B"&amp;MID($A391,2,99),tblBatidas[Batida ID],0)),1),"")</f>
        <v/>
      </c>
      <c r="J391" s="4" t="str">
        <f>IFERROR(MOD(INDEX(tblBatidas[Data e hora],MATCH("B"&amp;MID($A391,2,99),tblBatidas[Início vinculado],0)),1),"")</f>
        <v/>
      </c>
      <c r="K391" s="14" t="str">
        <f>IFERROR((INDEX(tblBatidas[Data e hora],MATCH("B"&amp;MID($A391,2,99),tblBatidas[Início vinculado],0))-INDEX(tblBatidas[Data e hora],MATCH("B"&amp;MID($A391,2,99),tblBatidas[Batida ID],0)))*24,"")</f>
        <v/>
      </c>
      <c r="L391" t="str">
        <f>IFERROR(INDEX(tblBatidas[Observação],MATCH("B"&amp;MID($A391,2,99),tblBatidas[Início vinculado],0)),"")</f>
        <v/>
      </c>
      <c r="M391" t="str">
        <f>IFERROR(INDEX(tblPessoas[Base],MATCH(E391,tblPessoas[ID],0)),"")</f>
        <v/>
      </c>
      <c r="N391" s="3">
        <f>IFERROR(IF(D391="DIA ÚTIL",INDEX(tblPessoas[R$/h útil],MATCH(E391,tblPessoas[ID],0)),INDEX(tblPessoas[R$/h FDS],MATCH(E391,tblPessoas[ID],0))),0)</f>
        <v>0</v>
      </c>
      <c r="O391" s="3">
        <f>IFERROR(INDEX(tblPessoas[R$/diária],MATCH(E391,tblPessoas[ID],0)),0)</f>
        <v>0</v>
      </c>
      <c r="P391" s="3" t="str">
        <f t="shared" si="26"/>
        <v/>
      </c>
      <c r="Q391" t="str">
        <f>IF(A391="","",IF(COUNTIF(tblBatidas[Início vinculado],"B"&amp;MID($A391,2,99))=0,"EM ABERTO",IF(OR(COUNTIF(tblBatidas[Início vinculado],"B"&amp;MID($A391,2,99))&gt;1,K391&lt;0,K391&gt;16,INT(INDEX(tblBatidas[Data e hora],MATCH("B"&amp;MID($A391,2,99),tblBatidas[Início vinculado],0)))&lt;&gt;B391,INDEX(tblBatidas[ID],MATCH("B"&amp;MID($A391,2,99),tblBatidas[Início vinculado],0))&lt;&gt;E391,INDEX(tblBatidas[Projeto],MATCH("B"&amp;MID($A391,2,99),tblBatidas[Início vinculado],0))&lt;&gt;G391,INDEX(tblBatidas[Atividade],MATCH("B"&amp;MID($A391,2,99),tblBatidas[Início vinculado],0))&lt;&gt;H391),"REVISAR","CONCLUÍDO")))</f>
        <v/>
      </c>
      <c r="R391">
        <f>IF(Q391&lt;&gt;"CONCLUÍDO",0,IF(COUNTIFS($E$5:E391,E391,$B$5:B391,B391,$Q$5:Q391,"CONCLUÍDO")=1,1,0))</f>
        <v>0</v>
      </c>
      <c r="S391" t="str">
        <f t="shared" si="27"/>
        <v/>
      </c>
      <c r="T391" t="str">
        <f>IF(E391="","",E391*100000+COUNTIFS(tblRegistros[ID],E391,tblRegistros[Data],"&lt;"&amp;B391)+COUNTIFS(tblRegistros[ID],E391,tblRegistros[Data],B391,tblRegistros[Início],"&lt;"&amp;I391)+COUNTIFS($E$5:E391,E391,$B$5:B391,B391,$I$5:I391,I391))</f>
        <v/>
      </c>
    </row>
    <row r="392" spans="2:20">
      <c r="B392" s="2" t="str">
        <f>IFERROR(INT(INDEX(tblBatidas[Data e hora],MATCH("B"&amp;MID($A392,2,99),tblBatidas[Batida ID],0))),"")</f>
        <v/>
      </c>
      <c r="C392" t="str">
        <f t="shared" si="24"/>
        <v/>
      </c>
      <c r="D392" t="str">
        <f t="shared" si="25"/>
        <v/>
      </c>
      <c r="E392" t="str">
        <f>IFERROR(INDEX(tblBatidas[ID],MATCH("B"&amp;MID($A392,2,99),tblBatidas[Batida ID],0)),"")</f>
        <v/>
      </c>
      <c r="F392" t="str">
        <f>IFERROR(INDEX(tblPessoas[Pessoa],MATCH(E392,tblPessoas[ID],0)),"")</f>
        <v/>
      </c>
      <c r="G392" t="str">
        <f>IFERROR(INDEX(tblBatidas[Projeto],MATCH("B"&amp;MID($A392,2,99),tblBatidas[Batida ID],0)),"")</f>
        <v/>
      </c>
      <c r="H392" t="str">
        <f>IFERROR(INDEX(tblBatidas[Atividade],MATCH("B"&amp;MID($A392,2,99),tblBatidas[Batida ID],0)),"")</f>
        <v/>
      </c>
      <c r="I392" s="4" t="str">
        <f>IFERROR(MOD(INDEX(tblBatidas[Data e hora],MATCH("B"&amp;MID($A392,2,99),tblBatidas[Batida ID],0)),1),"")</f>
        <v/>
      </c>
      <c r="J392" s="4" t="str">
        <f>IFERROR(MOD(INDEX(tblBatidas[Data e hora],MATCH("B"&amp;MID($A392,2,99),tblBatidas[Início vinculado],0)),1),"")</f>
        <v/>
      </c>
      <c r="K392" s="14" t="str">
        <f>IFERROR((INDEX(tblBatidas[Data e hora],MATCH("B"&amp;MID($A392,2,99),tblBatidas[Início vinculado],0))-INDEX(tblBatidas[Data e hora],MATCH("B"&amp;MID($A392,2,99),tblBatidas[Batida ID],0)))*24,"")</f>
        <v/>
      </c>
      <c r="L392" t="str">
        <f>IFERROR(INDEX(tblBatidas[Observação],MATCH("B"&amp;MID($A392,2,99),tblBatidas[Início vinculado],0)),"")</f>
        <v/>
      </c>
      <c r="M392" t="str">
        <f>IFERROR(INDEX(tblPessoas[Base],MATCH(E392,tblPessoas[ID],0)),"")</f>
        <v/>
      </c>
      <c r="N392" s="3">
        <f>IFERROR(IF(D392="DIA ÚTIL",INDEX(tblPessoas[R$/h útil],MATCH(E392,tblPessoas[ID],0)),INDEX(tblPessoas[R$/h FDS],MATCH(E392,tblPessoas[ID],0))),0)</f>
        <v>0</v>
      </c>
      <c r="O392" s="3">
        <f>IFERROR(INDEX(tblPessoas[R$/diária],MATCH(E392,tblPessoas[ID],0)),0)</f>
        <v>0</v>
      </c>
      <c r="P392" s="3" t="str">
        <f t="shared" si="26"/>
        <v/>
      </c>
      <c r="Q392" t="str">
        <f>IF(A392="","",IF(COUNTIF(tblBatidas[Início vinculado],"B"&amp;MID($A392,2,99))=0,"EM ABERTO",IF(OR(COUNTIF(tblBatidas[Início vinculado],"B"&amp;MID($A392,2,99))&gt;1,K392&lt;0,K392&gt;16,INT(INDEX(tblBatidas[Data e hora],MATCH("B"&amp;MID($A392,2,99),tblBatidas[Início vinculado],0)))&lt;&gt;B392,INDEX(tblBatidas[ID],MATCH("B"&amp;MID($A392,2,99),tblBatidas[Início vinculado],0))&lt;&gt;E392,INDEX(tblBatidas[Projeto],MATCH("B"&amp;MID($A392,2,99),tblBatidas[Início vinculado],0))&lt;&gt;G392,INDEX(tblBatidas[Atividade],MATCH("B"&amp;MID($A392,2,99),tblBatidas[Início vinculado],0))&lt;&gt;H392),"REVISAR","CONCLUÍDO")))</f>
        <v/>
      </c>
      <c r="R392">
        <f>IF(Q392&lt;&gt;"CONCLUÍDO",0,IF(COUNTIFS($E$5:E392,E392,$B$5:B392,B392,$Q$5:Q392,"CONCLUÍDO")=1,1,0))</f>
        <v>0</v>
      </c>
      <c r="S392" t="str">
        <f t="shared" si="27"/>
        <v/>
      </c>
      <c r="T392" t="str">
        <f>IF(E392="","",E392*100000+COUNTIFS(tblRegistros[ID],E392,tblRegistros[Data],"&lt;"&amp;B392)+COUNTIFS(tblRegistros[ID],E392,tblRegistros[Data],B392,tblRegistros[Início],"&lt;"&amp;I392)+COUNTIFS($E$5:E392,E392,$B$5:B392,B392,$I$5:I392,I392))</f>
        <v/>
      </c>
    </row>
    <row r="393" spans="2:20">
      <c r="B393" s="2" t="str">
        <f>IFERROR(INT(INDEX(tblBatidas[Data e hora],MATCH("B"&amp;MID($A393,2,99),tblBatidas[Batida ID],0))),"")</f>
        <v/>
      </c>
      <c r="C393" t="str">
        <f t="shared" si="24"/>
        <v/>
      </c>
      <c r="D393" t="str">
        <f t="shared" si="25"/>
        <v/>
      </c>
      <c r="E393" t="str">
        <f>IFERROR(INDEX(tblBatidas[ID],MATCH("B"&amp;MID($A393,2,99),tblBatidas[Batida ID],0)),"")</f>
        <v/>
      </c>
      <c r="F393" t="str">
        <f>IFERROR(INDEX(tblPessoas[Pessoa],MATCH(E393,tblPessoas[ID],0)),"")</f>
        <v/>
      </c>
      <c r="G393" t="str">
        <f>IFERROR(INDEX(tblBatidas[Projeto],MATCH("B"&amp;MID($A393,2,99),tblBatidas[Batida ID],0)),"")</f>
        <v/>
      </c>
      <c r="H393" t="str">
        <f>IFERROR(INDEX(tblBatidas[Atividade],MATCH("B"&amp;MID($A393,2,99),tblBatidas[Batida ID],0)),"")</f>
        <v/>
      </c>
      <c r="I393" s="4" t="str">
        <f>IFERROR(MOD(INDEX(tblBatidas[Data e hora],MATCH("B"&amp;MID($A393,2,99),tblBatidas[Batida ID],0)),1),"")</f>
        <v/>
      </c>
      <c r="J393" s="4" t="str">
        <f>IFERROR(MOD(INDEX(tblBatidas[Data e hora],MATCH("B"&amp;MID($A393,2,99),tblBatidas[Início vinculado],0)),1),"")</f>
        <v/>
      </c>
      <c r="K393" s="14" t="str">
        <f>IFERROR((INDEX(tblBatidas[Data e hora],MATCH("B"&amp;MID($A393,2,99),tblBatidas[Início vinculado],0))-INDEX(tblBatidas[Data e hora],MATCH("B"&amp;MID($A393,2,99),tblBatidas[Batida ID],0)))*24,"")</f>
        <v/>
      </c>
      <c r="L393" t="str">
        <f>IFERROR(INDEX(tblBatidas[Observação],MATCH("B"&amp;MID($A393,2,99),tblBatidas[Início vinculado],0)),"")</f>
        <v/>
      </c>
      <c r="M393" t="str">
        <f>IFERROR(INDEX(tblPessoas[Base],MATCH(E393,tblPessoas[ID],0)),"")</f>
        <v/>
      </c>
      <c r="N393" s="3">
        <f>IFERROR(IF(D393="DIA ÚTIL",INDEX(tblPessoas[R$/h útil],MATCH(E393,tblPessoas[ID],0)),INDEX(tblPessoas[R$/h FDS],MATCH(E393,tblPessoas[ID],0))),0)</f>
        <v>0</v>
      </c>
      <c r="O393" s="3">
        <f>IFERROR(INDEX(tblPessoas[R$/diária],MATCH(E393,tblPessoas[ID],0)),0)</f>
        <v>0</v>
      </c>
      <c r="P393" s="3" t="str">
        <f t="shared" si="26"/>
        <v/>
      </c>
      <c r="Q393" t="str">
        <f>IF(A393="","",IF(COUNTIF(tblBatidas[Início vinculado],"B"&amp;MID($A393,2,99))=0,"EM ABERTO",IF(OR(COUNTIF(tblBatidas[Início vinculado],"B"&amp;MID($A393,2,99))&gt;1,K393&lt;0,K393&gt;16,INT(INDEX(tblBatidas[Data e hora],MATCH("B"&amp;MID($A393,2,99),tblBatidas[Início vinculado],0)))&lt;&gt;B393,INDEX(tblBatidas[ID],MATCH("B"&amp;MID($A393,2,99),tblBatidas[Início vinculado],0))&lt;&gt;E393,INDEX(tblBatidas[Projeto],MATCH("B"&amp;MID($A393,2,99),tblBatidas[Início vinculado],0))&lt;&gt;G393,INDEX(tblBatidas[Atividade],MATCH("B"&amp;MID($A393,2,99),tblBatidas[Início vinculado],0))&lt;&gt;H393),"REVISAR","CONCLUÍDO")))</f>
        <v/>
      </c>
      <c r="R393">
        <f>IF(Q393&lt;&gt;"CONCLUÍDO",0,IF(COUNTIFS($E$5:E393,E393,$B$5:B393,B393,$Q$5:Q393,"CONCLUÍDO")=1,1,0))</f>
        <v>0</v>
      </c>
      <c r="S393" t="str">
        <f t="shared" si="27"/>
        <v/>
      </c>
      <c r="T393" t="str">
        <f>IF(E393="","",E393*100000+COUNTIFS(tblRegistros[ID],E393,tblRegistros[Data],"&lt;"&amp;B393)+COUNTIFS(tblRegistros[ID],E393,tblRegistros[Data],B393,tblRegistros[Início],"&lt;"&amp;I393)+COUNTIFS($E$5:E393,E393,$B$5:B393,B393,$I$5:I393,I393))</f>
        <v/>
      </c>
    </row>
    <row r="394" spans="2:20">
      <c r="B394" s="2" t="str">
        <f>IFERROR(INT(INDEX(tblBatidas[Data e hora],MATCH("B"&amp;MID($A394,2,99),tblBatidas[Batida ID],0))),"")</f>
        <v/>
      </c>
      <c r="C394" t="str">
        <f t="shared" si="24"/>
        <v/>
      </c>
      <c r="D394" t="str">
        <f t="shared" si="25"/>
        <v/>
      </c>
      <c r="E394" t="str">
        <f>IFERROR(INDEX(tblBatidas[ID],MATCH("B"&amp;MID($A394,2,99),tblBatidas[Batida ID],0)),"")</f>
        <v/>
      </c>
      <c r="F394" t="str">
        <f>IFERROR(INDEX(tblPessoas[Pessoa],MATCH(E394,tblPessoas[ID],0)),"")</f>
        <v/>
      </c>
      <c r="G394" t="str">
        <f>IFERROR(INDEX(tblBatidas[Projeto],MATCH("B"&amp;MID($A394,2,99),tblBatidas[Batida ID],0)),"")</f>
        <v/>
      </c>
      <c r="H394" t="str">
        <f>IFERROR(INDEX(tblBatidas[Atividade],MATCH("B"&amp;MID($A394,2,99),tblBatidas[Batida ID],0)),"")</f>
        <v/>
      </c>
      <c r="I394" s="4" t="str">
        <f>IFERROR(MOD(INDEX(tblBatidas[Data e hora],MATCH("B"&amp;MID($A394,2,99),tblBatidas[Batida ID],0)),1),"")</f>
        <v/>
      </c>
      <c r="J394" s="4" t="str">
        <f>IFERROR(MOD(INDEX(tblBatidas[Data e hora],MATCH("B"&amp;MID($A394,2,99),tblBatidas[Início vinculado],0)),1),"")</f>
        <v/>
      </c>
      <c r="K394" s="14" t="str">
        <f>IFERROR((INDEX(tblBatidas[Data e hora],MATCH("B"&amp;MID($A394,2,99),tblBatidas[Início vinculado],0))-INDEX(tblBatidas[Data e hora],MATCH("B"&amp;MID($A394,2,99),tblBatidas[Batida ID],0)))*24,"")</f>
        <v/>
      </c>
      <c r="L394" t="str">
        <f>IFERROR(INDEX(tblBatidas[Observação],MATCH("B"&amp;MID($A394,2,99),tblBatidas[Início vinculado],0)),"")</f>
        <v/>
      </c>
      <c r="M394" t="str">
        <f>IFERROR(INDEX(tblPessoas[Base],MATCH(E394,tblPessoas[ID],0)),"")</f>
        <v/>
      </c>
      <c r="N394" s="3">
        <f>IFERROR(IF(D394="DIA ÚTIL",INDEX(tblPessoas[R$/h útil],MATCH(E394,tblPessoas[ID],0)),INDEX(tblPessoas[R$/h FDS],MATCH(E394,tblPessoas[ID],0))),0)</f>
        <v>0</v>
      </c>
      <c r="O394" s="3">
        <f>IFERROR(INDEX(tblPessoas[R$/diária],MATCH(E394,tblPessoas[ID],0)),0)</f>
        <v>0</v>
      </c>
      <c r="P394" s="3" t="str">
        <f t="shared" si="26"/>
        <v/>
      </c>
      <c r="Q394" t="str">
        <f>IF(A394="","",IF(COUNTIF(tblBatidas[Início vinculado],"B"&amp;MID($A394,2,99))=0,"EM ABERTO",IF(OR(COUNTIF(tblBatidas[Início vinculado],"B"&amp;MID($A394,2,99))&gt;1,K394&lt;0,K394&gt;16,INT(INDEX(tblBatidas[Data e hora],MATCH("B"&amp;MID($A394,2,99),tblBatidas[Início vinculado],0)))&lt;&gt;B394,INDEX(tblBatidas[ID],MATCH("B"&amp;MID($A394,2,99),tblBatidas[Início vinculado],0))&lt;&gt;E394,INDEX(tblBatidas[Projeto],MATCH("B"&amp;MID($A394,2,99),tblBatidas[Início vinculado],0))&lt;&gt;G394,INDEX(tblBatidas[Atividade],MATCH("B"&amp;MID($A394,2,99),tblBatidas[Início vinculado],0))&lt;&gt;H394),"REVISAR","CONCLUÍDO")))</f>
        <v/>
      </c>
      <c r="R394">
        <f>IF(Q394&lt;&gt;"CONCLUÍDO",0,IF(COUNTIFS($E$5:E394,E394,$B$5:B394,B394,$Q$5:Q394,"CONCLUÍDO")=1,1,0))</f>
        <v>0</v>
      </c>
      <c r="S394" t="str">
        <f t="shared" si="27"/>
        <v/>
      </c>
      <c r="T394" t="str">
        <f>IF(E394="","",E394*100000+COUNTIFS(tblRegistros[ID],E394,tblRegistros[Data],"&lt;"&amp;B394)+COUNTIFS(tblRegistros[ID],E394,tblRegistros[Data],B394,tblRegistros[Início],"&lt;"&amp;I394)+COUNTIFS($E$5:E394,E394,$B$5:B394,B394,$I$5:I394,I394))</f>
        <v/>
      </c>
    </row>
    <row r="395" spans="2:20">
      <c r="B395" s="2" t="str">
        <f>IFERROR(INT(INDEX(tblBatidas[Data e hora],MATCH("B"&amp;MID($A395,2,99),tblBatidas[Batida ID],0))),"")</f>
        <v/>
      </c>
      <c r="C395" t="str">
        <f t="shared" si="24"/>
        <v/>
      </c>
      <c r="D395" t="str">
        <f t="shared" si="25"/>
        <v/>
      </c>
      <c r="E395" t="str">
        <f>IFERROR(INDEX(tblBatidas[ID],MATCH("B"&amp;MID($A395,2,99),tblBatidas[Batida ID],0)),"")</f>
        <v/>
      </c>
      <c r="F395" t="str">
        <f>IFERROR(INDEX(tblPessoas[Pessoa],MATCH(E395,tblPessoas[ID],0)),"")</f>
        <v/>
      </c>
      <c r="G395" t="str">
        <f>IFERROR(INDEX(tblBatidas[Projeto],MATCH("B"&amp;MID($A395,2,99),tblBatidas[Batida ID],0)),"")</f>
        <v/>
      </c>
      <c r="H395" t="str">
        <f>IFERROR(INDEX(tblBatidas[Atividade],MATCH("B"&amp;MID($A395,2,99),tblBatidas[Batida ID],0)),"")</f>
        <v/>
      </c>
      <c r="I395" s="4" t="str">
        <f>IFERROR(MOD(INDEX(tblBatidas[Data e hora],MATCH("B"&amp;MID($A395,2,99),tblBatidas[Batida ID],0)),1),"")</f>
        <v/>
      </c>
      <c r="J395" s="4" t="str">
        <f>IFERROR(MOD(INDEX(tblBatidas[Data e hora],MATCH("B"&amp;MID($A395,2,99),tblBatidas[Início vinculado],0)),1),"")</f>
        <v/>
      </c>
      <c r="K395" s="14" t="str">
        <f>IFERROR((INDEX(tblBatidas[Data e hora],MATCH("B"&amp;MID($A395,2,99),tblBatidas[Início vinculado],0))-INDEX(tblBatidas[Data e hora],MATCH("B"&amp;MID($A395,2,99),tblBatidas[Batida ID],0)))*24,"")</f>
        <v/>
      </c>
      <c r="L395" t="str">
        <f>IFERROR(INDEX(tblBatidas[Observação],MATCH("B"&amp;MID($A395,2,99),tblBatidas[Início vinculado],0)),"")</f>
        <v/>
      </c>
      <c r="M395" t="str">
        <f>IFERROR(INDEX(tblPessoas[Base],MATCH(E395,tblPessoas[ID],0)),"")</f>
        <v/>
      </c>
      <c r="N395" s="3">
        <f>IFERROR(IF(D395="DIA ÚTIL",INDEX(tblPessoas[R$/h útil],MATCH(E395,tblPessoas[ID],0)),INDEX(tblPessoas[R$/h FDS],MATCH(E395,tblPessoas[ID],0))),0)</f>
        <v>0</v>
      </c>
      <c r="O395" s="3">
        <f>IFERROR(INDEX(tblPessoas[R$/diária],MATCH(E395,tblPessoas[ID],0)),0)</f>
        <v>0</v>
      </c>
      <c r="P395" s="3" t="str">
        <f t="shared" si="26"/>
        <v/>
      </c>
      <c r="Q395" t="str">
        <f>IF(A395="","",IF(COUNTIF(tblBatidas[Início vinculado],"B"&amp;MID($A395,2,99))=0,"EM ABERTO",IF(OR(COUNTIF(tblBatidas[Início vinculado],"B"&amp;MID($A395,2,99))&gt;1,K395&lt;0,K395&gt;16,INT(INDEX(tblBatidas[Data e hora],MATCH("B"&amp;MID($A395,2,99),tblBatidas[Início vinculado],0)))&lt;&gt;B395,INDEX(tblBatidas[ID],MATCH("B"&amp;MID($A395,2,99),tblBatidas[Início vinculado],0))&lt;&gt;E395,INDEX(tblBatidas[Projeto],MATCH("B"&amp;MID($A395,2,99),tblBatidas[Início vinculado],0))&lt;&gt;G395,INDEX(tblBatidas[Atividade],MATCH("B"&amp;MID($A395,2,99),tblBatidas[Início vinculado],0))&lt;&gt;H395),"REVISAR","CONCLUÍDO")))</f>
        <v/>
      </c>
      <c r="R395">
        <f>IF(Q395&lt;&gt;"CONCLUÍDO",0,IF(COUNTIFS($E$5:E395,E395,$B$5:B395,B395,$Q$5:Q395,"CONCLUÍDO")=1,1,0))</f>
        <v>0</v>
      </c>
      <c r="S395" t="str">
        <f t="shared" si="27"/>
        <v/>
      </c>
      <c r="T395" t="str">
        <f>IF(E395="","",E395*100000+COUNTIFS(tblRegistros[ID],E395,tblRegistros[Data],"&lt;"&amp;B395)+COUNTIFS(tblRegistros[ID],E395,tblRegistros[Data],B395,tblRegistros[Início],"&lt;"&amp;I395)+COUNTIFS($E$5:E395,E395,$B$5:B395,B395,$I$5:I395,I395))</f>
        <v/>
      </c>
    </row>
    <row r="396" spans="2:20">
      <c r="B396" s="2" t="str">
        <f>IFERROR(INT(INDEX(tblBatidas[Data e hora],MATCH("B"&amp;MID($A396,2,99),tblBatidas[Batida ID],0))),"")</f>
        <v/>
      </c>
      <c r="C396" t="str">
        <f t="shared" si="24"/>
        <v/>
      </c>
      <c r="D396" t="str">
        <f t="shared" si="25"/>
        <v/>
      </c>
      <c r="E396" t="str">
        <f>IFERROR(INDEX(tblBatidas[ID],MATCH("B"&amp;MID($A396,2,99),tblBatidas[Batida ID],0)),"")</f>
        <v/>
      </c>
      <c r="F396" t="str">
        <f>IFERROR(INDEX(tblPessoas[Pessoa],MATCH(E396,tblPessoas[ID],0)),"")</f>
        <v/>
      </c>
      <c r="G396" t="str">
        <f>IFERROR(INDEX(tblBatidas[Projeto],MATCH("B"&amp;MID($A396,2,99),tblBatidas[Batida ID],0)),"")</f>
        <v/>
      </c>
      <c r="H396" t="str">
        <f>IFERROR(INDEX(tblBatidas[Atividade],MATCH("B"&amp;MID($A396,2,99),tblBatidas[Batida ID],0)),"")</f>
        <v/>
      </c>
      <c r="I396" s="4" t="str">
        <f>IFERROR(MOD(INDEX(tblBatidas[Data e hora],MATCH("B"&amp;MID($A396,2,99),tblBatidas[Batida ID],0)),1),"")</f>
        <v/>
      </c>
      <c r="J396" s="4" t="str">
        <f>IFERROR(MOD(INDEX(tblBatidas[Data e hora],MATCH("B"&amp;MID($A396,2,99),tblBatidas[Início vinculado],0)),1),"")</f>
        <v/>
      </c>
      <c r="K396" s="14" t="str">
        <f>IFERROR((INDEX(tblBatidas[Data e hora],MATCH("B"&amp;MID($A396,2,99),tblBatidas[Início vinculado],0))-INDEX(tblBatidas[Data e hora],MATCH("B"&amp;MID($A396,2,99),tblBatidas[Batida ID],0)))*24,"")</f>
        <v/>
      </c>
      <c r="L396" t="str">
        <f>IFERROR(INDEX(tblBatidas[Observação],MATCH("B"&amp;MID($A396,2,99),tblBatidas[Início vinculado],0)),"")</f>
        <v/>
      </c>
      <c r="M396" t="str">
        <f>IFERROR(INDEX(tblPessoas[Base],MATCH(E396,tblPessoas[ID],0)),"")</f>
        <v/>
      </c>
      <c r="N396" s="3">
        <f>IFERROR(IF(D396="DIA ÚTIL",INDEX(tblPessoas[R$/h útil],MATCH(E396,tblPessoas[ID],0)),INDEX(tblPessoas[R$/h FDS],MATCH(E396,tblPessoas[ID],0))),0)</f>
        <v>0</v>
      </c>
      <c r="O396" s="3">
        <f>IFERROR(INDEX(tblPessoas[R$/diária],MATCH(E396,tblPessoas[ID],0)),0)</f>
        <v>0</v>
      </c>
      <c r="P396" s="3" t="str">
        <f t="shared" si="26"/>
        <v/>
      </c>
      <c r="Q396" t="str">
        <f>IF(A396="","",IF(COUNTIF(tblBatidas[Início vinculado],"B"&amp;MID($A396,2,99))=0,"EM ABERTO",IF(OR(COUNTIF(tblBatidas[Início vinculado],"B"&amp;MID($A396,2,99))&gt;1,K396&lt;0,K396&gt;16,INT(INDEX(tblBatidas[Data e hora],MATCH("B"&amp;MID($A396,2,99),tblBatidas[Início vinculado],0)))&lt;&gt;B396,INDEX(tblBatidas[ID],MATCH("B"&amp;MID($A396,2,99),tblBatidas[Início vinculado],0))&lt;&gt;E396,INDEX(tblBatidas[Projeto],MATCH("B"&amp;MID($A396,2,99),tblBatidas[Início vinculado],0))&lt;&gt;G396,INDEX(tblBatidas[Atividade],MATCH("B"&amp;MID($A396,2,99),tblBatidas[Início vinculado],0))&lt;&gt;H396),"REVISAR","CONCLUÍDO")))</f>
        <v/>
      </c>
      <c r="R396">
        <f>IF(Q396&lt;&gt;"CONCLUÍDO",0,IF(COUNTIFS($E$5:E396,E396,$B$5:B396,B396,$Q$5:Q396,"CONCLUÍDO")=1,1,0))</f>
        <v>0</v>
      </c>
      <c r="S396" t="str">
        <f t="shared" si="27"/>
        <v/>
      </c>
      <c r="T396" t="str">
        <f>IF(E396="","",E396*100000+COUNTIFS(tblRegistros[ID],E396,tblRegistros[Data],"&lt;"&amp;B396)+COUNTIFS(tblRegistros[ID],E396,tblRegistros[Data],B396,tblRegistros[Início],"&lt;"&amp;I396)+COUNTIFS($E$5:E396,E396,$B$5:B396,B396,$I$5:I396,I396))</f>
        <v/>
      </c>
    </row>
    <row r="397" spans="2:20">
      <c r="B397" s="2" t="str">
        <f>IFERROR(INT(INDEX(tblBatidas[Data e hora],MATCH("B"&amp;MID($A397,2,99),tblBatidas[Batida ID],0))),"")</f>
        <v/>
      </c>
      <c r="C397" t="str">
        <f t="shared" si="24"/>
        <v/>
      </c>
      <c r="D397" t="str">
        <f t="shared" si="25"/>
        <v/>
      </c>
      <c r="E397" t="str">
        <f>IFERROR(INDEX(tblBatidas[ID],MATCH("B"&amp;MID($A397,2,99),tblBatidas[Batida ID],0)),"")</f>
        <v/>
      </c>
      <c r="F397" t="str">
        <f>IFERROR(INDEX(tblPessoas[Pessoa],MATCH(E397,tblPessoas[ID],0)),"")</f>
        <v/>
      </c>
      <c r="G397" t="str">
        <f>IFERROR(INDEX(tblBatidas[Projeto],MATCH("B"&amp;MID($A397,2,99),tblBatidas[Batida ID],0)),"")</f>
        <v/>
      </c>
      <c r="H397" t="str">
        <f>IFERROR(INDEX(tblBatidas[Atividade],MATCH("B"&amp;MID($A397,2,99),tblBatidas[Batida ID],0)),"")</f>
        <v/>
      </c>
      <c r="I397" s="4" t="str">
        <f>IFERROR(MOD(INDEX(tblBatidas[Data e hora],MATCH("B"&amp;MID($A397,2,99),tblBatidas[Batida ID],0)),1),"")</f>
        <v/>
      </c>
      <c r="J397" s="4" t="str">
        <f>IFERROR(MOD(INDEX(tblBatidas[Data e hora],MATCH("B"&amp;MID($A397,2,99),tblBatidas[Início vinculado],0)),1),"")</f>
        <v/>
      </c>
      <c r="K397" s="14" t="str">
        <f>IFERROR((INDEX(tblBatidas[Data e hora],MATCH("B"&amp;MID($A397,2,99),tblBatidas[Início vinculado],0))-INDEX(tblBatidas[Data e hora],MATCH("B"&amp;MID($A397,2,99),tblBatidas[Batida ID],0)))*24,"")</f>
        <v/>
      </c>
      <c r="L397" t="str">
        <f>IFERROR(INDEX(tblBatidas[Observação],MATCH("B"&amp;MID($A397,2,99),tblBatidas[Início vinculado],0)),"")</f>
        <v/>
      </c>
      <c r="M397" t="str">
        <f>IFERROR(INDEX(tblPessoas[Base],MATCH(E397,tblPessoas[ID],0)),"")</f>
        <v/>
      </c>
      <c r="N397" s="3">
        <f>IFERROR(IF(D397="DIA ÚTIL",INDEX(tblPessoas[R$/h útil],MATCH(E397,tblPessoas[ID],0)),INDEX(tblPessoas[R$/h FDS],MATCH(E397,tblPessoas[ID],0))),0)</f>
        <v>0</v>
      </c>
      <c r="O397" s="3">
        <f>IFERROR(INDEX(tblPessoas[R$/diária],MATCH(E397,tblPessoas[ID],0)),0)</f>
        <v>0</v>
      </c>
      <c r="P397" s="3" t="str">
        <f t="shared" si="26"/>
        <v/>
      </c>
      <c r="Q397" t="str">
        <f>IF(A397="","",IF(COUNTIF(tblBatidas[Início vinculado],"B"&amp;MID($A397,2,99))=0,"EM ABERTO",IF(OR(COUNTIF(tblBatidas[Início vinculado],"B"&amp;MID($A397,2,99))&gt;1,K397&lt;0,K397&gt;16,INT(INDEX(tblBatidas[Data e hora],MATCH("B"&amp;MID($A397,2,99),tblBatidas[Início vinculado],0)))&lt;&gt;B397,INDEX(tblBatidas[ID],MATCH("B"&amp;MID($A397,2,99),tblBatidas[Início vinculado],0))&lt;&gt;E397,INDEX(tblBatidas[Projeto],MATCH("B"&amp;MID($A397,2,99),tblBatidas[Início vinculado],0))&lt;&gt;G397,INDEX(tblBatidas[Atividade],MATCH("B"&amp;MID($A397,2,99),tblBatidas[Início vinculado],0))&lt;&gt;H397),"REVISAR","CONCLUÍDO")))</f>
        <v/>
      </c>
      <c r="R397">
        <f>IF(Q397&lt;&gt;"CONCLUÍDO",0,IF(COUNTIFS($E$5:E397,E397,$B$5:B397,B397,$Q$5:Q397,"CONCLUÍDO")=1,1,0))</f>
        <v>0</v>
      </c>
      <c r="S397" t="str">
        <f t="shared" si="27"/>
        <v/>
      </c>
      <c r="T397" t="str">
        <f>IF(E397="","",E397*100000+COUNTIFS(tblRegistros[ID],E397,tblRegistros[Data],"&lt;"&amp;B397)+COUNTIFS(tblRegistros[ID],E397,tblRegistros[Data],B397,tblRegistros[Início],"&lt;"&amp;I397)+COUNTIFS($E$5:E397,E397,$B$5:B397,B397,$I$5:I397,I397))</f>
        <v/>
      </c>
    </row>
    <row r="398" spans="2:20">
      <c r="B398" s="2" t="str">
        <f>IFERROR(INT(INDEX(tblBatidas[Data e hora],MATCH("B"&amp;MID($A398,2,99),tblBatidas[Batida ID],0))),"")</f>
        <v/>
      </c>
      <c r="C398" t="str">
        <f t="shared" si="24"/>
        <v/>
      </c>
      <c r="D398" t="str">
        <f t="shared" si="25"/>
        <v/>
      </c>
      <c r="E398" t="str">
        <f>IFERROR(INDEX(tblBatidas[ID],MATCH("B"&amp;MID($A398,2,99),tblBatidas[Batida ID],0)),"")</f>
        <v/>
      </c>
      <c r="F398" t="str">
        <f>IFERROR(INDEX(tblPessoas[Pessoa],MATCH(E398,tblPessoas[ID],0)),"")</f>
        <v/>
      </c>
      <c r="G398" t="str">
        <f>IFERROR(INDEX(tblBatidas[Projeto],MATCH("B"&amp;MID($A398,2,99),tblBatidas[Batida ID],0)),"")</f>
        <v/>
      </c>
      <c r="H398" t="str">
        <f>IFERROR(INDEX(tblBatidas[Atividade],MATCH("B"&amp;MID($A398,2,99),tblBatidas[Batida ID],0)),"")</f>
        <v/>
      </c>
      <c r="I398" s="4" t="str">
        <f>IFERROR(MOD(INDEX(tblBatidas[Data e hora],MATCH("B"&amp;MID($A398,2,99),tblBatidas[Batida ID],0)),1),"")</f>
        <v/>
      </c>
      <c r="J398" s="4" t="str">
        <f>IFERROR(MOD(INDEX(tblBatidas[Data e hora],MATCH("B"&amp;MID($A398,2,99),tblBatidas[Início vinculado],0)),1),"")</f>
        <v/>
      </c>
      <c r="K398" s="14" t="str">
        <f>IFERROR((INDEX(tblBatidas[Data e hora],MATCH("B"&amp;MID($A398,2,99),tblBatidas[Início vinculado],0))-INDEX(tblBatidas[Data e hora],MATCH("B"&amp;MID($A398,2,99),tblBatidas[Batida ID],0)))*24,"")</f>
        <v/>
      </c>
      <c r="L398" t="str">
        <f>IFERROR(INDEX(tblBatidas[Observação],MATCH("B"&amp;MID($A398,2,99),tblBatidas[Início vinculado],0)),"")</f>
        <v/>
      </c>
      <c r="M398" t="str">
        <f>IFERROR(INDEX(tblPessoas[Base],MATCH(E398,tblPessoas[ID],0)),"")</f>
        <v/>
      </c>
      <c r="N398" s="3">
        <f>IFERROR(IF(D398="DIA ÚTIL",INDEX(tblPessoas[R$/h útil],MATCH(E398,tblPessoas[ID],0)),INDEX(tblPessoas[R$/h FDS],MATCH(E398,tblPessoas[ID],0))),0)</f>
        <v>0</v>
      </c>
      <c r="O398" s="3">
        <f>IFERROR(INDEX(tblPessoas[R$/diária],MATCH(E398,tblPessoas[ID],0)),0)</f>
        <v>0</v>
      </c>
      <c r="P398" s="3" t="str">
        <f t="shared" si="26"/>
        <v/>
      </c>
      <c r="Q398" t="str">
        <f>IF(A398="","",IF(COUNTIF(tblBatidas[Início vinculado],"B"&amp;MID($A398,2,99))=0,"EM ABERTO",IF(OR(COUNTIF(tblBatidas[Início vinculado],"B"&amp;MID($A398,2,99))&gt;1,K398&lt;0,K398&gt;16,INT(INDEX(tblBatidas[Data e hora],MATCH("B"&amp;MID($A398,2,99),tblBatidas[Início vinculado],0)))&lt;&gt;B398,INDEX(tblBatidas[ID],MATCH("B"&amp;MID($A398,2,99),tblBatidas[Início vinculado],0))&lt;&gt;E398,INDEX(tblBatidas[Projeto],MATCH("B"&amp;MID($A398,2,99),tblBatidas[Início vinculado],0))&lt;&gt;G398,INDEX(tblBatidas[Atividade],MATCH("B"&amp;MID($A398,2,99),tblBatidas[Início vinculado],0))&lt;&gt;H398),"REVISAR","CONCLUÍDO")))</f>
        <v/>
      </c>
      <c r="R398">
        <f>IF(Q398&lt;&gt;"CONCLUÍDO",0,IF(COUNTIFS($E$5:E398,E398,$B$5:B398,B398,$Q$5:Q398,"CONCLUÍDO")=1,1,0))</f>
        <v>0</v>
      </c>
      <c r="S398" t="str">
        <f t="shared" si="27"/>
        <v/>
      </c>
      <c r="T398" t="str">
        <f>IF(E398="","",E398*100000+COUNTIFS(tblRegistros[ID],E398,tblRegistros[Data],"&lt;"&amp;B398)+COUNTIFS(tblRegistros[ID],E398,tblRegistros[Data],B398,tblRegistros[Início],"&lt;"&amp;I398)+COUNTIFS($E$5:E398,E398,$B$5:B398,B398,$I$5:I398,I398))</f>
        <v/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14"/>
  <sheetViews>
    <sheetView showGridLines="0" workbookViewId="0">
      <pane ySplit="4" topLeftCell="A5" activePane="bottomLeft" state="frozen"/>
      <selection pane="bottomLeft" activeCell="J4" sqref="J4"/>
    </sheetView>
  </sheetViews>
  <sheetFormatPr defaultRowHeight="14.25"/>
  <cols>
    <col min="1" max="1" width="23.875" customWidth="1"/>
    <col min="2" max="2" width="18.875" customWidth="1"/>
    <col min="3" max="3" width="11.625" customWidth="1"/>
    <col min="4" max="4" width="15" customWidth="1"/>
    <col min="5" max="5" width="8.375" customWidth="1"/>
    <col min="6" max="6" width="28.875" customWidth="1"/>
    <col min="7" max="7" width="10.875" customWidth="1"/>
    <col min="8" max="8" width="20.625" customWidth="1"/>
    <col min="9" max="9" width="17.75" customWidth="1"/>
    <col min="10" max="10" width="38.875" customWidth="1"/>
    <col min="11" max="11" width="20.625" customWidth="1"/>
    <col min="12" max="12" width="25.625" customWidth="1"/>
    <col min="13" max="13" width="16.625" customWidth="1"/>
  </cols>
  <sheetData>
    <row r="1" spans="1:13" ht="24" customHeight="1">
      <c r="A1" s="17" t="s">
        <v>64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9.5" customHeight="1">
      <c r="A2" s="7" t="s">
        <v>65</v>
      </c>
    </row>
    <row r="4" spans="1:13" ht="24" customHeight="1">
      <c r="A4" s="5" t="s">
        <v>66</v>
      </c>
      <c r="B4" s="5" t="s">
        <v>67</v>
      </c>
      <c r="C4" s="5" t="s">
        <v>23</v>
      </c>
      <c r="D4" s="5" t="s">
        <v>59</v>
      </c>
      <c r="E4" s="5" t="s">
        <v>35</v>
      </c>
      <c r="F4" s="5" t="s">
        <v>3</v>
      </c>
      <c r="G4" s="5" t="s">
        <v>68</v>
      </c>
      <c r="H4" s="5" t="s">
        <v>6</v>
      </c>
      <c r="I4" s="5" t="s">
        <v>7</v>
      </c>
      <c r="J4" s="5" t="s">
        <v>8</v>
      </c>
      <c r="K4" s="5" t="s">
        <v>69</v>
      </c>
      <c r="L4" s="5" t="s">
        <v>70</v>
      </c>
      <c r="M4" s="5" t="s">
        <v>71</v>
      </c>
    </row>
    <row r="5" spans="1:13">
      <c r="B5" s="21"/>
      <c r="C5" s="2"/>
      <c r="L5" s="9"/>
    </row>
    <row r="6" spans="1:13">
      <c r="B6" s="21"/>
      <c r="C6" s="2"/>
      <c r="L6" s="9"/>
    </row>
    <row r="7" spans="1:13">
      <c r="B7" s="21"/>
      <c r="C7" s="2"/>
      <c r="L7" s="9"/>
    </row>
    <row r="8" spans="1:13">
      <c r="B8" s="21"/>
      <c r="C8" s="2"/>
      <c r="L8" s="9"/>
    </row>
    <row r="9" spans="1:13">
      <c r="B9" s="21"/>
      <c r="C9" s="2"/>
      <c r="L9" s="9"/>
    </row>
    <row r="10" spans="1:13">
      <c r="B10" s="21"/>
      <c r="C10" s="2"/>
      <c r="L10" s="9"/>
    </row>
    <row r="11" spans="1:13">
      <c r="B11" s="21"/>
      <c r="C11" s="2"/>
      <c r="L11" s="9"/>
    </row>
    <row r="12" spans="1:13">
      <c r="B12" s="21"/>
      <c r="C12" s="2"/>
      <c r="L12" s="9"/>
    </row>
    <row r="13" spans="1:13">
      <c r="B13" s="21"/>
      <c r="C13" s="2"/>
      <c r="L13" s="9"/>
    </row>
    <row r="14" spans="1:13">
      <c r="B14" s="21"/>
      <c r="C14" s="2"/>
      <c r="L14" s="9"/>
    </row>
    <row r="15" spans="1:13">
      <c r="B15" s="21"/>
      <c r="C15" s="2"/>
      <c r="L15" s="9"/>
    </row>
    <row r="16" spans="1:13">
      <c r="B16" s="21"/>
      <c r="C16" s="2"/>
      <c r="L16" s="9"/>
    </row>
    <row r="17" spans="2:12">
      <c r="B17" s="21"/>
      <c r="C17" s="2"/>
      <c r="L17" s="9"/>
    </row>
    <row r="18" spans="2:12">
      <c r="B18" s="21"/>
      <c r="C18" s="2"/>
      <c r="L18" s="9"/>
    </row>
    <row r="19" spans="2:12">
      <c r="B19" s="21"/>
      <c r="C19" s="2"/>
      <c r="L19" s="9"/>
    </row>
    <row r="20" spans="2:12">
      <c r="B20" s="21"/>
      <c r="C20" s="2"/>
      <c r="L20" s="9"/>
    </row>
    <row r="21" spans="2:12">
      <c r="B21" s="21"/>
      <c r="C21" s="2"/>
      <c r="L21" s="9"/>
    </row>
    <row r="22" spans="2:12">
      <c r="B22" s="21"/>
      <c r="C22" s="2"/>
      <c r="L22" s="9"/>
    </row>
    <row r="23" spans="2:12">
      <c r="B23" s="21"/>
      <c r="C23" s="2"/>
      <c r="L23" s="9"/>
    </row>
    <row r="24" spans="2:12">
      <c r="B24" s="21"/>
      <c r="C24" s="2"/>
      <c r="L24" s="9"/>
    </row>
    <row r="25" spans="2:12">
      <c r="B25" s="21"/>
      <c r="C25" s="2"/>
      <c r="L25" s="9"/>
    </row>
    <row r="26" spans="2:12">
      <c r="B26" s="21"/>
      <c r="C26" s="2"/>
      <c r="L26" s="9"/>
    </row>
    <row r="27" spans="2:12">
      <c r="B27" s="21"/>
      <c r="C27" s="2"/>
      <c r="L27" s="9"/>
    </row>
    <row r="28" spans="2:12">
      <c r="B28" s="21"/>
      <c r="C28" s="2"/>
      <c r="L28" s="9"/>
    </row>
    <row r="29" spans="2:12">
      <c r="B29" s="21"/>
      <c r="C29" s="2"/>
      <c r="L29" s="9"/>
    </row>
    <row r="30" spans="2:12">
      <c r="B30" s="21"/>
      <c r="C30" s="2"/>
      <c r="L30" s="9"/>
    </row>
    <row r="31" spans="2:12">
      <c r="B31" s="21"/>
      <c r="C31" s="2"/>
      <c r="L31" s="9"/>
    </row>
    <row r="32" spans="2:12">
      <c r="B32" s="21"/>
      <c r="C32" s="2"/>
      <c r="L32" s="9"/>
    </row>
    <row r="33" spans="2:12">
      <c r="B33" s="21"/>
      <c r="C33" s="2"/>
      <c r="L33" s="9"/>
    </row>
    <row r="34" spans="2:12">
      <c r="B34" s="21"/>
      <c r="C34" s="2"/>
      <c r="L34" s="9"/>
    </row>
    <row r="35" spans="2:12">
      <c r="B35" s="21"/>
      <c r="C35" s="2"/>
      <c r="L35" s="9"/>
    </row>
    <row r="36" spans="2:12">
      <c r="B36" s="21"/>
      <c r="C36" s="2"/>
      <c r="L36" s="9"/>
    </row>
    <row r="37" spans="2:12">
      <c r="B37" s="21"/>
      <c r="C37" s="2"/>
      <c r="L37" s="9"/>
    </row>
    <row r="38" spans="2:12">
      <c r="B38" s="21"/>
      <c r="C38" s="2"/>
      <c r="L38" s="9"/>
    </row>
    <row r="39" spans="2:12">
      <c r="B39" s="21"/>
      <c r="C39" s="2"/>
      <c r="L39" s="9"/>
    </row>
    <row r="40" spans="2:12">
      <c r="B40" s="21"/>
      <c r="C40" s="2"/>
      <c r="L40" s="9"/>
    </row>
    <row r="41" spans="2:12">
      <c r="B41" s="21"/>
      <c r="C41" s="2"/>
      <c r="L41" s="9"/>
    </row>
    <row r="42" spans="2:12">
      <c r="B42" s="21"/>
      <c r="C42" s="2"/>
      <c r="L42" s="9"/>
    </row>
    <row r="43" spans="2:12">
      <c r="B43" s="21"/>
      <c r="C43" s="2"/>
      <c r="L43" s="9"/>
    </row>
    <row r="44" spans="2:12">
      <c r="B44" s="21"/>
      <c r="C44" s="2"/>
      <c r="L44" s="9"/>
    </row>
    <row r="45" spans="2:12">
      <c r="B45" s="21"/>
      <c r="C45" s="2"/>
      <c r="L45" s="9"/>
    </row>
    <row r="46" spans="2:12">
      <c r="B46" s="21"/>
      <c r="C46" s="2"/>
      <c r="L46" s="9"/>
    </row>
    <row r="47" spans="2:12">
      <c r="B47" s="21"/>
      <c r="C47" s="2"/>
      <c r="L47" s="9"/>
    </row>
    <row r="48" spans="2:12">
      <c r="B48" s="21"/>
      <c r="C48" s="2"/>
      <c r="L48" s="9"/>
    </row>
    <row r="49" spans="2:12">
      <c r="B49" s="21"/>
      <c r="C49" s="2"/>
      <c r="L49" s="9"/>
    </row>
    <row r="50" spans="2:12">
      <c r="B50" s="21"/>
      <c r="C50" s="2"/>
      <c r="L50" s="9"/>
    </row>
    <row r="51" spans="2:12">
      <c r="B51" s="21"/>
      <c r="C51" s="2"/>
      <c r="L51" s="9"/>
    </row>
    <row r="52" spans="2:12">
      <c r="B52" s="21"/>
      <c r="C52" s="2"/>
      <c r="L52" s="9"/>
    </row>
    <row r="53" spans="2:12">
      <c r="B53" s="21"/>
      <c r="C53" s="2"/>
      <c r="L53" s="9"/>
    </row>
    <row r="54" spans="2:12">
      <c r="B54" s="21"/>
      <c r="C54" s="2"/>
      <c r="L54" s="9"/>
    </row>
    <row r="55" spans="2:12">
      <c r="B55" s="21"/>
      <c r="C55" s="2"/>
      <c r="L55" s="9"/>
    </row>
    <row r="56" spans="2:12">
      <c r="B56" s="21"/>
      <c r="C56" s="2"/>
      <c r="L56" s="9"/>
    </row>
    <row r="57" spans="2:12">
      <c r="B57" s="21"/>
      <c r="C57" s="2"/>
      <c r="L57" s="9"/>
    </row>
    <row r="58" spans="2:12">
      <c r="B58" s="21"/>
      <c r="C58" s="2"/>
      <c r="L58" s="9"/>
    </row>
    <row r="59" spans="2:12">
      <c r="B59" s="21"/>
      <c r="C59" s="2"/>
      <c r="L59" s="9"/>
    </row>
    <row r="60" spans="2:12">
      <c r="B60" s="21"/>
      <c r="C60" s="2"/>
      <c r="L60" s="9"/>
    </row>
    <row r="61" spans="2:12">
      <c r="B61" s="21"/>
      <c r="C61" s="2"/>
      <c r="L61" s="9"/>
    </row>
    <row r="62" spans="2:12">
      <c r="B62" s="21"/>
      <c r="C62" s="2"/>
      <c r="L62" s="9"/>
    </row>
    <row r="63" spans="2:12">
      <c r="B63" s="21"/>
      <c r="C63" s="2"/>
      <c r="L63" s="9"/>
    </row>
    <row r="64" spans="2:12">
      <c r="B64" s="21"/>
      <c r="C64" s="2"/>
      <c r="L64" s="9"/>
    </row>
    <row r="65" spans="2:12">
      <c r="B65" s="21"/>
      <c r="C65" s="2"/>
      <c r="L65" s="9"/>
    </row>
    <row r="66" spans="2:12">
      <c r="B66" s="21"/>
      <c r="C66" s="2"/>
      <c r="L66" s="9"/>
    </row>
    <row r="67" spans="2:12">
      <c r="B67" s="21"/>
      <c r="C67" s="2"/>
      <c r="L67" s="9"/>
    </row>
    <row r="68" spans="2:12">
      <c r="B68" s="21"/>
      <c r="C68" s="2"/>
      <c r="L68" s="9"/>
    </row>
    <row r="69" spans="2:12">
      <c r="B69" s="21"/>
      <c r="C69" s="2"/>
      <c r="L69" s="9"/>
    </row>
    <row r="70" spans="2:12">
      <c r="B70" s="21"/>
      <c r="C70" s="2"/>
      <c r="L70" s="9"/>
    </row>
    <row r="71" spans="2:12">
      <c r="B71" s="21"/>
      <c r="C71" s="2"/>
      <c r="L71" s="9"/>
    </row>
    <row r="72" spans="2:12">
      <c r="B72" s="21"/>
      <c r="C72" s="2"/>
      <c r="L72" s="9"/>
    </row>
    <row r="73" spans="2:12">
      <c r="B73" s="21"/>
      <c r="C73" s="2"/>
      <c r="L73" s="9"/>
    </row>
    <row r="74" spans="2:12">
      <c r="B74" s="21"/>
      <c r="C74" s="2"/>
      <c r="L74" s="9"/>
    </row>
    <row r="75" spans="2:12">
      <c r="B75" s="21"/>
      <c r="C75" s="2"/>
      <c r="L75" s="9"/>
    </row>
    <row r="76" spans="2:12">
      <c r="B76" s="21"/>
      <c r="C76" s="2"/>
      <c r="L76" s="9"/>
    </row>
    <row r="77" spans="2:12">
      <c r="B77" s="21"/>
      <c r="C77" s="2"/>
      <c r="L77" s="9"/>
    </row>
    <row r="78" spans="2:12">
      <c r="B78" s="21"/>
      <c r="C78" s="2"/>
      <c r="L78" s="9"/>
    </row>
    <row r="79" spans="2:12">
      <c r="B79" s="21"/>
      <c r="C79" s="2"/>
      <c r="L79" s="9"/>
    </row>
    <row r="80" spans="2:12">
      <c r="B80" s="21"/>
      <c r="C80" s="2"/>
      <c r="L80" s="9"/>
    </row>
    <row r="81" spans="2:12">
      <c r="B81" s="21"/>
      <c r="C81" s="2"/>
      <c r="L81" s="9"/>
    </row>
    <row r="82" spans="2:12">
      <c r="B82" s="21"/>
      <c r="C82" s="2"/>
      <c r="L82" s="9"/>
    </row>
    <row r="83" spans="2:12">
      <c r="B83" s="21"/>
      <c r="C83" s="2"/>
      <c r="L83" s="9"/>
    </row>
    <row r="84" spans="2:12">
      <c r="B84" s="21"/>
      <c r="C84" s="2"/>
      <c r="L84" s="9"/>
    </row>
    <row r="85" spans="2:12">
      <c r="B85" s="21"/>
      <c r="C85" s="2"/>
      <c r="L85" s="9"/>
    </row>
    <row r="86" spans="2:12">
      <c r="B86" s="21"/>
      <c r="C86" s="2"/>
      <c r="L86" s="9"/>
    </row>
    <row r="87" spans="2:12">
      <c r="B87" s="21"/>
      <c r="C87" s="2"/>
      <c r="L87" s="9"/>
    </row>
    <row r="88" spans="2:12">
      <c r="B88" s="21"/>
      <c r="C88" s="2"/>
      <c r="L88" s="9"/>
    </row>
    <row r="89" spans="2:12">
      <c r="B89" s="21"/>
      <c r="C89" s="2"/>
      <c r="L89" s="9"/>
    </row>
    <row r="90" spans="2:12">
      <c r="B90" s="21"/>
      <c r="C90" s="2"/>
      <c r="L90" s="9"/>
    </row>
    <row r="91" spans="2:12">
      <c r="B91" s="21"/>
      <c r="C91" s="2"/>
      <c r="L91" s="9"/>
    </row>
    <row r="92" spans="2:12">
      <c r="B92" s="21"/>
      <c r="C92" s="2"/>
      <c r="L92" s="9"/>
    </row>
    <row r="93" spans="2:12">
      <c r="B93" s="21"/>
      <c r="C93" s="2"/>
      <c r="L93" s="9"/>
    </row>
    <row r="94" spans="2:12">
      <c r="B94" s="21"/>
      <c r="C94" s="2"/>
      <c r="L94" s="9"/>
    </row>
    <row r="95" spans="2:12">
      <c r="B95" s="21"/>
      <c r="C95" s="2"/>
      <c r="L95" s="9"/>
    </row>
    <row r="96" spans="2:12">
      <c r="B96" s="21"/>
      <c r="C96" s="2"/>
      <c r="L96" s="9"/>
    </row>
    <row r="97" spans="2:12">
      <c r="B97" s="21"/>
      <c r="C97" s="2"/>
      <c r="L97" s="9"/>
    </row>
    <row r="98" spans="2:12">
      <c r="B98" s="21"/>
      <c r="C98" s="2"/>
      <c r="L98" s="9"/>
    </row>
    <row r="99" spans="2:12">
      <c r="B99" s="21"/>
      <c r="C99" s="2"/>
      <c r="L99" s="9"/>
    </row>
    <row r="100" spans="2:12">
      <c r="B100" s="21"/>
      <c r="C100" s="2"/>
      <c r="L100" s="9"/>
    </row>
    <row r="101" spans="2:12">
      <c r="B101" s="21"/>
      <c r="C101" s="2"/>
      <c r="L101" s="9"/>
    </row>
    <row r="102" spans="2:12">
      <c r="B102" s="21"/>
      <c r="C102" s="2"/>
      <c r="L102" s="9"/>
    </row>
    <row r="103" spans="2:12">
      <c r="B103" s="21"/>
      <c r="C103" s="2"/>
      <c r="L103" s="9"/>
    </row>
    <row r="104" spans="2:12">
      <c r="B104" s="21"/>
      <c r="C104" s="2"/>
      <c r="L104" s="9"/>
    </row>
    <row r="105" spans="2:12">
      <c r="B105" s="21"/>
      <c r="C105" s="2"/>
      <c r="L105" s="9"/>
    </row>
    <row r="106" spans="2:12">
      <c r="B106" s="21"/>
      <c r="C106" s="2"/>
      <c r="L106" s="9"/>
    </row>
    <row r="107" spans="2:12">
      <c r="B107" s="21"/>
      <c r="C107" s="2"/>
      <c r="L107" s="9"/>
    </row>
    <row r="108" spans="2:12">
      <c r="B108" s="21"/>
      <c r="C108" s="2"/>
      <c r="L108" s="9"/>
    </row>
    <row r="109" spans="2:12">
      <c r="B109" s="21"/>
      <c r="C109" s="2"/>
      <c r="L109" s="9"/>
    </row>
    <row r="110" spans="2:12">
      <c r="B110" s="21"/>
      <c r="C110" s="2"/>
      <c r="L110" s="9"/>
    </row>
    <row r="111" spans="2:12">
      <c r="B111" s="21"/>
      <c r="C111" s="2"/>
      <c r="L111" s="9"/>
    </row>
    <row r="112" spans="2:12">
      <c r="B112" s="21"/>
      <c r="C112" s="2"/>
      <c r="L112" s="9"/>
    </row>
    <row r="113" spans="2:12">
      <c r="B113" s="21"/>
      <c r="C113" s="2"/>
      <c r="L113" s="9"/>
    </row>
    <row r="114" spans="2:12">
      <c r="B114" s="21"/>
      <c r="C114" s="2"/>
      <c r="L114" s="9"/>
    </row>
    <row r="115" spans="2:12">
      <c r="B115" s="21"/>
      <c r="C115" s="2"/>
      <c r="L115" s="9"/>
    </row>
    <row r="116" spans="2:12">
      <c r="B116" s="21"/>
      <c r="C116" s="2"/>
      <c r="L116" s="9"/>
    </row>
    <row r="117" spans="2:12">
      <c r="B117" s="21"/>
      <c r="C117" s="2"/>
      <c r="L117" s="9"/>
    </row>
    <row r="118" spans="2:12">
      <c r="B118" s="21"/>
      <c r="C118" s="2"/>
      <c r="L118" s="9"/>
    </row>
    <row r="119" spans="2:12">
      <c r="B119" s="21"/>
      <c r="C119" s="2"/>
      <c r="L119" s="9"/>
    </row>
    <row r="120" spans="2:12">
      <c r="B120" s="21"/>
      <c r="C120" s="2"/>
      <c r="L120" s="9"/>
    </row>
    <row r="121" spans="2:12">
      <c r="B121" s="21"/>
      <c r="C121" s="2"/>
      <c r="L121" s="9"/>
    </row>
    <row r="122" spans="2:12">
      <c r="B122" s="21"/>
      <c r="C122" s="2"/>
      <c r="L122" s="9"/>
    </row>
    <row r="123" spans="2:12">
      <c r="B123" s="21"/>
      <c r="C123" s="2"/>
      <c r="L123" s="9"/>
    </row>
    <row r="124" spans="2:12">
      <c r="B124" s="21"/>
      <c r="C124" s="2"/>
      <c r="L124" s="9"/>
    </row>
    <row r="125" spans="2:12">
      <c r="B125" s="21"/>
      <c r="C125" s="2"/>
      <c r="L125" s="9"/>
    </row>
    <row r="126" spans="2:12">
      <c r="B126" s="21"/>
      <c r="C126" s="2"/>
      <c r="L126" s="9"/>
    </row>
    <row r="127" spans="2:12">
      <c r="B127" s="21"/>
      <c r="C127" s="2"/>
      <c r="L127" s="9"/>
    </row>
    <row r="128" spans="2:12">
      <c r="B128" s="21"/>
      <c r="C128" s="2"/>
      <c r="L128" s="9"/>
    </row>
    <row r="129" spans="2:12">
      <c r="B129" s="21"/>
      <c r="C129" s="2"/>
      <c r="L129" s="9"/>
    </row>
    <row r="130" spans="2:12">
      <c r="B130" s="21"/>
      <c r="C130" s="2"/>
      <c r="L130" s="9"/>
    </row>
    <row r="131" spans="2:12">
      <c r="B131" s="21"/>
      <c r="C131" s="2"/>
      <c r="L131" s="9"/>
    </row>
    <row r="132" spans="2:12">
      <c r="B132" s="21"/>
      <c r="C132" s="2"/>
      <c r="L132" s="9"/>
    </row>
    <row r="133" spans="2:12">
      <c r="B133" s="21"/>
      <c r="C133" s="2"/>
      <c r="L133" s="9"/>
    </row>
    <row r="134" spans="2:12">
      <c r="B134" s="21"/>
      <c r="C134" s="2"/>
      <c r="L134" s="9"/>
    </row>
    <row r="135" spans="2:12">
      <c r="B135" s="21"/>
      <c r="C135" s="2"/>
      <c r="L135" s="9"/>
    </row>
    <row r="136" spans="2:12">
      <c r="B136" s="21"/>
      <c r="C136" s="2"/>
      <c r="L136" s="9"/>
    </row>
    <row r="137" spans="2:12">
      <c r="B137" s="21"/>
      <c r="C137" s="2"/>
      <c r="L137" s="9"/>
    </row>
    <row r="138" spans="2:12">
      <c r="B138" s="21"/>
      <c r="C138" s="2"/>
      <c r="L138" s="9"/>
    </row>
    <row r="139" spans="2:12">
      <c r="B139" s="21"/>
      <c r="C139" s="2"/>
      <c r="L139" s="9"/>
    </row>
    <row r="140" spans="2:12">
      <c r="B140" s="21"/>
      <c r="C140" s="2"/>
      <c r="L140" s="9"/>
    </row>
    <row r="141" spans="2:12">
      <c r="B141" s="21"/>
      <c r="C141" s="2"/>
      <c r="L141" s="9"/>
    </row>
    <row r="142" spans="2:12">
      <c r="B142" s="21"/>
      <c r="C142" s="2"/>
      <c r="L142" s="9"/>
    </row>
    <row r="143" spans="2:12">
      <c r="B143" s="21"/>
      <c r="C143" s="2"/>
      <c r="L143" s="9"/>
    </row>
    <row r="144" spans="2:12">
      <c r="B144" s="21"/>
      <c r="C144" s="2"/>
      <c r="L144" s="9"/>
    </row>
    <row r="145" spans="2:12">
      <c r="B145" s="21"/>
      <c r="C145" s="2"/>
      <c r="L145" s="9"/>
    </row>
    <row r="146" spans="2:12">
      <c r="B146" s="21"/>
      <c r="C146" s="2"/>
      <c r="L146" s="9"/>
    </row>
    <row r="147" spans="2:12">
      <c r="B147" s="21"/>
      <c r="C147" s="2"/>
      <c r="L147" s="9"/>
    </row>
    <row r="148" spans="2:12">
      <c r="B148" s="21"/>
      <c r="C148" s="2"/>
      <c r="L148" s="9"/>
    </row>
    <row r="149" spans="2:12">
      <c r="B149" s="21"/>
      <c r="C149" s="2"/>
      <c r="L149" s="9"/>
    </row>
    <row r="150" spans="2:12">
      <c r="B150" s="21"/>
      <c r="C150" s="2"/>
      <c r="L150" s="9"/>
    </row>
    <row r="151" spans="2:12">
      <c r="B151" s="21"/>
      <c r="C151" s="2"/>
      <c r="L151" s="9"/>
    </row>
    <row r="152" spans="2:12">
      <c r="B152" s="21"/>
      <c r="C152" s="2"/>
      <c r="L152" s="9"/>
    </row>
    <row r="153" spans="2:12">
      <c r="B153" s="21"/>
      <c r="C153" s="2"/>
      <c r="L153" s="9"/>
    </row>
    <row r="154" spans="2:12">
      <c r="B154" s="21"/>
      <c r="C154" s="2"/>
      <c r="L154" s="9"/>
    </row>
    <row r="155" spans="2:12">
      <c r="B155" s="21"/>
      <c r="C155" s="2"/>
      <c r="L155" s="9"/>
    </row>
    <row r="156" spans="2:12">
      <c r="B156" s="21"/>
      <c r="C156" s="2"/>
      <c r="L156" s="9"/>
    </row>
    <row r="157" spans="2:12">
      <c r="B157" s="21"/>
      <c r="C157" s="2"/>
      <c r="L157" s="9"/>
    </row>
    <row r="158" spans="2:12">
      <c r="B158" s="21"/>
      <c r="C158" s="2"/>
      <c r="L158" s="9"/>
    </row>
    <row r="159" spans="2:12">
      <c r="B159" s="21"/>
      <c r="C159" s="2"/>
      <c r="L159" s="9"/>
    </row>
    <row r="160" spans="2:12">
      <c r="B160" s="21"/>
      <c r="C160" s="2"/>
      <c r="L160" s="9"/>
    </row>
    <row r="161" spans="2:12">
      <c r="B161" s="21"/>
      <c r="C161" s="2"/>
      <c r="L161" s="9"/>
    </row>
    <row r="162" spans="2:12">
      <c r="B162" s="21"/>
      <c r="C162" s="2"/>
      <c r="L162" s="9"/>
    </row>
    <row r="163" spans="2:12">
      <c r="B163" s="21"/>
      <c r="C163" s="2"/>
      <c r="L163" s="9"/>
    </row>
    <row r="164" spans="2:12">
      <c r="B164" s="21"/>
      <c r="C164" s="2"/>
      <c r="L164" s="9"/>
    </row>
    <row r="165" spans="2:12">
      <c r="B165" s="21"/>
      <c r="C165" s="2"/>
      <c r="L165" s="9"/>
    </row>
    <row r="166" spans="2:12">
      <c r="B166" s="21"/>
      <c r="C166" s="2"/>
      <c r="L166" s="9"/>
    </row>
    <row r="167" spans="2:12">
      <c r="B167" s="21"/>
      <c r="C167" s="2"/>
      <c r="L167" s="9"/>
    </row>
    <row r="168" spans="2:12">
      <c r="B168" s="21"/>
      <c r="C168" s="2"/>
      <c r="L168" s="9"/>
    </row>
    <row r="169" spans="2:12">
      <c r="B169" s="21"/>
      <c r="C169" s="2"/>
      <c r="L169" s="9"/>
    </row>
    <row r="170" spans="2:12">
      <c r="B170" s="21"/>
      <c r="C170" s="2"/>
      <c r="L170" s="9"/>
    </row>
    <row r="171" spans="2:12">
      <c r="B171" s="21"/>
      <c r="C171" s="2"/>
      <c r="L171" s="9"/>
    </row>
    <row r="172" spans="2:12">
      <c r="B172" s="21"/>
      <c r="C172" s="2"/>
      <c r="L172" s="9"/>
    </row>
    <row r="173" spans="2:12">
      <c r="B173" s="21"/>
      <c r="C173" s="2"/>
      <c r="L173" s="9"/>
    </row>
    <row r="174" spans="2:12">
      <c r="B174" s="21"/>
      <c r="C174" s="2"/>
      <c r="L174" s="9"/>
    </row>
    <row r="175" spans="2:12">
      <c r="B175" s="21"/>
      <c r="C175" s="2"/>
      <c r="L175" s="9"/>
    </row>
    <row r="176" spans="2:12">
      <c r="B176" s="21"/>
      <c r="C176" s="2"/>
      <c r="L176" s="9"/>
    </row>
    <row r="177" spans="2:12">
      <c r="B177" s="21"/>
      <c r="C177" s="2"/>
      <c r="L177" s="9"/>
    </row>
    <row r="178" spans="2:12">
      <c r="B178" s="21"/>
      <c r="C178" s="2"/>
      <c r="L178" s="9"/>
    </row>
    <row r="179" spans="2:12">
      <c r="B179" s="21"/>
      <c r="C179" s="2"/>
      <c r="L179" s="9"/>
    </row>
    <row r="180" spans="2:12">
      <c r="B180" s="21"/>
      <c r="C180" s="2"/>
      <c r="L180" s="9"/>
    </row>
    <row r="181" spans="2:12">
      <c r="B181" s="21"/>
      <c r="C181" s="2"/>
      <c r="L181" s="9"/>
    </row>
    <row r="182" spans="2:12">
      <c r="B182" s="21"/>
      <c r="C182" s="2"/>
      <c r="L182" s="9"/>
    </row>
    <row r="183" spans="2:12">
      <c r="B183" s="21"/>
      <c r="C183" s="2"/>
      <c r="L183" s="9"/>
    </row>
    <row r="184" spans="2:12">
      <c r="B184" s="21"/>
      <c r="C184" s="2"/>
      <c r="L184" s="9"/>
    </row>
    <row r="185" spans="2:12">
      <c r="B185" s="21"/>
      <c r="C185" s="2"/>
      <c r="L185" s="9"/>
    </row>
    <row r="186" spans="2:12">
      <c r="B186" s="21"/>
      <c r="C186" s="2"/>
      <c r="L186" s="9"/>
    </row>
    <row r="187" spans="2:12">
      <c r="B187" s="21"/>
      <c r="C187" s="2"/>
      <c r="L187" s="9"/>
    </row>
    <row r="188" spans="2:12">
      <c r="B188" s="21"/>
      <c r="C188" s="2"/>
      <c r="L188" s="9"/>
    </row>
    <row r="189" spans="2:12">
      <c r="B189" s="21"/>
      <c r="C189" s="2"/>
      <c r="L189" s="9"/>
    </row>
    <row r="190" spans="2:12">
      <c r="B190" s="21"/>
      <c r="C190" s="2"/>
      <c r="L190" s="9"/>
    </row>
    <row r="191" spans="2:12">
      <c r="B191" s="21"/>
      <c r="C191" s="2"/>
      <c r="L191" s="9"/>
    </row>
    <row r="192" spans="2:12">
      <c r="B192" s="21"/>
      <c r="C192" s="2"/>
      <c r="L192" s="9"/>
    </row>
    <row r="193" spans="2:12">
      <c r="B193" s="21"/>
      <c r="C193" s="2"/>
      <c r="L193" s="9"/>
    </row>
    <row r="194" spans="2:12">
      <c r="B194" s="21"/>
      <c r="C194" s="2"/>
      <c r="L194" s="9"/>
    </row>
    <row r="195" spans="2:12">
      <c r="B195" s="21"/>
      <c r="C195" s="2"/>
      <c r="L195" s="9"/>
    </row>
    <row r="196" spans="2:12">
      <c r="B196" s="21"/>
      <c r="C196" s="2"/>
      <c r="L196" s="9"/>
    </row>
    <row r="197" spans="2:12">
      <c r="B197" s="21"/>
      <c r="C197" s="2"/>
      <c r="L197" s="9"/>
    </row>
    <row r="198" spans="2:12">
      <c r="B198" s="21"/>
      <c r="C198" s="2"/>
      <c r="L198" s="9"/>
    </row>
    <row r="199" spans="2:12">
      <c r="B199" s="21"/>
      <c r="C199" s="2"/>
      <c r="L199" s="9"/>
    </row>
    <row r="200" spans="2:12">
      <c r="B200" s="21"/>
      <c r="C200" s="2"/>
      <c r="L200" s="9"/>
    </row>
    <row r="201" spans="2:12">
      <c r="B201" s="21"/>
      <c r="C201" s="2"/>
      <c r="L201" s="9"/>
    </row>
    <row r="202" spans="2:12">
      <c r="B202" s="21"/>
      <c r="C202" s="2"/>
      <c r="L202" s="9"/>
    </row>
    <row r="203" spans="2:12">
      <c r="B203" s="21"/>
      <c r="C203" s="2"/>
      <c r="L203" s="9"/>
    </row>
    <row r="204" spans="2:12">
      <c r="B204" s="21"/>
      <c r="C204" s="2"/>
      <c r="L204" s="9"/>
    </row>
    <row r="205" spans="2:12">
      <c r="B205" s="21"/>
      <c r="C205" s="2"/>
      <c r="L205" s="9"/>
    </row>
    <row r="206" spans="2:12">
      <c r="B206" s="21"/>
      <c r="C206" s="2"/>
      <c r="L206" s="9"/>
    </row>
    <row r="207" spans="2:12">
      <c r="B207" s="21"/>
      <c r="C207" s="2"/>
      <c r="L207" s="9"/>
    </row>
    <row r="208" spans="2:12">
      <c r="B208" s="21"/>
      <c r="C208" s="2"/>
      <c r="L208" s="9"/>
    </row>
    <row r="209" spans="2:12">
      <c r="B209" s="21"/>
      <c r="C209" s="2"/>
      <c r="L209" s="9"/>
    </row>
    <row r="210" spans="2:12">
      <c r="B210" s="21"/>
      <c r="C210" s="2"/>
      <c r="L210" s="9"/>
    </row>
    <row r="211" spans="2:12">
      <c r="B211" s="21"/>
      <c r="C211" s="2"/>
      <c r="L211" s="9"/>
    </row>
    <row r="212" spans="2:12">
      <c r="B212" s="21"/>
      <c r="C212" s="2"/>
      <c r="L212" s="9"/>
    </row>
    <row r="213" spans="2:12">
      <c r="B213" s="21"/>
      <c r="C213" s="2"/>
      <c r="L213" s="9"/>
    </row>
    <row r="214" spans="2:12">
      <c r="B214" s="21"/>
      <c r="C214" s="2"/>
      <c r="L214" s="9"/>
    </row>
    <row r="215" spans="2:12">
      <c r="B215" s="21"/>
      <c r="C215" s="2"/>
      <c r="L215" s="9"/>
    </row>
    <row r="216" spans="2:12">
      <c r="B216" s="21"/>
      <c r="C216" s="2"/>
      <c r="L216" s="9"/>
    </row>
    <row r="217" spans="2:12">
      <c r="B217" s="21"/>
      <c r="C217" s="2"/>
      <c r="L217" s="9"/>
    </row>
    <row r="218" spans="2:12">
      <c r="B218" s="21"/>
      <c r="C218" s="2"/>
      <c r="L218" s="9"/>
    </row>
    <row r="219" spans="2:12">
      <c r="B219" s="21"/>
      <c r="C219" s="2"/>
      <c r="L219" s="9"/>
    </row>
    <row r="220" spans="2:12">
      <c r="B220" s="21"/>
      <c r="C220" s="2"/>
      <c r="L220" s="9"/>
    </row>
    <row r="221" spans="2:12">
      <c r="B221" s="21"/>
      <c r="C221" s="2"/>
      <c r="L221" s="9"/>
    </row>
    <row r="222" spans="2:12">
      <c r="B222" s="21"/>
      <c r="C222" s="2"/>
      <c r="L222" s="9"/>
    </row>
    <row r="223" spans="2:12">
      <c r="B223" s="21"/>
      <c r="C223" s="2"/>
      <c r="L223" s="9"/>
    </row>
    <row r="224" spans="2:12">
      <c r="B224" s="21"/>
      <c r="C224" s="2"/>
      <c r="L224" s="9"/>
    </row>
    <row r="225" spans="2:12">
      <c r="B225" s="21"/>
      <c r="C225" s="2"/>
      <c r="L225" s="9"/>
    </row>
    <row r="226" spans="2:12">
      <c r="B226" s="21"/>
      <c r="C226" s="2"/>
      <c r="L226" s="9"/>
    </row>
    <row r="227" spans="2:12">
      <c r="B227" s="21"/>
      <c r="C227" s="2"/>
      <c r="L227" s="9"/>
    </row>
    <row r="228" spans="2:12">
      <c r="B228" s="21"/>
      <c r="C228" s="2"/>
      <c r="L228" s="9"/>
    </row>
    <row r="229" spans="2:12">
      <c r="B229" s="21"/>
      <c r="C229" s="2"/>
      <c r="L229" s="9"/>
    </row>
    <row r="230" spans="2:12">
      <c r="B230" s="21"/>
      <c r="C230" s="2"/>
      <c r="L230" s="9"/>
    </row>
    <row r="231" spans="2:12">
      <c r="B231" s="21"/>
      <c r="C231" s="2"/>
      <c r="L231" s="9"/>
    </row>
    <row r="232" spans="2:12">
      <c r="B232" s="21"/>
      <c r="C232" s="2"/>
      <c r="L232" s="9"/>
    </row>
    <row r="233" spans="2:12">
      <c r="B233" s="21"/>
      <c r="C233" s="2"/>
      <c r="L233" s="9"/>
    </row>
    <row r="234" spans="2:12">
      <c r="B234" s="21"/>
      <c r="C234" s="2"/>
      <c r="L234" s="9"/>
    </row>
    <row r="235" spans="2:12">
      <c r="B235" s="21"/>
      <c r="C235" s="2"/>
      <c r="L235" s="9"/>
    </row>
    <row r="236" spans="2:12">
      <c r="B236" s="21"/>
      <c r="C236" s="2"/>
      <c r="L236" s="9"/>
    </row>
    <row r="237" spans="2:12">
      <c r="B237" s="21"/>
      <c r="C237" s="2"/>
      <c r="L237" s="9"/>
    </row>
    <row r="238" spans="2:12">
      <c r="B238" s="21"/>
      <c r="C238" s="2"/>
      <c r="L238" s="9"/>
    </row>
    <row r="239" spans="2:12">
      <c r="B239" s="21"/>
      <c r="C239" s="2"/>
      <c r="L239" s="9"/>
    </row>
    <row r="240" spans="2:12">
      <c r="B240" s="21"/>
      <c r="C240" s="2"/>
      <c r="L240" s="9"/>
    </row>
    <row r="241" spans="2:12">
      <c r="B241" s="21"/>
      <c r="C241" s="2"/>
      <c r="L241" s="9"/>
    </row>
    <row r="242" spans="2:12">
      <c r="B242" s="21"/>
      <c r="C242" s="2"/>
      <c r="L242" s="9"/>
    </row>
    <row r="243" spans="2:12">
      <c r="B243" s="21"/>
      <c r="C243" s="2"/>
      <c r="L243" s="9"/>
    </row>
    <row r="244" spans="2:12">
      <c r="B244" s="21"/>
      <c r="C244" s="2"/>
      <c r="L244" s="9"/>
    </row>
    <row r="245" spans="2:12">
      <c r="B245" s="21"/>
      <c r="C245" s="2"/>
      <c r="L245" s="9"/>
    </row>
    <row r="246" spans="2:12">
      <c r="B246" s="21"/>
      <c r="C246" s="2"/>
      <c r="L246" s="9"/>
    </row>
    <row r="247" spans="2:12">
      <c r="B247" s="21"/>
      <c r="C247" s="2"/>
      <c r="L247" s="9"/>
    </row>
    <row r="248" spans="2:12">
      <c r="B248" s="21"/>
      <c r="C248" s="2"/>
      <c r="L248" s="9"/>
    </row>
    <row r="249" spans="2:12">
      <c r="B249" s="21"/>
      <c r="C249" s="2"/>
      <c r="L249" s="9"/>
    </row>
    <row r="250" spans="2:12">
      <c r="B250" s="21"/>
      <c r="C250" s="2"/>
      <c r="L250" s="9"/>
    </row>
    <row r="251" spans="2:12">
      <c r="B251" s="21"/>
      <c r="C251" s="2"/>
      <c r="L251" s="9"/>
    </row>
    <row r="252" spans="2:12">
      <c r="B252" s="21"/>
      <c r="C252" s="2"/>
      <c r="L252" s="9"/>
    </row>
    <row r="253" spans="2:12">
      <c r="B253" s="21"/>
      <c r="C253" s="2"/>
      <c r="L253" s="9"/>
    </row>
    <row r="254" spans="2:12">
      <c r="B254" s="21"/>
      <c r="C254" s="2"/>
      <c r="L254" s="9"/>
    </row>
    <row r="255" spans="2:12">
      <c r="B255" s="21"/>
      <c r="C255" s="2"/>
      <c r="L255" s="9"/>
    </row>
    <row r="256" spans="2:12">
      <c r="B256" s="21"/>
      <c r="C256" s="2"/>
      <c r="L256" s="9"/>
    </row>
    <row r="257" spans="2:12">
      <c r="B257" s="21"/>
      <c r="C257" s="2"/>
      <c r="L257" s="9"/>
    </row>
    <row r="258" spans="2:12">
      <c r="B258" s="21"/>
      <c r="C258" s="2"/>
      <c r="L258" s="9"/>
    </row>
    <row r="259" spans="2:12">
      <c r="B259" s="21"/>
      <c r="C259" s="2"/>
      <c r="L259" s="9"/>
    </row>
    <row r="260" spans="2:12">
      <c r="B260" s="21"/>
      <c r="C260" s="2"/>
      <c r="L260" s="9"/>
    </row>
    <row r="261" spans="2:12">
      <c r="B261" s="21"/>
      <c r="C261" s="2"/>
      <c r="L261" s="9"/>
    </row>
    <row r="262" spans="2:12">
      <c r="B262" s="21"/>
      <c r="C262" s="2"/>
      <c r="L262" s="9"/>
    </row>
    <row r="263" spans="2:12">
      <c r="B263" s="21"/>
      <c r="C263" s="2"/>
      <c r="L263" s="9"/>
    </row>
    <row r="264" spans="2:12">
      <c r="B264" s="21"/>
      <c r="C264" s="2"/>
      <c r="L264" s="9"/>
    </row>
    <row r="265" spans="2:12">
      <c r="B265" s="21"/>
      <c r="C265" s="2"/>
      <c r="L265" s="9"/>
    </row>
    <row r="266" spans="2:12">
      <c r="B266" s="21"/>
      <c r="C266" s="2"/>
      <c r="L266" s="9"/>
    </row>
    <row r="267" spans="2:12">
      <c r="B267" s="21"/>
      <c r="C267" s="2"/>
      <c r="L267" s="9"/>
    </row>
    <row r="268" spans="2:12">
      <c r="B268" s="21"/>
      <c r="C268" s="2"/>
      <c r="L268" s="9"/>
    </row>
    <row r="269" spans="2:12">
      <c r="B269" s="21"/>
      <c r="C269" s="2"/>
      <c r="L269" s="9"/>
    </row>
    <row r="270" spans="2:12">
      <c r="B270" s="21"/>
      <c r="C270" s="2"/>
      <c r="L270" s="9"/>
    </row>
    <row r="271" spans="2:12">
      <c r="B271" s="21"/>
      <c r="C271" s="2"/>
      <c r="L271" s="9"/>
    </row>
    <row r="272" spans="2:12">
      <c r="B272" s="21"/>
      <c r="C272" s="2"/>
      <c r="L272" s="9"/>
    </row>
    <row r="273" spans="2:12">
      <c r="B273" s="21"/>
      <c r="C273" s="2"/>
      <c r="L273" s="9"/>
    </row>
    <row r="274" spans="2:12">
      <c r="B274" s="21"/>
      <c r="C274" s="2"/>
      <c r="L274" s="9"/>
    </row>
    <row r="275" spans="2:12">
      <c r="B275" s="21"/>
      <c r="C275" s="2"/>
      <c r="L275" s="9"/>
    </row>
    <row r="276" spans="2:12">
      <c r="B276" s="21"/>
      <c r="C276" s="2"/>
      <c r="L276" s="9"/>
    </row>
    <row r="277" spans="2:12">
      <c r="B277" s="21"/>
      <c r="C277" s="2"/>
      <c r="L277" s="9"/>
    </row>
    <row r="278" spans="2:12">
      <c r="B278" s="21"/>
      <c r="C278" s="2"/>
      <c r="L278" s="9"/>
    </row>
    <row r="279" spans="2:12">
      <c r="B279" s="21"/>
      <c r="C279" s="2"/>
      <c r="L279" s="9"/>
    </row>
    <row r="280" spans="2:12">
      <c r="B280" s="21"/>
      <c r="C280" s="2"/>
      <c r="L280" s="9"/>
    </row>
    <row r="281" spans="2:12">
      <c r="B281" s="21"/>
      <c r="C281" s="2"/>
      <c r="L281" s="9"/>
    </row>
    <row r="282" spans="2:12">
      <c r="B282" s="21"/>
      <c r="C282" s="2"/>
      <c r="L282" s="9"/>
    </row>
    <row r="283" spans="2:12">
      <c r="B283" s="21"/>
      <c r="C283" s="2"/>
      <c r="L283" s="9"/>
    </row>
    <row r="284" spans="2:12">
      <c r="B284" s="21"/>
      <c r="C284" s="2"/>
      <c r="L284" s="9"/>
    </row>
    <row r="285" spans="2:12">
      <c r="B285" s="21"/>
      <c r="C285" s="2"/>
      <c r="L285" s="9"/>
    </row>
    <row r="286" spans="2:12">
      <c r="B286" s="21"/>
      <c r="C286" s="2"/>
      <c r="L286" s="9"/>
    </row>
    <row r="287" spans="2:12">
      <c r="B287" s="21"/>
      <c r="C287" s="2"/>
      <c r="L287" s="9"/>
    </row>
    <row r="288" spans="2:12">
      <c r="B288" s="21"/>
      <c r="C288" s="2"/>
      <c r="L288" s="9"/>
    </row>
    <row r="289" spans="2:12">
      <c r="B289" s="21"/>
      <c r="C289" s="2"/>
      <c r="L289" s="9"/>
    </row>
    <row r="290" spans="2:12">
      <c r="B290" s="21"/>
      <c r="C290" s="2"/>
      <c r="L290" s="9"/>
    </row>
    <row r="291" spans="2:12">
      <c r="B291" s="21"/>
      <c r="C291" s="2"/>
      <c r="L291" s="9"/>
    </row>
    <row r="292" spans="2:12">
      <c r="B292" s="21"/>
      <c r="C292" s="2"/>
      <c r="L292" s="9"/>
    </row>
    <row r="293" spans="2:12">
      <c r="B293" s="21"/>
      <c r="C293" s="2"/>
      <c r="L293" s="9"/>
    </row>
    <row r="294" spans="2:12">
      <c r="B294" s="21"/>
      <c r="C294" s="2"/>
      <c r="L294" s="9"/>
    </row>
    <row r="295" spans="2:12">
      <c r="B295" s="21"/>
      <c r="C295" s="2"/>
      <c r="L295" s="9"/>
    </row>
    <row r="296" spans="2:12">
      <c r="B296" s="21"/>
      <c r="C296" s="2"/>
      <c r="L296" s="9"/>
    </row>
    <row r="297" spans="2:12">
      <c r="B297" s="21"/>
      <c r="C297" s="2"/>
      <c r="L297" s="9"/>
    </row>
    <row r="298" spans="2:12">
      <c r="B298" s="21"/>
      <c r="C298" s="2"/>
      <c r="L298" s="9"/>
    </row>
    <row r="299" spans="2:12">
      <c r="B299" s="21"/>
      <c r="C299" s="2"/>
      <c r="L299" s="9"/>
    </row>
    <row r="300" spans="2:12">
      <c r="B300" s="21"/>
      <c r="C300" s="2"/>
      <c r="L300" s="9"/>
    </row>
    <row r="301" spans="2:12">
      <c r="B301" s="21"/>
      <c r="C301" s="2"/>
      <c r="L301" s="9"/>
    </row>
    <row r="302" spans="2:12">
      <c r="B302" s="21"/>
      <c r="C302" s="2"/>
      <c r="L302" s="9"/>
    </row>
    <row r="303" spans="2:12">
      <c r="B303" s="21"/>
      <c r="C303" s="2"/>
      <c r="L303" s="9"/>
    </row>
    <row r="304" spans="2:12">
      <c r="B304" s="21"/>
      <c r="C304" s="2"/>
      <c r="L304" s="9"/>
    </row>
    <row r="305" spans="2:12">
      <c r="B305" s="21"/>
      <c r="C305" s="2"/>
      <c r="L305" s="9"/>
    </row>
    <row r="306" spans="2:12">
      <c r="B306" s="21"/>
      <c r="C306" s="2"/>
      <c r="L306" s="9"/>
    </row>
    <row r="307" spans="2:12">
      <c r="B307" s="21"/>
      <c r="C307" s="2"/>
      <c r="L307" s="9"/>
    </row>
    <row r="308" spans="2:12">
      <c r="B308" s="21"/>
      <c r="C308" s="2"/>
      <c r="L308" s="9"/>
    </row>
    <row r="309" spans="2:12">
      <c r="B309" s="21"/>
      <c r="C309" s="2"/>
      <c r="L309" s="9"/>
    </row>
    <row r="310" spans="2:12">
      <c r="B310" s="21"/>
      <c r="C310" s="2"/>
      <c r="L310" s="9"/>
    </row>
    <row r="311" spans="2:12">
      <c r="B311" s="21"/>
      <c r="C311" s="2"/>
      <c r="L311" s="9"/>
    </row>
    <row r="312" spans="2:12">
      <c r="B312" s="21"/>
      <c r="C312" s="2"/>
      <c r="L312" s="9"/>
    </row>
    <row r="313" spans="2:12">
      <c r="B313" s="21"/>
      <c r="C313" s="2"/>
      <c r="L313" s="9"/>
    </row>
    <row r="314" spans="2:12">
      <c r="B314" s="21"/>
      <c r="C314" s="2"/>
      <c r="L314" s="9"/>
    </row>
    <row r="315" spans="2:12">
      <c r="B315" s="21"/>
      <c r="C315" s="2"/>
      <c r="L315" s="9"/>
    </row>
    <row r="316" spans="2:12">
      <c r="B316" s="21"/>
      <c r="C316" s="2"/>
      <c r="L316" s="9"/>
    </row>
    <row r="317" spans="2:12">
      <c r="B317" s="21"/>
      <c r="C317" s="2"/>
      <c r="L317" s="9"/>
    </row>
    <row r="318" spans="2:12">
      <c r="B318" s="21"/>
      <c r="C318" s="2"/>
      <c r="L318" s="9"/>
    </row>
    <row r="319" spans="2:12">
      <c r="B319" s="21"/>
      <c r="C319" s="2"/>
      <c r="L319" s="9"/>
    </row>
    <row r="320" spans="2:12">
      <c r="B320" s="21"/>
      <c r="C320" s="2"/>
      <c r="L320" s="9"/>
    </row>
    <row r="321" spans="2:12">
      <c r="B321" s="21"/>
      <c r="C321" s="2"/>
      <c r="L321" s="9"/>
    </row>
    <row r="322" spans="2:12">
      <c r="B322" s="21"/>
      <c r="C322" s="2"/>
      <c r="L322" s="9"/>
    </row>
    <row r="323" spans="2:12">
      <c r="B323" s="21"/>
      <c r="C323" s="2"/>
      <c r="L323" s="9"/>
    </row>
    <row r="324" spans="2:12">
      <c r="B324" s="21"/>
      <c r="C324" s="2"/>
      <c r="L324" s="9"/>
    </row>
    <row r="325" spans="2:12">
      <c r="B325" s="21"/>
      <c r="C325" s="2"/>
      <c r="L325" s="9"/>
    </row>
    <row r="326" spans="2:12">
      <c r="B326" s="21"/>
      <c r="C326" s="2"/>
      <c r="L326" s="9"/>
    </row>
    <row r="327" spans="2:12">
      <c r="B327" s="21"/>
      <c r="C327" s="2"/>
      <c r="L327" s="9"/>
    </row>
    <row r="328" spans="2:12">
      <c r="B328" s="21"/>
      <c r="C328" s="2"/>
      <c r="L328" s="9"/>
    </row>
    <row r="329" spans="2:12">
      <c r="B329" s="21"/>
      <c r="C329" s="2"/>
      <c r="L329" s="9"/>
    </row>
    <row r="330" spans="2:12">
      <c r="B330" s="21"/>
      <c r="C330" s="2"/>
      <c r="L330" s="9"/>
    </row>
    <row r="331" spans="2:12">
      <c r="B331" s="21"/>
      <c r="C331" s="2"/>
      <c r="L331" s="9"/>
    </row>
    <row r="332" spans="2:12">
      <c r="B332" s="21"/>
      <c r="C332" s="2"/>
      <c r="L332" s="9"/>
    </row>
    <row r="333" spans="2:12">
      <c r="B333" s="21"/>
      <c r="C333" s="2"/>
      <c r="L333" s="9"/>
    </row>
    <row r="334" spans="2:12">
      <c r="B334" s="21"/>
      <c r="C334" s="2"/>
      <c r="L334" s="9"/>
    </row>
    <row r="335" spans="2:12">
      <c r="B335" s="21"/>
      <c r="C335" s="2"/>
      <c r="L335" s="9"/>
    </row>
    <row r="336" spans="2:12">
      <c r="B336" s="21"/>
      <c r="C336" s="2"/>
      <c r="L336" s="9"/>
    </row>
    <row r="337" spans="2:12">
      <c r="B337" s="21"/>
      <c r="C337" s="2"/>
      <c r="L337" s="9"/>
    </row>
    <row r="338" spans="2:12">
      <c r="B338" s="21"/>
      <c r="C338" s="2"/>
      <c r="L338" s="9"/>
    </row>
    <row r="339" spans="2:12">
      <c r="B339" s="21"/>
      <c r="C339" s="2"/>
      <c r="L339" s="9"/>
    </row>
    <row r="340" spans="2:12">
      <c r="B340" s="21"/>
      <c r="C340" s="2"/>
      <c r="L340" s="9"/>
    </row>
    <row r="341" spans="2:12">
      <c r="B341" s="21"/>
      <c r="C341" s="2"/>
      <c r="L341" s="9"/>
    </row>
    <row r="342" spans="2:12">
      <c r="B342" s="21"/>
      <c r="C342" s="2"/>
      <c r="L342" s="9"/>
    </row>
    <row r="343" spans="2:12">
      <c r="B343" s="21"/>
      <c r="C343" s="2"/>
      <c r="L343" s="9"/>
    </row>
    <row r="344" spans="2:12">
      <c r="B344" s="21"/>
      <c r="C344" s="2"/>
      <c r="L344" s="9"/>
    </row>
    <row r="345" spans="2:12">
      <c r="B345" s="21"/>
      <c r="C345" s="2"/>
      <c r="L345" s="9"/>
    </row>
    <row r="346" spans="2:12">
      <c r="B346" s="21"/>
      <c r="C346" s="2"/>
      <c r="L346" s="9"/>
    </row>
    <row r="347" spans="2:12">
      <c r="B347" s="21"/>
      <c r="C347" s="2"/>
      <c r="L347" s="9"/>
    </row>
    <row r="348" spans="2:12">
      <c r="B348" s="21"/>
      <c r="C348" s="2"/>
      <c r="L348" s="9"/>
    </row>
    <row r="349" spans="2:12">
      <c r="B349" s="21"/>
      <c r="C349" s="2"/>
      <c r="L349" s="9"/>
    </row>
    <row r="350" spans="2:12">
      <c r="B350" s="21"/>
      <c r="C350" s="2"/>
      <c r="L350" s="9"/>
    </row>
    <row r="351" spans="2:12">
      <c r="B351" s="21"/>
      <c r="C351" s="2"/>
      <c r="L351" s="9"/>
    </row>
    <row r="352" spans="2:12">
      <c r="B352" s="21"/>
      <c r="C352" s="2"/>
      <c r="L352" s="9"/>
    </row>
    <row r="353" spans="2:12">
      <c r="B353" s="21"/>
      <c r="C353" s="2"/>
      <c r="L353" s="9"/>
    </row>
    <row r="354" spans="2:12">
      <c r="B354" s="21"/>
      <c r="C354" s="2"/>
      <c r="L354" s="9"/>
    </row>
    <row r="355" spans="2:12">
      <c r="B355" s="21"/>
      <c r="C355" s="2"/>
      <c r="L355" s="9"/>
    </row>
    <row r="356" spans="2:12">
      <c r="B356" s="21"/>
      <c r="C356" s="2"/>
      <c r="L356" s="9"/>
    </row>
    <row r="357" spans="2:12">
      <c r="B357" s="21"/>
      <c r="C357" s="2"/>
      <c r="L357" s="9"/>
    </row>
    <row r="358" spans="2:12">
      <c r="B358" s="21"/>
      <c r="C358" s="2"/>
      <c r="L358" s="9"/>
    </row>
    <row r="359" spans="2:12">
      <c r="B359" s="21"/>
      <c r="C359" s="2"/>
      <c r="L359" s="9"/>
    </row>
    <row r="360" spans="2:12">
      <c r="B360" s="21"/>
      <c r="C360" s="2"/>
      <c r="L360" s="9"/>
    </row>
    <row r="361" spans="2:12">
      <c r="B361" s="21"/>
      <c r="C361" s="2"/>
      <c r="L361" s="9"/>
    </row>
    <row r="362" spans="2:12">
      <c r="B362" s="21"/>
      <c r="C362" s="2"/>
      <c r="L362" s="9"/>
    </row>
    <row r="363" spans="2:12">
      <c r="B363" s="21"/>
      <c r="C363" s="2"/>
      <c r="L363" s="9"/>
    </row>
    <row r="364" spans="2:12">
      <c r="B364" s="21"/>
      <c r="C364" s="2"/>
      <c r="L364" s="9"/>
    </row>
    <row r="365" spans="2:12">
      <c r="B365" s="21"/>
      <c r="C365" s="2"/>
      <c r="L365" s="9"/>
    </row>
    <row r="366" spans="2:12">
      <c r="B366" s="21"/>
      <c r="C366" s="2"/>
      <c r="L366" s="9"/>
    </row>
    <row r="367" spans="2:12">
      <c r="B367" s="21"/>
      <c r="C367" s="2"/>
      <c r="L367" s="9"/>
    </row>
    <row r="368" spans="2:12">
      <c r="B368" s="21"/>
      <c r="C368" s="2"/>
      <c r="L368" s="9"/>
    </row>
    <row r="369" spans="2:12">
      <c r="B369" s="21"/>
      <c r="C369" s="2"/>
      <c r="L369" s="9"/>
    </row>
    <row r="370" spans="2:12">
      <c r="B370" s="21"/>
      <c r="C370" s="2"/>
      <c r="L370" s="9"/>
    </row>
    <row r="371" spans="2:12">
      <c r="B371" s="21"/>
      <c r="C371" s="2"/>
      <c r="L371" s="9"/>
    </row>
    <row r="372" spans="2:12">
      <c r="B372" s="21"/>
      <c r="C372" s="2"/>
      <c r="L372" s="9"/>
    </row>
    <row r="373" spans="2:12">
      <c r="B373" s="21"/>
      <c r="C373" s="2"/>
      <c r="L373" s="9"/>
    </row>
    <row r="374" spans="2:12">
      <c r="B374" s="21"/>
      <c r="C374" s="2"/>
      <c r="L374" s="9"/>
    </row>
    <row r="375" spans="2:12">
      <c r="B375" s="21"/>
      <c r="C375" s="2"/>
      <c r="L375" s="9"/>
    </row>
    <row r="376" spans="2:12">
      <c r="B376" s="21"/>
      <c r="C376" s="2"/>
      <c r="L376" s="9"/>
    </row>
    <row r="377" spans="2:12">
      <c r="B377" s="21"/>
      <c r="C377" s="2"/>
      <c r="L377" s="9"/>
    </row>
    <row r="378" spans="2:12">
      <c r="B378" s="21"/>
      <c r="C378" s="2"/>
      <c r="L378" s="9"/>
    </row>
    <row r="379" spans="2:12">
      <c r="B379" s="21"/>
      <c r="C379" s="2"/>
      <c r="L379" s="9"/>
    </row>
    <row r="380" spans="2:12">
      <c r="B380" s="21"/>
      <c r="C380" s="2"/>
      <c r="L380" s="9"/>
    </row>
    <row r="381" spans="2:12">
      <c r="B381" s="21"/>
      <c r="C381" s="2"/>
      <c r="L381" s="9"/>
    </row>
    <row r="382" spans="2:12">
      <c r="B382" s="21"/>
      <c r="C382" s="2"/>
      <c r="L382" s="9"/>
    </row>
    <row r="383" spans="2:12">
      <c r="B383" s="21"/>
      <c r="C383" s="2"/>
      <c r="L383" s="9"/>
    </row>
    <row r="384" spans="2:12">
      <c r="B384" s="21"/>
      <c r="C384" s="2"/>
      <c r="L384" s="9"/>
    </row>
    <row r="385" spans="2:12">
      <c r="B385" s="21"/>
      <c r="C385" s="2"/>
      <c r="L385" s="9"/>
    </row>
    <row r="386" spans="2:12">
      <c r="B386" s="21"/>
      <c r="C386" s="2"/>
      <c r="L386" s="9"/>
    </row>
    <row r="387" spans="2:12">
      <c r="B387" s="21"/>
      <c r="C387" s="2"/>
      <c r="L387" s="9"/>
    </row>
    <row r="388" spans="2:12">
      <c r="B388" s="21"/>
      <c r="C388" s="2"/>
      <c r="L388" s="9"/>
    </row>
    <row r="389" spans="2:12">
      <c r="B389" s="21"/>
      <c r="C389" s="2"/>
      <c r="L389" s="9"/>
    </row>
    <row r="390" spans="2:12">
      <c r="B390" s="21"/>
      <c r="C390" s="2"/>
      <c r="L390" s="9"/>
    </row>
    <row r="391" spans="2:12">
      <c r="B391" s="21"/>
      <c r="C391" s="2"/>
      <c r="L391" s="9"/>
    </row>
    <row r="392" spans="2:12">
      <c r="B392" s="21"/>
      <c r="C392" s="2"/>
      <c r="L392" s="9"/>
    </row>
    <row r="393" spans="2:12">
      <c r="B393" s="21"/>
      <c r="C393" s="2"/>
      <c r="L393" s="9"/>
    </row>
    <row r="394" spans="2:12">
      <c r="B394" s="21"/>
      <c r="C394" s="2"/>
      <c r="L394" s="9"/>
    </row>
    <row r="395" spans="2:12">
      <c r="B395" s="21"/>
      <c r="C395" s="2"/>
      <c r="L395" s="9"/>
    </row>
    <row r="396" spans="2:12">
      <c r="B396" s="21"/>
      <c r="C396" s="2"/>
      <c r="L396" s="9"/>
    </row>
    <row r="397" spans="2:12">
      <c r="B397" s="21"/>
      <c r="C397" s="2"/>
      <c r="L397" s="9"/>
    </row>
    <row r="398" spans="2:12">
      <c r="B398" s="21"/>
      <c r="C398" s="2"/>
      <c r="L398" s="9"/>
    </row>
    <row r="399" spans="2:12">
      <c r="B399" s="21"/>
      <c r="C399" s="2"/>
      <c r="L399" s="9"/>
    </row>
    <row r="400" spans="2:12">
      <c r="B400" s="21"/>
      <c r="C400" s="2"/>
      <c r="L400" s="9"/>
    </row>
    <row r="401" spans="2:12">
      <c r="B401" s="21"/>
      <c r="C401" s="2"/>
      <c r="L401" s="9"/>
    </row>
    <row r="402" spans="2:12">
      <c r="B402" s="21"/>
      <c r="C402" s="2"/>
      <c r="L402" s="9"/>
    </row>
    <row r="403" spans="2:12">
      <c r="B403" s="21"/>
      <c r="C403" s="2"/>
      <c r="L403" s="9"/>
    </row>
    <row r="404" spans="2:12">
      <c r="B404" s="21"/>
      <c r="C404" s="2"/>
      <c r="L404" s="9"/>
    </row>
    <row r="405" spans="2:12">
      <c r="B405" s="21"/>
      <c r="C405" s="2"/>
      <c r="L405" s="9"/>
    </row>
    <row r="406" spans="2:12">
      <c r="B406" s="21"/>
      <c r="C406" s="2"/>
      <c r="L406" s="9"/>
    </row>
    <row r="407" spans="2:12">
      <c r="B407" s="21"/>
      <c r="C407" s="2"/>
      <c r="L407" s="9"/>
    </row>
    <row r="408" spans="2:12">
      <c r="B408" s="21"/>
      <c r="C408" s="2"/>
      <c r="L408" s="9"/>
    </row>
    <row r="409" spans="2:12">
      <c r="B409" s="21"/>
      <c r="C409" s="2"/>
      <c r="L409" s="9"/>
    </row>
    <row r="410" spans="2:12">
      <c r="B410" s="21"/>
      <c r="C410" s="2"/>
      <c r="L410" s="9"/>
    </row>
    <row r="411" spans="2:12">
      <c r="B411" s="21"/>
      <c r="C411" s="2"/>
      <c r="L411" s="9"/>
    </row>
    <row r="412" spans="2:12">
      <c r="B412" s="21"/>
      <c r="C412" s="2"/>
      <c r="L412" s="9"/>
    </row>
    <row r="413" spans="2:12">
      <c r="B413" s="21"/>
      <c r="C413" s="2"/>
      <c r="L413" s="9"/>
    </row>
    <row r="414" spans="2:12">
      <c r="B414" s="21"/>
      <c r="C414" s="2"/>
      <c r="L414" s="9"/>
    </row>
    <row r="415" spans="2:12">
      <c r="B415" s="21"/>
      <c r="C415" s="2"/>
      <c r="L415" s="9"/>
    </row>
    <row r="416" spans="2:12">
      <c r="B416" s="21"/>
      <c r="C416" s="2"/>
      <c r="L416" s="9"/>
    </row>
    <row r="417" spans="2:12">
      <c r="B417" s="21"/>
      <c r="C417" s="2"/>
      <c r="L417" s="9"/>
    </row>
    <row r="418" spans="2:12">
      <c r="B418" s="21"/>
      <c r="C418" s="2"/>
      <c r="L418" s="9"/>
    </row>
    <row r="419" spans="2:12">
      <c r="B419" s="21"/>
      <c r="C419" s="2"/>
      <c r="L419" s="9"/>
    </row>
    <row r="420" spans="2:12">
      <c r="B420" s="21"/>
      <c r="C420" s="2"/>
      <c r="L420" s="9"/>
    </row>
    <row r="421" spans="2:12">
      <c r="B421" s="21"/>
      <c r="C421" s="2"/>
      <c r="L421" s="9"/>
    </row>
    <row r="422" spans="2:12">
      <c r="B422" s="21"/>
      <c r="C422" s="2"/>
      <c r="L422" s="9"/>
    </row>
    <row r="423" spans="2:12">
      <c r="B423" s="21"/>
      <c r="C423" s="2"/>
      <c r="L423" s="9"/>
    </row>
    <row r="424" spans="2:12">
      <c r="B424" s="21"/>
      <c r="C424" s="2"/>
      <c r="L424" s="9"/>
    </row>
    <row r="425" spans="2:12">
      <c r="B425" s="21"/>
      <c r="C425" s="2"/>
      <c r="L425" s="9"/>
    </row>
    <row r="426" spans="2:12">
      <c r="B426" s="21"/>
      <c r="C426" s="2"/>
      <c r="L426" s="9"/>
    </row>
    <row r="427" spans="2:12">
      <c r="B427" s="21"/>
      <c r="C427" s="2"/>
      <c r="L427" s="9"/>
    </row>
    <row r="428" spans="2:12">
      <c r="B428" s="21"/>
      <c r="C428" s="2"/>
      <c r="L428" s="9"/>
    </row>
    <row r="429" spans="2:12">
      <c r="B429" s="21"/>
      <c r="C429" s="2"/>
      <c r="L429" s="9"/>
    </row>
    <row r="430" spans="2:12">
      <c r="B430" s="21"/>
      <c r="C430" s="2"/>
      <c r="L430" s="9"/>
    </row>
    <row r="431" spans="2:12">
      <c r="B431" s="21"/>
      <c r="C431" s="2"/>
      <c r="L431" s="9"/>
    </row>
    <row r="432" spans="2:12">
      <c r="B432" s="21"/>
      <c r="C432" s="2"/>
      <c r="L432" s="9"/>
    </row>
    <row r="433" spans="2:12">
      <c r="B433" s="21"/>
      <c r="C433" s="2"/>
      <c r="L433" s="9"/>
    </row>
    <row r="434" spans="2:12">
      <c r="B434" s="21"/>
      <c r="C434" s="2"/>
      <c r="L434" s="9"/>
    </row>
    <row r="435" spans="2:12">
      <c r="B435" s="21"/>
      <c r="C435" s="2"/>
      <c r="L435" s="9"/>
    </row>
    <row r="436" spans="2:12">
      <c r="B436" s="21"/>
      <c r="C436" s="2"/>
      <c r="L436" s="9"/>
    </row>
    <row r="437" spans="2:12">
      <c r="B437" s="21"/>
      <c r="C437" s="2"/>
      <c r="L437" s="9"/>
    </row>
    <row r="438" spans="2:12">
      <c r="B438" s="21"/>
      <c r="C438" s="2"/>
      <c r="L438" s="9"/>
    </row>
    <row r="439" spans="2:12">
      <c r="B439" s="21"/>
      <c r="C439" s="2"/>
      <c r="L439" s="9"/>
    </row>
    <row r="440" spans="2:12">
      <c r="B440" s="21"/>
      <c r="C440" s="2"/>
      <c r="L440" s="9"/>
    </row>
    <row r="441" spans="2:12">
      <c r="B441" s="21"/>
      <c r="C441" s="2"/>
      <c r="L441" s="9"/>
    </row>
    <row r="442" spans="2:12">
      <c r="B442" s="21"/>
      <c r="C442" s="2"/>
      <c r="L442" s="9"/>
    </row>
    <row r="443" spans="2:12">
      <c r="B443" s="21"/>
      <c r="C443" s="2"/>
      <c r="L443" s="9"/>
    </row>
    <row r="444" spans="2:12">
      <c r="B444" s="21"/>
      <c r="C444" s="2"/>
      <c r="L444" s="9"/>
    </row>
    <row r="445" spans="2:12">
      <c r="B445" s="21"/>
      <c r="C445" s="2"/>
      <c r="L445" s="9"/>
    </row>
    <row r="446" spans="2:12">
      <c r="B446" s="21"/>
      <c r="C446" s="2"/>
      <c r="L446" s="9"/>
    </row>
    <row r="447" spans="2:12">
      <c r="B447" s="21"/>
      <c r="C447" s="2"/>
      <c r="L447" s="9"/>
    </row>
    <row r="448" spans="2:12">
      <c r="B448" s="21"/>
      <c r="C448" s="2"/>
      <c r="L448" s="9"/>
    </row>
    <row r="449" spans="2:12">
      <c r="B449" s="21"/>
      <c r="C449" s="2"/>
      <c r="L449" s="9"/>
    </row>
    <row r="450" spans="2:12">
      <c r="B450" s="21"/>
      <c r="C450" s="2"/>
      <c r="L450" s="9"/>
    </row>
    <row r="451" spans="2:12">
      <c r="B451" s="21"/>
      <c r="C451" s="2"/>
      <c r="L451" s="9"/>
    </row>
    <row r="452" spans="2:12">
      <c r="B452" s="21"/>
      <c r="C452" s="2"/>
      <c r="L452" s="9"/>
    </row>
    <row r="453" spans="2:12">
      <c r="B453" s="21"/>
      <c r="C453" s="2"/>
      <c r="L453" s="9"/>
    </row>
    <row r="454" spans="2:12">
      <c r="B454" s="21"/>
      <c r="C454" s="2"/>
      <c r="L454" s="9"/>
    </row>
    <row r="455" spans="2:12">
      <c r="B455" s="21"/>
      <c r="C455" s="2"/>
      <c r="L455" s="9"/>
    </row>
    <row r="456" spans="2:12">
      <c r="B456" s="21"/>
      <c r="C456" s="2"/>
      <c r="L456" s="9"/>
    </row>
    <row r="457" spans="2:12">
      <c r="B457" s="21"/>
      <c r="C457" s="2"/>
      <c r="L457" s="9"/>
    </row>
    <row r="458" spans="2:12">
      <c r="B458" s="21"/>
      <c r="C458" s="2"/>
      <c r="L458" s="9"/>
    </row>
    <row r="459" spans="2:12">
      <c r="B459" s="21"/>
      <c r="C459" s="2"/>
      <c r="L459" s="9"/>
    </row>
    <row r="460" spans="2:12">
      <c r="B460" s="21"/>
      <c r="C460" s="2"/>
      <c r="L460" s="9"/>
    </row>
    <row r="461" spans="2:12">
      <c r="B461" s="21"/>
      <c r="C461" s="2"/>
      <c r="L461" s="9"/>
    </row>
    <row r="462" spans="2:12">
      <c r="B462" s="21"/>
      <c r="C462" s="2"/>
      <c r="L462" s="9"/>
    </row>
    <row r="463" spans="2:12">
      <c r="B463" s="21"/>
      <c r="C463" s="2"/>
      <c r="L463" s="9"/>
    </row>
    <row r="464" spans="2:12">
      <c r="B464" s="21"/>
      <c r="C464" s="2"/>
      <c r="L464" s="9"/>
    </row>
    <row r="465" spans="2:12">
      <c r="B465" s="21"/>
      <c r="C465" s="2"/>
      <c r="L465" s="9"/>
    </row>
    <row r="466" spans="2:12">
      <c r="B466" s="21"/>
      <c r="C466" s="2"/>
      <c r="L466" s="9"/>
    </row>
    <row r="467" spans="2:12">
      <c r="B467" s="21"/>
      <c r="C467" s="2"/>
      <c r="L467" s="9"/>
    </row>
    <row r="468" spans="2:12">
      <c r="B468" s="21"/>
      <c r="C468" s="2"/>
      <c r="L468" s="9"/>
    </row>
    <row r="469" spans="2:12">
      <c r="B469" s="21"/>
      <c r="C469" s="2"/>
      <c r="L469" s="9"/>
    </row>
    <row r="470" spans="2:12">
      <c r="B470" s="21"/>
      <c r="C470" s="2"/>
      <c r="L470" s="9"/>
    </row>
    <row r="471" spans="2:12">
      <c r="B471" s="21"/>
      <c r="C471" s="2"/>
      <c r="L471" s="9"/>
    </row>
    <row r="472" spans="2:12">
      <c r="B472" s="21"/>
      <c r="C472" s="2"/>
      <c r="L472" s="9"/>
    </row>
    <row r="473" spans="2:12">
      <c r="B473" s="21"/>
      <c r="C473" s="2"/>
      <c r="L473" s="9"/>
    </row>
    <row r="474" spans="2:12">
      <c r="B474" s="21"/>
      <c r="C474" s="2"/>
      <c r="L474" s="9"/>
    </row>
    <row r="475" spans="2:12">
      <c r="B475" s="21"/>
      <c r="C475" s="2"/>
      <c r="L475" s="9"/>
    </row>
    <row r="476" spans="2:12">
      <c r="B476" s="21"/>
      <c r="C476" s="2"/>
      <c r="L476" s="9"/>
    </row>
    <row r="477" spans="2:12">
      <c r="B477" s="21"/>
      <c r="C477" s="2"/>
      <c r="L477" s="9"/>
    </row>
    <row r="478" spans="2:12">
      <c r="B478" s="21"/>
      <c r="C478" s="2"/>
      <c r="L478" s="9"/>
    </row>
    <row r="479" spans="2:12">
      <c r="B479" s="21"/>
      <c r="C479" s="2"/>
      <c r="L479" s="9"/>
    </row>
    <row r="480" spans="2:12">
      <c r="B480" s="21"/>
      <c r="C480" s="2"/>
      <c r="L480" s="9"/>
    </row>
    <row r="481" spans="2:12">
      <c r="B481" s="21"/>
      <c r="C481" s="2"/>
      <c r="L481" s="9"/>
    </row>
    <row r="482" spans="2:12">
      <c r="B482" s="21"/>
      <c r="C482" s="2"/>
      <c r="L482" s="9"/>
    </row>
    <row r="483" spans="2:12">
      <c r="B483" s="21"/>
      <c r="C483" s="2"/>
      <c r="L483" s="9"/>
    </row>
    <row r="484" spans="2:12">
      <c r="B484" s="21"/>
      <c r="C484" s="2"/>
      <c r="L484" s="9"/>
    </row>
    <row r="485" spans="2:12">
      <c r="B485" s="21"/>
      <c r="C485" s="2"/>
      <c r="L485" s="9"/>
    </row>
    <row r="486" spans="2:12">
      <c r="B486" s="21"/>
      <c r="C486" s="2"/>
      <c r="L486" s="9"/>
    </row>
    <row r="487" spans="2:12">
      <c r="B487" s="21"/>
      <c r="C487" s="2"/>
      <c r="L487" s="9"/>
    </row>
    <row r="488" spans="2:12">
      <c r="B488" s="21"/>
      <c r="C488" s="2"/>
      <c r="L488" s="9"/>
    </row>
    <row r="489" spans="2:12">
      <c r="B489" s="21"/>
      <c r="C489" s="2"/>
      <c r="L489" s="9"/>
    </row>
    <row r="490" spans="2:12">
      <c r="B490" s="21"/>
      <c r="C490" s="2"/>
      <c r="L490" s="9"/>
    </row>
    <row r="491" spans="2:12">
      <c r="B491" s="21"/>
      <c r="C491" s="2"/>
      <c r="L491" s="9"/>
    </row>
    <row r="492" spans="2:12">
      <c r="B492" s="21"/>
      <c r="C492" s="2"/>
      <c r="L492" s="9"/>
    </row>
    <row r="493" spans="2:12">
      <c r="B493" s="21"/>
      <c r="C493" s="2"/>
      <c r="L493" s="9"/>
    </row>
    <row r="494" spans="2:12">
      <c r="B494" s="21"/>
      <c r="C494" s="2"/>
      <c r="L494" s="9"/>
    </row>
    <row r="495" spans="2:12">
      <c r="B495" s="21"/>
      <c r="C495" s="2"/>
      <c r="L495" s="9"/>
    </row>
    <row r="496" spans="2:12">
      <c r="B496" s="21"/>
      <c r="C496" s="2"/>
      <c r="L496" s="9"/>
    </row>
    <row r="497" spans="2:12">
      <c r="B497" s="21"/>
      <c r="C497" s="2"/>
      <c r="L497" s="9"/>
    </row>
    <row r="498" spans="2:12">
      <c r="B498" s="21"/>
      <c r="C498" s="2"/>
      <c r="L498" s="9"/>
    </row>
    <row r="499" spans="2:12">
      <c r="B499" s="21"/>
      <c r="C499" s="2"/>
      <c r="L499" s="9"/>
    </row>
    <row r="500" spans="2:12">
      <c r="B500" s="21"/>
      <c r="C500" s="2"/>
      <c r="L500" s="9"/>
    </row>
    <row r="501" spans="2:12">
      <c r="B501" s="21"/>
      <c r="C501" s="2"/>
      <c r="L501" s="9"/>
    </row>
    <row r="502" spans="2:12">
      <c r="B502" s="21"/>
      <c r="C502" s="2"/>
      <c r="L502" s="9"/>
    </row>
    <row r="503" spans="2:12">
      <c r="B503" s="21"/>
      <c r="C503" s="2"/>
      <c r="L503" s="9"/>
    </row>
    <row r="504" spans="2:12">
      <c r="B504" s="21"/>
      <c r="C504" s="2"/>
      <c r="L504" s="9"/>
    </row>
    <row r="505" spans="2:12">
      <c r="B505" s="21"/>
      <c r="C505" s="2"/>
      <c r="L505" s="9"/>
    </row>
    <row r="506" spans="2:12">
      <c r="B506" s="21"/>
      <c r="C506" s="2"/>
      <c r="L506" s="9"/>
    </row>
    <row r="507" spans="2:12">
      <c r="B507" s="21"/>
      <c r="C507" s="2"/>
      <c r="L507" s="9"/>
    </row>
    <row r="508" spans="2:12">
      <c r="B508" s="21"/>
      <c r="C508" s="2"/>
      <c r="L508" s="9"/>
    </row>
    <row r="509" spans="2:12">
      <c r="B509" s="21"/>
      <c r="C509" s="2"/>
      <c r="L509" s="9"/>
    </row>
    <row r="510" spans="2:12">
      <c r="B510" s="21"/>
      <c r="C510" s="2"/>
      <c r="L510" s="9"/>
    </row>
    <row r="511" spans="2:12">
      <c r="B511" s="21"/>
      <c r="C511" s="2"/>
      <c r="L511" s="9"/>
    </row>
    <row r="512" spans="2:12">
      <c r="B512" s="21"/>
      <c r="C512" s="2"/>
      <c r="L512" s="9"/>
    </row>
    <row r="513" spans="2:12">
      <c r="B513" s="21"/>
      <c r="C513" s="2"/>
      <c r="L513" s="9"/>
    </row>
    <row r="514" spans="2:12">
      <c r="B514" s="21"/>
      <c r="C514" s="2"/>
      <c r="L514" s="9"/>
    </row>
    <row r="515" spans="2:12">
      <c r="B515" s="21"/>
      <c r="C515" s="2"/>
      <c r="L515" s="9"/>
    </row>
    <row r="516" spans="2:12">
      <c r="B516" s="21"/>
      <c r="C516" s="2"/>
      <c r="L516" s="9"/>
    </row>
    <row r="517" spans="2:12">
      <c r="B517" s="21"/>
      <c r="C517" s="2"/>
      <c r="L517" s="9"/>
    </row>
    <row r="518" spans="2:12">
      <c r="B518" s="21"/>
      <c r="C518" s="2"/>
      <c r="L518" s="9"/>
    </row>
    <row r="519" spans="2:12">
      <c r="B519" s="21"/>
      <c r="C519" s="2"/>
      <c r="L519" s="9"/>
    </row>
    <row r="520" spans="2:12">
      <c r="B520" s="21"/>
      <c r="C520" s="2"/>
      <c r="L520" s="9"/>
    </row>
    <row r="521" spans="2:12">
      <c r="B521" s="21"/>
      <c r="C521" s="2"/>
      <c r="L521" s="9"/>
    </row>
    <row r="522" spans="2:12">
      <c r="B522" s="21"/>
      <c r="C522" s="2"/>
      <c r="L522" s="9"/>
    </row>
    <row r="523" spans="2:12">
      <c r="B523" s="21"/>
      <c r="C523" s="2"/>
      <c r="L523" s="9"/>
    </row>
    <row r="524" spans="2:12">
      <c r="B524" s="21"/>
      <c r="C524" s="2"/>
      <c r="L524" s="9"/>
    </row>
    <row r="525" spans="2:12">
      <c r="B525" s="21"/>
      <c r="C525" s="2"/>
      <c r="L525" s="9"/>
    </row>
    <row r="526" spans="2:12">
      <c r="B526" s="21"/>
      <c r="C526" s="2"/>
      <c r="L526" s="9"/>
    </row>
    <row r="527" spans="2:12">
      <c r="B527" s="21"/>
      <c r="C527" s="2"/>
      <c r="L527" s="9"/>
    </row>
    <row r="528" spans="2:12">
      <c r="B528" s="21"/>
      <c r="C528" s="2"/>
      <c r="L528" s="9"/>
    </row>
    <row r="529" spans="2:12">
      <c r="B529" s="21"/>
      <c r="C529" s="2"/>
      <c r="L529" s="9"/>
    </row>
    <row r="530" spans="2:12">
      <c r="B530" s="21"/>
      <c r="C530" s="2"/>
      <c r="L530" s="9"/>
    </row>
    <row r="531" spans="2:12">
      <c r="B531" s="21"/>
      <c r="C531" s="2"/>
      <c r="L531" s="9"/>
    </row>
    <row r="532" spans="2:12">
      <c r="B532" s="21"/>
      <c r="C532" s="2"/>
      <c r="L532" s="9"/>
    </row>
    <row r="533" spans="2:12">
      <c r="B533" s="21"/>
      <c r="C533" s="2"/>
      <c r="L533" s="9"/>
    </row>
    <row r="534" spans="2:12">
      <c r="B534" s="21"/>
      <c r="C534" s="2"/>
      <c r="L534" s="9"/>
    </row>
    <row r="535" spans="2:12">
      <c r="B535" s="21"/>
      <c r="C535" s="2"/>
      <c r="L535" s="9"/>
    </row>
    <row r="536" spans="2:12">
      <c r="B536" s="21"/>
      <c r="C536" s="2"/>
      <c r="L536" s="9"/>
    </row>
    <row r="537" spans="2:12">
      <c r="B537" s="21"/>
      <c r="C537" s="2"/>
      <c r="L537" s="9"/>
    </row>
    <row r="538" spans="2:12">
      <c r="B538" s="21"/>
      <c r="C538" s="2"/>
      <c r="L538" s="9"/>
    </row>
    <row r="539" spans="2:12">
      <c r="B539" s="21"/>
      <c r="C539" s="2"/>
      <c r="L539" s="9"/>
    </row>
    <row r="540" spans="2:12">
      <c r="B540" s="21"/>
      <c r="C540" s="2"/>
      <c r="L540" s="9"/>
    </row>
    <row r="541" spans="2:12">
      <c r="B541" s="21"/>
      <c r="C541" s="2"/>
      <c r="L541" s="9"/>
    </row>
    <row r="542" spans="2:12">
      <c r="B542" s="21"/>
      <c r="C542" s="2"/>
      <c r="L542" s="9"/>
    </row>
    <row r="543" spans="2:12">
      <c r="B543" s="21"/>
      <c r="C543" s="2"/>
      <c r="L543" s="9"/>
    </row>
    <row r="544" spans="2:12">
      <c r="B544" s="21"/>
      <c r="C544" s="2"/>
      <c r="L544" s="9"/>
    </row>
    <row r="545" spans="2:12">
      <c r="B545" s="21"/>
      <c r="C545" s="2"/>
      <c r="L545" s="9"/>
    </row>
    <row r="546" spans="2:12">
      <c r="B546" s="21"/>
      <c r="C546" s="2"/>
      <c r="L546" s="9"/>
    </row>
    <row r="547" spans="2:12">
      <c r="B547" s="21"/>
      <c r="C547" s="2"/>
      <c r="L547" s="9"/>
    </row>
    <row r="548" spans="2:12">
      <c r="B548" s="21"/>
      <c r="C548" s="2"/>
      <c r="L548" s="9"/>
    </row>
    <row r="549" spans="2:12">
      <c r="B549" s="21"/>
      <c r="C549" s="2"/>
      <c r="L549" s="9"/>
    </row>
    <row r="550" spans="2:12">
      <c r="B550" s="21"/>
      <c r="C550" s="2"/>
      <c r="L550" s="9"/>
    </row>
    <row r="551" spans="2:12">
      <c r="B551" s="21"/>
      <c r="C551" s="2"/>
      <c r="L551" s="9"/>
    </row>
    <row r="552" spans="2:12">
      <c r="B552" s="21"/>
      <c r="C552" s="2"/>
      <c r="L552" s="9"/>
    </row>
    <row r="553" spans="2:12">
      <c r="B553" s="21"/>
      <c r="C553" s="2"/>
      <c r="L553" s="9"/>
    </row>
    <row r="554" spans="2:12">
      <c r="B554" s="21"/>
      <c r="C554" s="2"/>
      <c r="L554" s="9"/>
    </row>
    <row r="555" spans="2:12">
      <c r="B555" s="21"/>
      <c r="C555" s="2"/>
      <c r="L555" s="9"/>
    </row>
    <row r="556" spans="2:12">
      <c r="B556" s="21"/>
      <c r="C556" s="2"/>
      <c r="L556" s="9"/>
    </row>
    <row r="557" spans="2:12">
      <c r="B557" s="21"/>
      <c r="C557" s="2"/>
      <c r="L557" s="9"/>
    </row>
    <row r="558" spans="2:12">
      <c r="B558" s="21"/>
      <c r="C558" s="2"/>
      <c r="L558" s="9"/>
    </row>
    <row r="559" spans="2:12">
      <c r="B559" s="21"/>
      <c r="C559" s="2"/>
      <c r="L559" s="9"/>
    </row>
    <row r="560" spans="2:12">
      <c r="B560" s="21"/>
      <c r="C560" s="2"/>
      <c r="L560" s="9"/>
    </row>
    <row r="561" spans="2:12">
      <c r="B561" s="21"/>
      <c r="C561" s="2"/>
      <c r="L561" s="9"/>
    </row>
    <row r="562" spans="2:12">
      <c r="B562" s="21"/>
      <c r="C562" s="2"/>
      <c r="L562" s="9"/>
    </row>
    <row r="563" spans="2:12">
      <c r="B563" s="21"/>
      <c r="C563" s="2"/>
      <c r="L563" s="9"/>
    </row>
    <row r="564" spans="2:12">
      <c r="B564" s="21"/>
      <c r="C564" s="2"/>
      <c r="L564" s="9"/>
    </row>
    <row r="565" spans="2:12">
      <c r="B565" s="21"/>
      <c r="C565" s="2"/>
      <c r="L565" s="9"/>
    </row>
    <row r="566" spans="2:12">
      <c r="B566" s="21"/>
      <c r="C566" s="2"/>
      <c r="L566" s="9"/>
    </row>
    <row r="567" spans="2:12">
      <c r="B567" s="21"/>
      <c r="C567" s="2"/>
      <c r="L567" s="9"/>
    </row>
    <row r="568" spans="2:12">
      <c r="B568" s="21"/>
      <c r="C568" s="2"/>
      <c r="L568" s="9"/>
    </row>
    <row r="569" spans="2:12">
      <c r="B569" s="21"/>
      <c r="C569" s="2"/>
      <c r="L569" s="9"/>
    </row>
    <row r="570" spans="2:12">
      <c r="B570" s="21"/>
      <c r="C570" s="2"/>
      <c r="L570" s="9"/>
    </row>
    <row r="571" spans="2:12">
      <c r="B571" s="21"/>
      <c r="C571" s="2"/>
      <c r="L571" s="9"/>
    </row>
    <row r="572" spans="2:12">
      <c r="B572" s="21"/>
      <c r="C572" s="2"/>
      <c r="L572" s="9"/>
    </row>
    <row r="573" spans="2:12">
      <c r="B573" s="21"/>
      <c r="C573" s="2"/>
      <c r="L573" s="9"/>
    </row>
    <row r="574" spans="2:12">
      <c r="B574" s="21"/>
      <c r="C574" s="2"/>
      <c r="L574" s="9"/>
    </row>
    <row r="575" spans="2:12">
      <c r="B575" s="21"/>
      <c r="C575" s="2"/>
      <c r="L575" s="9"/>
    </row>
    <row r="576" spans="2:12">
      <c r="B576" s="21"/>
      <c r="C576" s="2"/>
      <c r="L576" s="9"/>
    </row>
    <row r="577" spans="2:12">
      <c r="B577" s="21"/>
      <c r="C577" s="2"/>
      <c r="L577" s="9"/>
    </row>
    <row r="578" spans="2:12">
      <c r="B578" s="21"/>
      <c r="C578" s="2"/>
      <c r="L578" s="9"/>
    </row>
    <row r="579" spans="2:12">
      <c r="B579" s="21"/>
      <c r="C579" s="2"/>
      <c r="L579" s="9"/>
    </row>
    <row r="580" spans="2:12">
      <c r="B580" s="21"/>
      <c r="C580" s="2"/>
      <c r="L580" s="9"/>
    </row>
    <row r="581" spans="2:12">
      <c r="B581" s="21"/>
      <c r="C581" s="2"/>
      <c r="L581" s="9"/>
    </row>
    <row r="582" spans="2:12">
      <c r="B582" s="21"/>
      <c r="C582" s="2"/>
      <c r="L582" s="9"/>
    </row>
    <row r="583" spans="2:12">
      <c r="B583" s="21"/>
      <c r="C583" s="2"/>
      <c r="L583" s="9"/>
    </row>
    <row r="584" spans="2:12">
      <c r="B584" s="21"/>
      <c r="C584" s="2"/>
      <c r="L584" s="9"/>
    </row>
    <row r="585" spans="2:12">
      <c r="B585" s="21"/>
      <c r="C585" s="2"/>
      <c r="L585" s="9"/>
    </row>
    <row r="586" spans="2:12">
      <c r="B586" s="21"/>
      <c r="C586" s="2"/>
      <c r="L586" s="9"/>
    </row>
    <row r="587" spans="2:12">
      <c r="B587" s="21"/>
      <c r="C587" s="2"/>
      <c r="L587" s="9"/>
    </row>
    <row r="588" spans="2:12">
      <c r="B588" s="21"/>
      <c r="C588" s="2"/>
      <c r="L588" s="9"/>
    </row>
    <row r="589" spans="2:12">
      <c r="B589" s="21"/>
      <c r="C589" s="2"/>
      <c r="L589" s="9"/>
    </row>
    <row r="590" spans="2:12">
      <c r="B590" s="21"/>
      <c r="C590" s="2"/>
      <c r="L590" s="9"/>
    </row>
    <row r="591" spans="2:12">
      <c r="B591" s="21"/>
      <c r="C591" s="2"/>
      <c r="L591" s="9"/>
    </row>
    <row r="592" spans="2:12">
      <c r="B592" s="21"/>
      <c r="C592" s="2"/>
      <c r="L592" s="9"/>
    </row>
    <row r="593" spans="2:12">
      <c r="B593" s="21"/>
      <c r="C593" s="2"/>
      <c r="L593" s="9"/>
    </row>
    <row r="594" spans="2:12">
      <c r="B594" s="21"/>
      <c r="C594" s="2"/>
      <c r="L594" s="9"/>
    </row>
    <row r="595" spans="2:12">
      <c r="B595" s="21"/>
      <c r="C595" s="2"/>
      <c r="L595" s="9"/>
    </row>
    <row r="596" spans="2:12">
      <c r="B596" s="21"/>
      <c r="C596" s="2"/>
      <c r="L596" s="9"/>
    </row>
    <row r="597" spans="2:12">
      <c r="B597" s="21"/>
      <c r="C597" s="2"/>
      <c r="L597" s="9"/>
    </row>
    <row r="598" spans="2:12">
      <c r="B598" s="21"/>
      <c r="C598" s="2"/>
      <c r="L598" s="9"/>
    </row>
    <row r="599" spans="2:12">
      <c r="B599" s="21"/>
      <c r="C599" s="2"/>
      <c r="L599" s="9"/>
    </row>
    <row r="600" spans="2:12">
      <c r="B600" s="21"/>
      <c r="C600" s="2"/>
      <c r="L600" s="9"/>
    </row>
    <row r="601" spans="2:12">
      <c r="B601" s="21"/>
      <c r="C601" s="2"/>
      <c r="L601" s="9"/>
    </row>
    <row r="602" spans="2:12">
      <c r="B602" s="21"/>
      <c r="C602" s="2"/>
      <c r="L602" s="9"/>
    </row>
    <row r="603" spans="2:12">
      <c r="B603" s="21"/>
      <c r="C603" s="2"/>
      <c r="L603" s="9"/>
    </row>
    <row r="604" spans="2:12">
      <c r="B604" s="21"/>
      <c r="C604" s="2"/>
      <c r="L604" s="9"/>
    </row>
    <row r="605" spans="2:12">
      <c r="B605" s="21"/>
      <c r="C605" s="2"/>
      <c r="L605" s="9"/>
    </row>
    <row r="606" spans="2:12">
      <c r="B606" s="21"/>
      <c r="C606" s="2"/>
      <c r="L606" s="9"/>
    </row>
    <row r="607" spans="2:12">
      <c r="B607" s="21"/>
      <c r="C607" s="2"/>
      <c r="L607" s="9"/>
    </row>
    <row r="608" spans="2:12">
      <c r="B608" s="21"/>
      <c r="C608" s="2"/>
      <c r="L608" s="9"/>
    </row>
    <row r="609" spans="2:12">
      <c r="B609" s="21"/>
      <c r="C609" s="2"/>
      <c r="L609" s="9"/>
    </row>
    <row r="610" spans="2:12">
      <c r="B610" s="21"/>
      <c r="C610" s="2"/>
      <c r="L610" s="9"/>
    </row>
    <row r="611" spans="2:12">
      <c r="B611" s="21"/>
      <c r="C611" s="2"/>
      <c r="L611" s="9"/>
    </row>
    <row r="612" spans="2:12">
      <c r="B612" s="21"/>
      <c r="C612" s="2"/>
      <c r="L612" s="9"/>
    </row>
    <row r="613" spans="2:12">
      <c r="B613" s="21"/>
      <c r="C613" s="2"/>
      <c r="L613" s="9"/>
    </row>
    <row r="614" spans="2:12">
      <c r="B614" s="21"/>
      <c r="C614" s="2"/>
      <c r="L614" s="9"/>
    </row>
    <row r="615" spans="2:12">
      <c r="B615" s="21"/>
      <c r="C615" s="2"/>
      <c r="L615" s="9"/>
    </row>
    <row r="616" spans="2:12">
      <c r="B616" s="21"/>
      <c r="C616" s="2"/>
      <c r="L616" s="9"/>
    </row>
    <row r="617" spans="2:12">
      <c r="B617" s="21"/>
      <c r="C617" s="2"/>
      <c r="L617" s="9"/>
    </row>
    <row r="618" spans="2:12">
      <c r="B618" s="21"/>
      <c r="C618" s="2"/>
      <c r="L618" s="9"/>
    </row>
    <row r="619" spans="2:12">
      <c r="B619" s="21"/>
      <c r="C619" s="2"/>
      <c r="L619" s="9"/>
    </row>
    <row r="620" spans="2:12">
      <c r="B620" s="21"/>
      <c r="C620" s="2"/>
      <c r="L620" s="9"/>
    </row>
    <row r="621" spans="2:12">
      <c r="B621" s="21"/>
      <c r="C621" s="2"/>
      <c r="L621" s="9"/>
    </row>
    <row r="622" spans="2:12">
      <c r="B622" s="21"/>
      <c r="C622" s="2"/>
      <c r="L622" s="9"/>
    </row>
    <row r="623" spans="2:12">
      <c r="B623" s="21"/>
      <c r="C623" s="2"/>
      <c r="L623" s="9"/>
    </row>
    <row r="624" spans="2:12">
      <c r="B624" s="21"/>
      <c r="C624" s="2"/>
      <c r="L624" s="9"/>
    </row>
    <row r="625" spans="2:12">
      <c r="B625" s="21"/>
      <c r="C625" s="2"/>
      <c r="L625" s="9"/>
    </row>
    <row r="626" spans="2:12">
      <c r="B626" s="21"/>
      <c r="C626" s="2"/>
      <c r="L626" s="9"/>
    </row>
    <row r="627" spans="2:12">
      <c r="B627" s="21"/>
      <c r="C627" s="2"/>
      <c r="L627" s="9"/>
    </row>
    <row r="628" spans="2:12">
      <c r="B628" s="21"/>
      <c r="C628" s="2"/>
      <c r="L628" s="9"/>
    </row>
    <row r="629" spans="2:12">
      <c r="B629" s="21"/>
      <c r="C629" s="2"/>
      <c r="L629" s="9"/>
    </row>
    <row r="630" spans="2:12">
      <c r="B630" s="21"/>
      <c r="C630" s="2"/>
      <c r="L630" s="9"/>
    </row>
    <row r="631" spans="2:12">
      <c r="B631" s="21"/>
      <c r="C631" s="2"/>
      <c r="L631" s="9"/>
    </row>
    <row r="632" spans="2:12">
      <c r="B632" s="21"/>
      <c r="C632" s="2"/>
      <c r="L632" s="9"/>
    </row>
    <row r="633" spans="2:12">
      <c r="B633" s="21"/>
      <c r="C633" s="2"/>
      <c r="L633" s="9"/>
    </row>
    <row r="634" spans="2:12">
      <c r="B634" s="21"/>
      <c r="C634" s="2"/>
      <c r="L634" s="9"/>
    </row>
    <row r="635" spans="2:12">
      <c r="B635" s="21"/>
      <c r="C635" s="2"/>
      <c r="L635" s="9"/>
    </row>
    <row r="636" spans="2:12">
      <c r="B636" s="21"/>
      <c r="C636" s="2"/>
      <c r="L636" s="9"/>
    </row>
    <row r="637" spans="2:12">
      <c r="B637" s="21"/>
      <c r="C637" s="2"/>
      <c r="L637" s="9"/>
    </row>
    <row r="638" spans="2:12">
      <c r="B638" s="21"/>
      <c r="C638" s="2"/>
      <c r="L638" s="9"/>
    </row>
    <row r="639" spans="2:12">
      <c r="B639" s="21"/>
      <c r="C639" s="2"/>
      <c r="L639" s="9"/>
    </row>
    <row r="640" spans="2:12">
      <c r="B640" s="21"/>
      <c r="C640" s="2"/>
      <c r="L640" s="9"/>
    </row>
    <row r="641" spans="2:12">
      <c r="B641" s="21"/>
      <c r="C641" s="2"/>
      <c r="L641" s="9"/>
    </row>
    <row r="642" spans="2:12">
      <c r="B642" s="21"/>
      <c r="C642" s="2"/>
      <c r="L642" s="9"/>
    </row>
    <row r="643" spans="2:12">
      <c r="B643" s="21"/>
      <c r="C643" s="2"/>
      <c r="L643" s="9"/>
    </row>
    <row r="644" spans="2:12">
      <c r="B644" s="21"/>
      <c r="C644" s="2"/>
      <c r="L644" s="9"/>
    </row>
    <row r="645" spans="2:12">
      <c r="B645" s="21"/>
      <c r="C645" s="2"/>
      <c r="L645" s="9"/>
    </row>
    <row r="646" spans="2:12">
      <c r="B646" s="21"/>
      <c r="C646" s="2"/>
      <c r="L646" s="9"/>
    </row>
    <row r="647" spans="2:12">
      <c r="B647" s="21"/>
      <c r="C647" s="2"/>
      <c r="L647" s="9"/>
    </row>
    <row r="648" spans="2:12">
      <c r="B648" s="21"/>
      <c r="C648" s="2"/>
      <c r="L648" s="9"/>
    </row>
    <row r="649" spans="2:12">
      <c r="B649" s="21"/>
      <c r="C649" s="2"/>
      <c r="L649" s="9"/>
    </row>
    <row r="650" spans="2:12">
      <c r="B650" s="21"/>
      <c r="C650" s="2"/>
      <c r="L650" s="9"/>
    </row>
    <row r="651" spans="2:12">
      <c r="B651" s="21"/>
      <c r="C651" s="2"/>
      <c r="L651" s="9"/>
    </row>
    <row r="652" spans="2:12">
      <c r="B652" s="21"/>
      <c r="C652" s="2"/>
      <c r="L652" s="9"/>
    </row>
    <row r="653" spans="2:12">
      <c r="B653" s="21"/>
      <c r="C653" s="2"/>
      <c r="L653" s="9"/>
    </row>
    <row r="654" spans="2:12">
      <c r="B654" s="21"/>
      <c r="C654" s="2"/>
      <c r="L654" s="9"/>
    </row>
    <row r="655" spans="2:12">
      <c r="B655" s="21"/>
      <c r="C655" s="2"/>
      <c r="L655" s="9"/>
    </row>
    <row r="656" spans="2:12">
      <c r="B656" s="21"/>
      <c r="C656" s="2"/>
      <c r="L656" s="9"/>
    </row>
    <row r="657" spans="2:12">
      <c r="B657" s="21"/>
      <c r="C657" s="2"/>
      <c r="L657" s="9"/>
    </row>
    <row r="658" spans="2:12">
      <c r="B658" s="21"/>
      <c r="C658" s="2"/>
      <c r="L658" s="9"/>
    </row>
    <row r="659" spans="2:12">
      <c r="B659" s="21"/>
      <c r="C659" s="2"/>
      <c r="L659" s="9"/>
    </row>
    <row r="660" spans="2:12">
      <c r="B660" s="21"/>
      <c r="C660" s="2"/>
      <c r="L660" s="9"/>
    </row>
    <row r="661" spans="2:12">
      <c r="B661" s="21"/>
      <c r="C661" s="2"/>
      <c r="L661" s="9"/>
    </row>
    <row r="662" spans="2:12">
      <c r="B662" s="21"/>
      <c r="C662" s="2"/>
      <c r="L662" s="9"/>
    </row>
    <row r="663" spans="2:12">
      <c r="B663" s="21"/>
      <c r="C663" s="2"/>
      <c r="L663" s="9"/>
    </row>
    <row r="664" spans="2:12">
      <c r="B664" s="21"/>
      <c r="C664" s="2"/>
      <c r="L664" s="9"/>
    </row>
    <row r="665" spans="2:12">
      <c r="B665" s="21"/>
      <c r="C665" s="2"/>
      <c r="L665" s="9"/>
    </row>
    <row r="666" spans="2:12">
      <c r="B666" s="21"/>
      <c r="C666" s="2"/>
      <c r="L666" s="9"/>
    </row>
    <row r="667" spans="2:12">
      <c r="B667" s="21"/>
      <c r="C667" s="2"/>
      <c r="L667" s="9"/>
    </row>
    <row r="668" spans="2:12">
      <c r="B668" s="21"/>
      <c r="C668" s="2"/>
      <c r="L668" s="9"/>
    </row>
    <row r="669" spans="2:12">
      <c r="B669" s="21"/>
      <c r="C669" s="2"/>
      <c r="L669" s="9"/>
    </row>
    <row r="670" spans="2:12">
      <c r="B670" s="21"/>
      <c r="C670" s="2"/>
      <c r="L670" s="9"/>
    </row>
    <row r="671" spans="2:12">
      <c r="B671" s="21"/>
      <c r="C671" s="2"/>
      <c r="L671" s="9"/>
    </row>
    <row r="672" spans="2:12">
      <c r="B672" s="21"/>
      <c r="C672" s="2"/>
      <c r="L672" s="9"/>
    </row>
    <row r="673" spans="2:12">
      <c r="B673" s="21"/>
      <c r="C673" s="2"/>
      <c r="L673" s="9"/>
    </row>
    <row r="674" spans="2:12">
      <c r="B674" s="21"/>
      <c r="C674" s="2"/>
      <c r="L674" s="9"/>
    </row>
    <row r="675" spans="2:12">
      <c r="B675" s="21"/>
      <c r="C675" s="2"/>
      <c r="L675" s="9"/>
    </row>
    <row r="676" spans="2:12">
      <c r="B676" s="21"/>
      <c r="C676" s="2"/>
      <c r="L676" s="9"/>
    </row>
    <row r="677" spans="2:12">
      <c r="B677" s="21"/>
      <c r="C677" s="2"/>
      <c r="L677" s="9"/>
    </row>
    <row r="678" spans="2:12">
      <c r="B678" s="21"/>
      <c r="C678" s="2"/>
      <c r="L678" s="9"/>
    </row>
    <row r="679" spans="2:12">
      <c r="B679" s="21"/>
      <c r="C679" s="2"/>
      <c r="L679" s="9"/>
    </row>
    <row r="680" spans="2:12">
      <c r="B680" s="21"/>
      <c r="C680" s="2"/>
      <c r="L680" s="9"/>
    </row>
    <row r="681" spans="2:12">
      <c r="B681" s="21"/>
      <c r="C681" s="2"/>
      <c r="L681" s="9"/>
    </row>
    <row r="682" spans="2:12">
      <c r="B682" s="21"/>
      <c r="C682" s="2"/>
      <c r="L682" s="9"/>
    </row>
    <row r="683" spans="2:12">
      <c r="B683" s="21"/>
      <c r="C683" s="2"/>
      <c r="L683" s="9"/>
    </row>
    <row r="684" spans="2:12">
      <c r="B684" s="21"/>
      <c r="C684" s="2"/>
      <c r="L684" s="9"/>
    </row>
    <row r="685" spans="2:12">
      <c r="B685" s="21"/>
      <c r="C685" s="2"/>
      <c r="L685" s="9"/>
    </row>
    <row r="686" spans="2:12">
      <c r="B686" s="21"/>
      <c r="C686" s="2"/>
      <c r="L686" s="9"/>
    </row>
    <row r="687" spans="2:12">
      <c r="B687" s="21"/>
      <c r="C687" s="2"/>
      <c r="L687" s="9"/>
    </row>
    <row r="688" spans="2:12">
      <c r="B688" s="21"/>
      <c r="C688" s="2"/>
      <c r="L688" s="9"/>
    </row>
    <row r="689" spans="2:12">
      <c r="B689" s="21"/>
      <c r="C689" s="2"/>
      <c r="L689" s="9"/>
    </row>
    <row r="690" spans="2:12">
      <c r="B690" s="21"/>
      <c r="C690" s="2"/>
      <c r="L690" s="9"/>
    </row>
    <row r="691" spans="2:12">
      <c r="B691" s="21"/>
      <c r="C691" s="2"/>
      <c r="L691" s="9"/>
    </row>
    <row r="692" spans="2:12">
      <c r="B692" s="21"/>
      <c r="C692" s="2"/>
      <c r="L692" s="9"/>
    </row>
    <row r="693" spans="2:12">
      <c r="B693" s="21"/>
      <c r="C693" s="2"/>
      <c r="L693" s="9"/>
    </row>
    <row r="694" spans="2:12">
      <c r="B694" s="21"/>
      <c r="C694" s="2"/>
      <c r="L694" s="9"/>
    </row>
    <row r="695" spans="2:12">
      <c r="B695" s="21"/>
      <c r="C695" s="2"/>
      <c r="L695" s="9"/>
    </row>
    <row r="696" spans="2:12">
      <c r="B696" s="21"/>
      <c r="C696" s="2"/>
      <c r="L696" s="9"/>
    </row>
    <row r="697" spans="2:12">
      <c r="B697" s="21"/>
      <c r="C697" s="2"/>
      <c r="L697" s="9"/>
    </row>
    <row r="698" spans="2:12">
      <c r="B698" s="21"/>
      <c r="C698" s="2"/>
      <c r="L698" s="9"/>
    </row>
    <row r="699" spans="2:12">
      <c r="B699" s="21"/>
      <c r="C699" s="2"/>
      <c r="L699" s="9"/>
    </row>
    <row r="700" spans="2:12">
      <c r="B700" s="21"/>
      <c r="C700" s="2"/>
      <c r="L700" s="9"/>
    </row>
    <row r="701" spans="2:12">
      <c r="B701" s="21"/>
      <c r="C701" s="2"/>
      <c r="L701" s="9"/>
    </row>
    <row r="702" spans="2:12">
      <c r="B702" s="21"/>
      <c r="C702" s="2"/>
      <c r="L702" s="9"/>
    </row>
    <row r="703" spans="2:12">
      <c r="B703" s="21"/>
      <c r="C703" s="2"/>
      <c r="L703" s="9"/>
    </row>
    <row r="704" spans="2:12">
      <c r="B704" s="21"/>
      <c r="C704" s="2"/>
      <c r="L704" s="9"/>
    </row>
    <row r="705" spans="2:12">
      <c r="B705" s="21"/>
      <c r="C705" s="2"/>
      <c r="L705" s="9"/>
    </row>
    <row r="706" spans="2:12">
      <c r="B706" s="21"/>
      <c r="C706" s="2"/>
      <c r="L706" s="9"/>
    </row>
    <row r="707" spans="2:12">
      <c r="B707" s="21"/>
      <c r="C707" s="2"/>
      <c r="L707" s="9"/>
    </row>
    <row r="708" spans="2:12">
      <c r="B708" s="21"/>
      <c r="C708" s="2"/>
      <c r="L708" s="9"/>
    </row>
    <row r="709" spans="2:12">
      <c r="B709" s="21"/>
      <c r="C709" s="2"/>
      <c r="L709" s="9"/>
    </row>
    <row r="710" spans="2:12">
      <c r="B710" s="21"/>
      <c r="C710" s="2"/>
      <c r="L710" s="9"/>
    </row>
    <row r="711" spans="2:12">
      <c r="B711" s="21"/>
      <c r="C711" s="2"/>
      <c r="L711" s="9"/>
    </row>
    <row r="712" spans="2:12">
      <c r="B712" s="21"/>
      <c r="C712" s="2"/>
      <c r="L712" s="9"/>
    </row>
    <row r="713" spans="2:12">
      <c r="B713" s="21"/>
      <c r="C713" s="2"/>
      <c r="L713" s="9"/>
    </row>
    <row r="714" spans="2:12">
      <c r="B714" s="21"/>
      <c r="C714" s="2"/>
      <c r="L714" s="9"/>
    </row>
    <row r="715" spans="2:12">
      <c r="B715" s="21"/>
      <c r="C715" s="2"/>
      <c r="L715" s="9"/>
    </row>
    <row r="716" spans="2:12">
      <c r="B716" s="21"/>
      <c r="C716" s="2"/>
      <c r="L716" s="9"/>
    </row>
    <row r="717" spans="2:12">
      <c r="B717" s="21"/>
      <c r="C717" s="2"/>
      <c r="L717" s="9"/>
    </row>
    <row r="718" spans="2:12">
      <c r="B718" s="21"/>
      <c r="C718" s="2"/>
      <c r="L718" s="9"/>
    </row>
    <row r="719" spans="2:12">
      <c r="B719" s="21"/>
      <c r="C719" s="2"/>
      <c r="L719" s="9"/>
    </row>
    <row r="720" spans="2:12">
      <c r="B720" s="21"/>
      <c r="C720" s="2"/>
      <c r="L720" s="9"/>
    </row>
    <row r="721" spans="2:12">
      <c r="B721" s="21"/>
      <c r="C721" s="2"/>
      <c r="L721" s="9"/>
    </row>
    <row r="722" spans="2:12">
      <c r="B722" s="21"/>
      <c r="C722" s="2"/>
      <c r="L722" s="9"/>
    </row>
    <row r="723" spans="2:12">
      <c r="B723" s="21"/>
      <c r="C723" s="2"/>
      <c r="L723" s="9"/>
    </row>
    <row r="724" spans="2:12">
      <c r="B724" s="21"/>
      <c r="C724" s="2"/>
      <c r="L724" s="9"/>
    </row>
    <row r="725" spans="2:12">
      <c r="B725" s="21"/>
      <c r="C725" s="2"/>
      <c r="L725" s="9"/>
    </row>
    <row r="726" spans="2:12">
      <c r="B726" s="21"/>
      <c r="C726" s="2"/>
      <c r="L726" s="9"/>
    </row>
    <row r="727" spans="2:12">
      <c r="B727" s="21"/>
      <c r="C727" s="2"/>
      <c r="L727" s="9"/>
    </row>
    <row r="728" spans="2:12">
      <c r="B728" s="21"/>
      <c r="C728" s="2"/>
      <c r="L728" s="9"/>
    </row>
    <row r="729" spans="2:12">
      <c r="B729" s="21"/>
      <c r="C729" s="2"/>
      <c r="L729" s="9"/>
    </row>
    <row r="730" spans="2:12">
      <c r="B730" s="21"/>
      <c r="C730" s="2"/>
      <c r="L730" s="9"/>
    </row>
    <row r="731" spans="2:12">
      <c r="B731" s="21"/>
      <c r="C731" s="2"/>
      <c r="L731" s="9"/>
    </row>
    <row r="732" spans="2:12">
      <c r="B732" s="21"/>
      <c r="C732" s="2"/>
      <c r="L732" s="9"/>
    </row>
    <row r="733" spans="2:12">
      <c r="B733" s="21"/>
      <c r="C733" s="2"/>
      <c r="L733" s="9"/>
    </row>
    <row r="734" spans="2:12">
      <c r="B734" s="21"/>
      <c r="C734" s="2"/>
      <c r="L734" s="9"/>
    </row>
    <row r="735" spans="2:12">
      <c r="B735" s="21"/>
      <c r="C735" s="2"/>
      <c r="L735" s="9"/>
    </row>
    <row r="736" spans="2:12">
      <c r="B736" s="21"/>
      <c r="C736" s="2"/>
      <c r="L736" s="9"/>
    </row>
    <row r="737" spans="2:12">
      <c r="B737" s="21"/>
      <c r="C737" s="2"/>
      <c r="L737" s="9"/>
    </row>
    <row r="738" spans="2:12">
      <c r="B738" s="21"/>
      <c r="C738" s="2"/>
      <c r="L738" s="9"/>
    </row>
    <row r="739" spans="2:12">
      <c r="B739" s="21"/>
      <c r="C739" s="2"/>
      <c r="L739" s="9"/>
    </row>
    <row r="740" spans="2:12">
      <c r="B740" s="21"/>
      <c r="C740" s="2"/>
      <c r="L740" s="9"/>
    </row>
    <row r="741" spans="2:12">
      <c r="B741" s="21"/>
      <c r="C741" s="2"/>
      <c r="L741" s="9"/>
    </row>
    <row r="742" spans="2:12">
      <c r="B742" s="21"/>
      <c r="C742" s="2"/>
      <c r="L742" s="9"/>
    </row>
    <row r="743" spans="2:12">
      <c r="B743" s="21"/>
      <c r="C743" s="2"/>
      <c r="L743" s="9"/>
    </row>
    <row r="744" spans="2:12">
      <c r="B744" s="21"/>
      <c r="C744" s="2"/>
      <c r="L744" s="9"/>
    </row>
    <row r="745" spans="2:12">
      <c r="B745" s="21"/>
      <c r="C745" s="2"/>
      <c r="L745" s="9"/>
    </row>
    <row r="746" spans="2:12">
      <c r="B746" s="21"/>
      <c r="C746" s="2"/>
      <c r="L746" s="9"/>
    </row>
    <row r="747" spans="2:12">
      <c r="B747" s="21"/>
      <c r="C747" s="2"/>
      <c r="L747" s="9"/>
    </row>
    <row r="748" spans="2:12">
      <c r="B748" s="21"/>
      <c r="C748" s="2"/>
      <c r="L748" s="9"/>
    </row>
    <row r="749" spans="2:12">
      <c r="B749" s="21"/>
      <c r="C749" s="2"/>
      <c r="L749" s="9"/>
    </row>
    <row r="750" spans="2:12">
      <c r="B750" s="21"/>
      <c r="C750" s="2"/>
      <c r="L750" s="9"/>
    </row>
    <row r="751" spans="2:12">
      <c r="B751" s="21"/>
      <c r="C751" s="2"/>
      <c r="L751" s="9"/>
    </row>
    <row r="752" spans="2:12">
      <c r="B752" s="21"/>
      <c r="C752" s="2"/>
      <c r="L752" s="9"/>
    </row>
    <row r="753" spans="2:12">
      <c r="B753" s="21"/>
      <c r="C753" s="2"/>
      <c r="L753" s="9"/>
    </row>
    <row r="754" spans="2:12">
      <c r="B754" s="21"/>
      <c r="C754" s="2"/>
      <c r="L754" s="9"/>
    </row>
    <row r="755" spans="2:12">
      <c r="B755" s="21"/>
      <c r="C755" s="2"/>
      <c r="L755" s="9"/>
    </row>
    <row r="756" spans="2:12">
      <c r="B756" s="21"/>
      <c r="C756" s="2"/>
      <c r="L756" s="9"/>
    </row>
    <row r="757" spans="2:12">
      <c r="B757" s="21"/>
      <c r="C757" s="2"/>
      <c r="L757" s="9"/>
    </row>
    <row r="758" spans="2:12">
      <c r="B758" s="21"/>
      <c r="C758" s="2"/>
      <c r="L758" s="9"/>
    </row>
    <row r="759" spans="2:12">
      <c r="B759" s="21"/>
      <c r="C759" s="2"/>
      <c r="L759" s="9"/>
    </row>
    <row r="760" spans="2:12">
      <c r="B760" s="21"/>
      <c r="C760" s="2"/>
      <c r="L760" s="9"/>
    </row>
    <row r="761" spans="2:12">
      <c r="B761" s="21"/>
      <c r="C761" s="2"/>
      <c r="L761" s="9"/>
    </row>
    <row r="762" spans="2:12">
      <c r="B762" s="21"/>
      <c r="C762" s="2"/>
      <c r="L762" s="9"/>
    </row>
    <row r="763" spans="2:12">
      <c r="B763" s="21"/>
      <c r="C763" s="2"/>
      <c r="L763" s="9"/>
    </row>
    <row r="764" spans="2:12">
      <c r="B764" s="21"/>
      <c r="C764" s="2"/>
      <c r="L764" s="9"/>
    </row>
    <row r="765" spans="2:12">
      <c r="B765" s="21"/>
      <c r="C765" s="2"/>
      <c r="L765" s="9"/>
    </row>
    <row r="766" spans="2:12">
      <c r="B766" s="21"/>
      <c r="C766" s="2"/>
      <c r="L766" s="9"/>
    </row>
    <row r="767" spans="2:12">
      <c r="B767" s="21"/>
      <c r="C767" s="2"/>
      <c r="L767" s="9"/>
    </row>
    <row r="768" spans="2:12">
      <c r="B768" s="21"/>
      <c r="C768" s="2"/>
      <c r="L768" s="9"/>
    </row>
    <row r="769" spans="2:12">
      <c r="B769" s="21"/>
      <c r="C769" s="2"/>
      <c r="L769" s="9"/>
    </row>
    <row r="770" spans="2:12">
      <c r="B770" s="21"/>
      <c r="C770" s="2"/>
      <c r="L770" s="9"/>
    </row>
    <row r="771" spans="2:12">
      <c r="B771" s="21"/>
      <c r="C771" s="2"/>
      <c r="L771" s="9"/>
    </row>
    <row r="772" spans="2:12">
      <c r="B772" s="21"/>
      <c r="C772" s="2"/>
      <c r="L772" s="9"/>
    </row>
    <row r="773" spans="2:12">
      <c r="B773" s="21"/>
      <c r="C773" s="2"/>
      <c r="L773" s="9"/>
    </row>
    <row r="774" spans="2:12">
      <c r="B774" s="21"/>
      <c r="C774" s="2"/>
      <c r="L774" s="9"/>
    </row>
    <row r="775" spans="2:12">
      <c r="B775" s="21"/>
      <c r="C775" s="2"/>
      <c r="L775" s="9"/>
    </row>
    <row r="776" spans="2:12">
      <c r="B776" s="21"/>
      <c r="C776" s="2"/>
      <c r="L776" s="9"/>
    </row>
    <row r="777" spans="2:12">
      <c r="B777" s="21"/>
      <c r="C777" s="2"/>
      <c r="L777" s="9"/>
    </row>
    <row r="778" spans="2:12">
      <c r="B778" s="21"/>
      <c r="C778" s="2"/>
      <c r="L778" s="9"/>
    </row>
    <row r="779" spans="2:12">
      <c r="B779" s="21"/>
      <c r="C779" s="2"/>
      <c r="L779" s="9"/>
    </row>
    <row r="780" spans="2:12">
      <c r="B780" s="21"/>
      <c r="C780" s="2"/>
      <c r="L780" s="9"/>
    </row>
    <row r="781" spans="2:12">
      <c r="B781" s="21"/>
      <c r="C781" s="2"/>
      <c r="L781" s="9"/>
    </row>
    <row r="782" spans="2:12">
      <c r="B782" s="21"/>
      <c r="C782" s="2"/>
      <c r="L782" s="9"/>
    </row>
    <row r="783" spans="2:12">
      <c r="B783" s="21"/>
      <c r="C783" s="2"/>
      <c r="L783" s="9"/>
    </row>
    <row r="784" spans="2:12">
      <c r="B784" s="21"/>
      <c r="C784" s="2"/>
      <c r="L784" s="9"/>
    </row>
    <row r="785" spans="2:12">
      <c r="B785" s="21"/>
      <c r="C785" s="2"/>
      <c r="L785" s="9"/>
    </row>
    <row r="786" spans="2:12">
      <c r="B786" s="21"/>
      <c r="C786" s="2"/>
      <c r="L786" s="9"/>
    </row>
    <row r="787" spans="2:12">
      <c r="B787" s="21"/>
      <c r="C787" s="2"/>
      <c r="L787" s="9"/>
    </row>
    <row r="788" spans="2:12">
      <c r="B788" s="21"/>
      <c r="C788" s="2"/>
      <c r="L788" s="9"/>
    </row>
    <row r="789" spans="2:12">
      <c r="B789" s="21"/>
      <c r="C789" s="2"/>
      <c r="L789" s="9"/>
    </row>
    <row r="790" spans="2:12">
      <c r="B790" s="21"/>
      <c r="C790" s="2"/>
      <c r="L790" s="9"/>
    </row>
    <row r="791" spans="2:12">
      <c r="B791" s="21"/>
      <c r="C791" s="2"/>
      <c r="L791" s="9"/>
    </row>
    <row r="792" spans="2:12">
      <c r="B792" s="21"/>
      <c r="C792" s="2"/>
      <c r="L792" s="9"/>
    </row>
    <row r="793" spans="2:12">
      <c r="B793" s="21"/>
      <c r="C793" s="2"/>
      <c r="L793" s="9"/>
    </row>
    <row r="794" spans="2:12">
      <c r="B794" s="21"/>
      <c r="C794" s="2"/>
      <c r="L794" s="9"/>
    </row>
    <row r="795" spans="2:12">
      <c r="B795" s="21"/>
      <c r="C795" s="2"/>
      <c r="L795" s="9"/>
    </row>
    <row r="796" spans="2:12">
      <c r="B796" s="21"/>
      <c r="C796" s="2"/>
      <c r="L796" s="9"/>
    </row>
    <row r="797" spans="2:12">
      <c r="B797" s="21"/>
      <c r="C797" s="2"/>
      <c r="L797" s="9"/>
    </row>
    <row r="798" spans="2:12">
      <c r="B798" s="21"/>
      <c r="C798" s="2"/>
      <c r="L798" s="9"/>
    </row>
    <row r="799" spans="2:12">
      <c r="B799" s="21"/>
      <c r="C799" s="2"/>
      <c r="L799" s="9"/>
    </row>
    <row r="800" spans="2:12">
      <c r="B800" s="21"/>
      <c r="C800" s="2"/>
      <c r="L800" s="9"/>
    </row>
    <row r="801" spans="1:12">
      <c r="B801" s="21"/>
      <c r="C801" s="2"/>
      <c r="L801" s="9"/>
    </row>
    <row r="802" spans="1:12">
      <c r="B802" s="21"/>
      <c r="C802" s="2"/>
      <c r="L802" s="9"/>
    </row>
    <row r="803" spans="1:12">
      <c r="B803" s="21"/>
      <c r="C803" s="2"/>
      <c r="L803" s="9"/>
    </row>
    <row r="804" spans="1:12">
      <c r="B804" s="21"/>
      <c r="C804" s="2"/>
      <c r="L804" s="9"/>
    </row>
    <row r="805" spans="1:12">
      <c r="B805" s="21"/>
      <c r="C805" s="2"/>
      <c r="L805" s="9"/>
    </row>
    <row r="806" spans="1:12">
      <c r="B806" s="21"/>
      <c r="C806" s="2"/>
      <c r="L806" s="9"/>
    </row>
    <row r="807" spans="1:12">
      <c r="B807" s="21"/>
      <c r="C807" s="2"/>
      <c r="L807" s="9"/>
    </row>
    <row r="808" spans="1:12">
      <c r="B808" s="21"/>
      <c r="C808" s="2"/>
      <c r="L808" s="9"/>
    </row>
    <row r="809" spans="1:12">
      <c r="B809" s="23"/>
      <c r="C809" s="2"/>
      <c r="L809" s="24"/>
    </row>
    <row r="810" spans="1:12">
      <c r="B810" s="23"/>
      <c r="C810" s="2"/>
      <c r="L810" s="24"/>
    </row>
    <row r="811" spans="1:12">
      <c r="B811" s="23"/>
      <c r="C811" s="2"/>
      <c r="L811" s="24"/>
    </row>
    <row r="812" spans="1:12">
      <c r="B812" s="23"/>
      <c r="C812" s="2"/>
      <c r="L812" s="24"/>
    </row>
    <row r="813" spans="1:12">
      <c r="A813" t="s">
        <v>80</v>
      </c>
      <c r="B813" s="21">
        <v>46274.518518518518</v>
      </c>
      <c r="C813" s="2">
        <v>46274</v>
      </c>
      <c r="D813" t="s">
        <v>289</v>
      </c>
      <c r="E813">
        <v>1002</v>
      </c>
      <c r="F813" t="s">
        <v>44</v>
      </c>
      <c r="G813" t="s">
        <v>73</v>
      </c>
      <c r="H813" t="s">
        <v>53</v>
      </c>
      <c r="I813" t="s">
        <v>75</v>
      </c>
      <c r="L813" s="9"/>
    </row>
    <row r="814" spans="1:12">
      <c r="A814" t="s">
        <v>81</v>
      </c>
      <c r="B814" s="21">
        <v>46274.75</v>
      </c>
      <c r="C814" s="2">
        <v>46274</v>
      </c>
      <c r="D814" t="s">
        <v>289</v>
      </c>
      <c r="E814">
        <v>1002</v>
      </c>
      <c r="F814" t="s">
        <v>44</v>
      </c>
      <c r="G814" t="s">
        <v>73</v>
      </c>
      <c r="H814" t="s">
        <v>53</v>
      </c>
      <c r="I814" t="s">
        <v>75</v>
      </c>
      <c r="L814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45353"/>
  </sheetPr>
  <dimension ref="A1:B10"/>
  <sheetViews>
    <sheetView showGridLines="0" workbookViewId="0"/>
  </sheetViews>
  <sheetFormatPr defaultRowHeight="14.25"/>
  <cols>
    <col min="1" max="1" width="52.25" customWidth="1"/>
    <col min="2" max="2" width="13.375" customWidth="1"/>
  </cols>
  <sheetData>
    <row r="1" spans="1:2" ht="24" customHeight="1">
      <c r="A1" s="17" t="s">
        <v>82</v>
      </c>
      <c r="B1" s="17"/>
    </row>
    <row r="3" spans="1:2" ht="24" customHeight="1">
      <c r="A3" s="5" t="s">
        <v>83</v>
      </c>
      <c r="B3" s="5" t="s">
        <v>84</v>
      </c>
    </row>
    <row r="4" spans="1:2">
      <c r="A4" t="s">
        <v>85</v>
      </c>
      <c r="B4">
        <f>COUNTIF(tblBatidas[Conferência],"SEM VÍNCULO")</f>
        <v>0</v>
      </c>
    </row>
    <row r="5" spans="1:2">
      <c r="A5" t="s">
        <v>86</v>
      </c>
      <c r="B5">
        <f>COUNTIF(tblBatidas[Conferência],"VÍNCULO INVÁLIDO")+COUNTIF(tblBatidas[Conferência],"VÍNCULO DUPLICADO")+COUNTIF(tblBatidas[Conferência],"DIVERGÊNCIA DE PROJETO")+COUNTIF(tblBatidas[Conferência],"DIVERGÊNCIA DE ATIVIDADE")+COUNTIF(tblBatidas[Conferência],"DIVERGÊNCIA DE ID")+COUNTIF(tblBatidas[Conferência],"HORÁRIO INVÁLIDO")</f>
        <v>0</v>
      </c>
    </row>
    <row r="6" spans="1:2">
      <c r="A6" t="s">
        <v>87</v>
      </c>
      <c r="B6">
        <f>COUNTIF(tblRegistros[Status],"REVISAR")</f>
        <v>0</v>
      </c>
    </row>
    <row r="7" spans="1:2">
      <c r="A7" t="s">
        <v>88</v>
      </c>
      <c r="B7">
        <f>COUNTIF(tblRegistros[Status],"EM ABERTO")</f>
        <v>0</v>
      </c>
    </row>
    <row r="9" spans="1:2" ht="19.5" customHeight="1">
      <c r="A9" s="7" t="s">
        <v>89</v>
      </c>
    </row>
    <row r="10" spans="1:2" ht="19.5" customHeight="1">
      <c r="A10" s="7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4"/>
  <sheetViews>
    <sheetView showGridLines="0" workbookViewId="0">
      <pane ySplit="4" topLeftCell="A5" activePane="bottomLeft" state="frozen"/>
      <selection pane="bottomLeft" activeCell="B10" sqref="B10"/>
    </sheetView>
  </sheetViews>
  <sheetFormatPr defaultRowHeight="14.25"/>
  <cols>
    <col min="1" max="1" width="8.375" customWidth="1"/>
    <col min="2" max="2" width="30" customWidth="1"/>
    <col min="3" max="3" width="9.625" customWidth="1"/>
    <col min="4" max="6" width="11.625" customWidth="1"/>
    <col min="7" max="7" width="26.625" customWidth="1"/>
    <col min="8" max="8" width="10.625" customWidth="1"/>
  </cols>
  <sheetData>
    <row r="1" spans="1:8" ht="24" customHeight="1">
      <c r="A1" s="17" t="s">
        <v>91</v>
      </c>
      <c r="B1" s="17"/>
      <c r="C1" s="17"/>
      <c r="D1" s="17"/>
      <c r="E1" s="17"/>
      <c r="F1" s="17"/>
      <c r="G1" s="17"/>
      <c r="H1" s="17"/>
    </row>
    <row r="2" spans="1:8" ht="19.5" customHeight="1">
      <c r="A2" s="7" t="s">
        <v>92</v>
      </c>
    </row>
    <row r="4" spans="1:8" ht="24" customHeight="1">
      <c r="A4" s="5" t="s">
        <v>35</v>
      </c>
      <c r="B4" s="5" t="s">
        <v>3</v>
      </c>
      <c r="C4" s="5" t="s">
        <v>27</v>
      </c>
      <c r="D4" s="5" t="s">
        <v>37</v>
      </c>
      <c r="E4" s="5" t="s">
        <v>38</v>
      </c>
      <c r="F4" s="5" t="s">
        <v>39</v>
      </c>
      <c r="G4" s="5" t="s">
        <v>93</v>
      </c>
      <c r="H4" s="5" t="s">
        <v>30</v>
      </c>
    </row>
    <row r="5" spans="1:8">
      <c r="A5">
        <v>1001</v>
      </c>
      <c r="B5" t="s">
        <v>290</v>
      </c>
      <c r="C5" t="s">
        <v>43</v>
      </c>
      <c r="D5" s="3">
        <v>17</v>
      </c>
      <c r="E5" s="3">
        <v>20</v>
      </c>
      <c r="F5" s="3">
        <v>0</v>
      </c>
      <c r="G5" t="s">
        <v>94</v>
      </c>
      <c r="H5" t="s">
        <v>95</v>
      </c>
    </row>
    <row r="6" spans="1:8">
      <c r="A6">
        <v>1002</v>
      </c>
      <c r="B6" t="s">
        <v>291</v>
      </c>
      <c r="C6" t="s">
        <v>43</v>
      </c>
      <c r="D6" s="3">
        <v>23.5</v>
      </c>
      <c r="E6" s="3">
        <v>23.5</v>
      </c>
      <c r="F6" s="3">
        <v>0</v>
      </c>
      <c r="G6" t="s">
        <v>96</v>
      </c>
      <c r="H6" t="s">
        <v>95</v>
      </c>
    </row>
    <row r="7" spans="1:8">
      <c r="A7">
        <v>1003</v>
      </c>
      <c r="B7" t="s">
        <v>292</v>
      </c>
      <c r="C7" t="s">
        <v>43</v>
      </c>
      <c r="D7" s="3">
        <v>23.5</v>
      </c>
      <c r="E7" s="3">
        <v>23.5</v>
      </c>
      <c r="F7" s="3">
        <v>0</v>
      </c>
      <c r="G7" t="s">
        <v>97</v>
      </c>
      <c r="H7" t="s">
        <v>95</v>
      </c>
    </row>
    <row r="8" spans="1:8">
      <c r="A8">
        <v>1004</v>
      </c>
      <c r="B8" t="s">
        <v>293</v>
      </c>
      <c r="C8" t="s">
        <v>43</v>
      </c>
      <c r="D8" s="3">
        <v>21.5</v>
      </c>
      <c r="E8" s="3">
        <v>20</v>
      </c>
      <c r="F8" s="3">
        <v>0</v>
      </c>
      <c r="G8" t="s">
        <v>98</v>
      </c>
      <c r="H8" t="s">
        <v>95</v>
      </c>
    </row>
    <row r="9" spans="1:8">
      <c r="D9" s="3"/>
      <c r="E9" s="3"/>
      <c r="F9" s="3"/>
    </row>
    <row r="10" spans="1:8">
      <c r="D10" s="3"/>
      <c r="E10" s="3"/>
      <c r="F10" s="3"/>
    </row>
    <row r="11" spans="1:8">
      <c r="D11" s="3"/>
      <c r="E11" s="3"/>
      <c r="F11" s="3"/>
    </row>
    <row r="12" spans="1:8">
      <c r="D12" s="3"/>
      <c r="E12" s="3"/>
      <c r="F12" s="3"/>
    </row>
    <row r="13" spans="1:8">
      <c r="D13" s="3"/>
      <c r="E13" s="3"/>
      <c r="F13" s="3"/>
    </row>
    <row r="14" spans="1:8">
      <c r="D14" s="3"/>
      <c r="E14" s="3"/>
      <c r="F14" s="3"/>
    </row>
    <row r="15" spans="1:8">
      <c r="D15" s="3"/>
      <c r="E15" s="3"/>
      <c r="F15" s="3"/>
    </row>
    <row r="16" spans="1:8">
      <c r="D16" s="3"/>
      <c r="E16" s="3"/>
      <c r="F16" s="3"/>
    </row>
    <row r="17" spans="4:6">
      <c r="D17" s="3"/>
      <c r="E17" s="3"/>
      <c r="F17" s="3"/>
    </row>
    <row r="18" spans="4:6">
      <c r="D18" s="3"/>
      <c r="E18" s="3"/>
      <c r="F18" s="3"/>
    </row>
    <row r="19" spans="4:6">
      <c r="D19" s="3"/>
      <c r="E19" s="3"/>
      <c r="F19" s="3"/>
    </row>
    <row r="20" spans="4:6">
      <c r="D20" s="3"/>
      <c r="E20" s="3"/>
      <c r="F20" s="3"/>
    </row>
    <row r="21" spans="4:6">
      <c r="D21" s="3"/>
      <c r="E21" s="3"/>
      <c r="F21" s="3"/>
    </row>
    <row r="22" spans="4:6">
      <c r="D22" s="3"/>
      <c r="E22" s="3"/>
      <c r="F22" s="3"/>
    </row>
    <row r="23" spans="4:6">
      <c r="D23" s="3"/>
      <c r="E23" s="3"/>
      <c r="F23" s="3"/>
    </row>
    <row r="24" spans="4:6">
      <c r="D24" s="3"/>
      <c r="E24" s="3"/>
      <c r="F24" s="3"/>
    </row>
    <row r="25" spans="4:6">
      <c r="D25" s="3"/>
      <c r="E25" s="3"/>
      <c r="F25" s="3"/>
    </row>
    <row r="26" spans="4:6">
      <c r="D26" s="3"/>
      <c r="E26" s="3"/>
      <c r="F26" s="3"/>
    </row>
    <row r="27" spans="4:6">
      <c r="D27" s="3"/>
      <c r="E27" s="3"/>
      <c r="F27" s="3"/>
    </row>
    <row r="28" spans="4:6">
      <c r="D28" s="3"/>
      <c r="E28" s="3"/>
      <c r="F28" s="3"/>
    </row>
    <row r="29" spans="4:6">
      <c r="D29" s="3"/>
      <c r="E29" s="3"/>
      <c r="F29" s="3"/>
    </row>
    <row r="30" spans="4:6">
      <c r="D30" s="3"/>
      <c r="E30" s="3"/>
      <c r="F30" s="3"/>
    </row>
    <row r="31" spans="4:6">
      <c r="D31" s="3"/>
      <c r="E31" s="3"/>
      <c r="F31" s="3"/>
    </row>
    <row r="32" spans="4:6">
      <c r="D32" s="3"/>
      <c r="E32" s="3"/>
      <c r="F32" s="3"/>
    </row>
    <row r="33" spans="4:6">
      <c r="D33" s="3"/>
      <c r="E33" s="3"/>
      <c r="F33" s="3"/>
    </row>
    <row r="34" spans="4:6">
      <c r="D34" s="3"/>
      <c r="E34" s="3"/>
      <c r="F34" s="3"/>
    </row>
    <row r="35" spans="4:6">
      <c r="D35" s="3"/>
      <c r="E35" s="3"/>
      <c r="F35" s="3"/>
    </row>
    <row r="36" spans="4:6">
      <c r="D36" s="3"/>
      <c r="E36" s="3"/>
      <c r="F36" s="3"/>
    </row>
    <row r="37" spans="4:6">
      <c r="D37" s="3"/>
      <c r="E37" s="3"/>
      <c r="F37" s="3"/>
    </row>
    <row r="38" spans="4:6">
      <c r="D38" s="3"/>
      <c r="E38" s="3"/>
      <c r="F38" s="3"/>
    </row>
    <row r="39" spans="4:6">
      <c r="D39" s="3"/>
      <c r="E39" s="3"/>
      <c r="F39" s="3"/>
    </row>
    <row r="40" spans="4:6">
      <c r="D40" s="3"/>
      <c r="E40" s="3"/>
      <c r="F40" s="3"/>
    </row>
    <row r="41" spans="4:6">
      <c r="D41" s="3"/>
      <c r="E41" s="3"/>
      <c r="F41" s="3"/>
    </row>
    <row r="42" spans="4:6">
      <c r="D42" s="3"/>
      <c r="E42" s="3"/>
      <c r="F42" s="3"/>
    </row>
    <row r="43" spans="4:6">
      <c r="D43" s="3"/>
      <c r="E43" s="3"/>
      <c r="F43" s="3"/>
    </row>
    <row r="44" spans="4:6">
      <c r="D44" s="3"/>
      <c r="E44" s="3"/>
      <c r="F44" s="3"/>
    </row>
    <row r="45" spans="4:6">
      <c r="D45" s="3"/>
      <c r="E45" s="3"/>
      <c r="F45" s="3"/>
    </row>
    <row r="46" spans="4:6">
      <c r="D46" s="3"/>
      <c r="E46" s="3"/>
      <c r="F46" s="3"/>
    </row>
    <row r="47" spans="4:6">
      <c r="D47" s="3"/>
      <c r="E47" s="3"/>
      <c r="F47" s="3"/>
    </row>
    <row r="48" spans="4:6">
      <c r="D48" s="3"/>
      <c r="E48" s="3"/>
      <c r="F48" s="3"/>
    </row>
    <row r="49" spans="4:6">
      <c r="D49" s="3"/>
      <c r="E49" s="3"/>
      <c r="F49" s="3"/>
    </row>
    <row r="50" spans="4:6">
      <c r="D50" s="3"/>
      <c r="E50" s="3"/>
      <c r="F50" s="3"/>
    </row>
    <row r="51" spans="4:6">
      <c r="D51" s="3"/>
      <c r="E51" s="3"/>
      <c r="F51" s="3"/>
    </row>
    <row r="52" spans="4:6">
      <c r="D52" s="3"/>
      <c r="E52" s="3"/>
      <c r="F52" s="3"/>
    </row>
    <row r="53" spans="4:6">
      <c r="D53" s="3"/>
      <c r="E53" s="3"/>
      <c r="F53" s="3"/>
    </row>
    <row r="54" spans="4:6">
      <c r="D54" s="3"/>
      <c r="E54" s="3"/>
      <c r="F54" s="3"/>
    </row>
    <row r="55" spans="4:6">
      <c r="D55" s="3"/>
      <c r="E55" s="3"/>
      <c r="F55" s="3"/>
    </row>
    <row r="56" spans="4:6">
      <c r="D56" s="3"/>
      <c r="E56" s="3"/>
      <c r="F56" s="3"/>
    </row>
    <row r="57" spans="4:6">
      <c r="D57" s="3"/>
      <c r="E57" s="3"/>
      <c r="F57" s="3"/>
    </row>
    <row r="58" spans="4:6">
      <c r="D58" s="3"/>
      <c r="E58" s="3"/>
      <c r="F58" s="3"/>
    </row>
    <row r="59" spans="4:6">
      <c r="D59" s="3"/>
      <c r="E59" s="3"/>
      <c r="F59" s="3"/>
    </row>
    <row r="60" spans="4:6">
      <c r="D60" s="3"/>
      <c r="E60" s="3"/>
      <c r="F60" s="3"/>
    </row>
    <row r="61" spans="4:6">
      <c r="D61" s="3"/>
      <c r="E61" s="3"/>
      <c r="F61" s="3"/>
    </row>
    <row r="62" spans="4:6">
      <c r="D62" s="3"/>
      <c r="E62" s="3"/>
      <c r="F62" s="3"/>
    </row>
    <row r="63" spans="4:6">
      <c r="D63" s="3"/>
      <c r="E63" s="3"/>
      <c r="F63" s="3"/>
    </row>
    <row r="64" spans="4:6">
      <c r="D64" s="3"/>
      <c r="E64" s="3"/>
      <c r="F64" s="3"/>
    </row>
    <row r="65" spans="4:6">
      <c r="D65" s="3"/>
      <c r="E65" s="3"/>
      <c r="F65" s="3"/>
    </row>
    <row r="66" spans="4:6">
      <c r="D66" s="3"/>
      <c r="E66" s="3"/>
      <c r="F66" s="3"/>
    </row>
    <row r="67" spans="4:6">
      <c r="D67" s="3"/>
      <c r="E67" s="3"/>
      <c r="F67" s="3"/>
    </row>
    <row r="68" spans="4:6">
      <c r="D68" s="3"/>
      <c r="E68" s="3"/>
      <c r="F68" s="3"/>
    </row>
    <row r="69" spans="4:6">
      <c r="D69" s="3"/>
      <c r="E69" s="3"/>
      <c r="F69" s="3"/>
    </row>
    <row r="70" spans="4:6">
      <c r="D70" s="3"/>
      <c r="E70" s="3"/>
      <c r="F70" s="3"/>
    </row>
    <row r="71" spans="4:6">
      <c r="D71" s="3"/>
      <c r="E71" s="3"/>
      <c r="F71" s="3"/>
    </row>
    <row r="72" spans="4:6">
      <c r="D72" s="3"/>
      <c r="E72" s="3"/>
      <c r="F72" s="3"/>
    </row>
    <row r="73" spans="4:6">
      <c r="D73" s="3"/>
      <c r="E73" s="3"/>
      <c r="F73" s="3"/>
    </row>
    <row r="74" spans="4:6">
      <c r="D74" s="3"/>
      <c r="E74" s="3"/>
      <c r="F74" s="3"/>
    </row>
    <row r="75" spans="4:6">
      <c r="D75" s="3"/>
      <c r="E75" s="3"/>
      <c r="F75" s="3"/>
    </row>
    <row r="76" spans="4:6">
      <c r="D76" s="3"/>
      <c r="E76" s="3"/>
      <c r="F76" s="3"/>
    </row>
    <row r="77" spans="4:6">
      <c r="D77" s="3"/>
      <c r="E77" s="3"/>
      <c r="F77" s="3"/>
    </row>
    <row r="78" spans="4:6">
      <c r="D78" s="3"/>
      <c r="E78" s="3"/>
      <c r="F78" s="3"/>
    </row>
    <row r="79" spans="4:6">
      <c r="D79" s="3"/>
      <c r="E79" s="3"/>
      <c r="F79" s="3"/>
    </row>
    <row r="80" spans="4:6">
      <c r="D80" s="3"/>
      <c r="E80" s="3"/>
      <c r="F80" s="3"/>
    </row>
    <row r="81" spans="4:6">
      <c r="D81" s="3"/>
      <c r="E81" s="3"/>
      <c r="F81" s="3"/>
    </row>
    <row r="82" spans="4:6">
      <c r="D82" s="3"/>
      <c r="E82" s="3"/>
      <c r="F82" s="3"/>
    </row>
    <row r="83" spans="4:6">
      <c r="D83" s="3"/>
      <c r="E83" s="3"/>
      <c r="F83" s="3"/>
    </row>
    <row r="84" spans="4:6">
      <c r="D84" s="3"/>
      <c r="E84" s="3"/>
      <c r="F84" s="3"/>
    </row>
    <row r="85" spans="4:6">
      <c r="D85" s="3"/>
      <c r="E85" s="3"/>
      <c r="F85" s="3"/>
    </row>
    <row r="86" spans="4:6">
      <c r="D86" s="3"/>
      <c r="E86" s="3"/>
      <c r="F86" s="3"/>
    </row>
    <row r="87" spans="4:6">
      <c r="D87" s="3"/>
      <c r="E87" s="3"/>
      <c r="F87" s="3"/>
    </row>
    <row r="88" spans="4:6">
      <c r="D88" s="3"/>
      <c r="E88" s="3"/>
      <c r="F88" s="3"/>
    </row>
    <row r="89" spans="4:6">
      <c r="D89" s="3"/>
      <c r="E89" s="3"/>
      <c r="F89" s="3"/>
    </row>
    <row r="90" spans="4:6">
      <c r="D90" s="3"/>
      <c r="E90" s="3"/>
      <c r="F90" s="3"/>
    </row>
    <row r="91" spans="4:6">
      <c r="D91" s="3"/>
      <c r="E91" s="3"/>
      <c r="F91" s="3"/>
    </row>
    <row r="92" spans="4:6">
      <c r="D92" s="3"/>
      <c r="E92" s="3"/>
      <c r="F92" s="3"/>
    </row>
    <row r="93" spans="4:6">
      <c r="D93" s="3"/>
      <c r="E93" s="3"/>
      <c r="F93" s="3"/>
    </row>
    <row r="94" spans="4:6">
      <c r="D94" s="3"/>
      <c r="E94" s="3"/>
      <c r="F94" s="3"/>
    </row>
    <row r="95" spans="4:6">
      <c r="D95" s="3"/>
      <c r="E95" s="3"/>
      <c r="F95" s="3"/>
    </row>
    <row r="96" spans="4:6">
      <c r="D96" s="3"/>
      <c r="E96" s="3"/>
      <c r="F96" s="3"/>
    </row>
    <row r="97" spans="4:6">
      <c r="D97" s="3"/>
      <c r="E97" s="3"/>
      <c r="F97" s="3"/>
    </row>
    <row r="98" spans="4:6">
      <c r="D98" s="3"/>
      <c r="E98" s="3"/>
      <c r="F98" s="3"/>
    </row>
    <row r="99" spans="4:6">
      <c r="D99" s="3"/>
      <c r="E99" s="3"/>
      <c r="F99" s="3"/>
    </row>
    <row r="100" spans="4:6">
      <c r="D100" s="3"/>
      <c r="E100" s="3"/>
      <c r="F100" s="3"/>
    </row>
    <row r="101" spans="4:6">
      <c r="D101" s="3"/>
      <c r="E101" s="3"/>
      <c r="F101" s="3"/>
    </row>
    <row r="102" spans="4:6">
      <c r="D102" s="3"/>
      <c r="E102" s="3"/>
      <c r="F102" s="3"/>
    </row>
    <row r="103" spans="4:6">
      <c r="D103" s="3"/>
      <c r="E103" s="3"/>
      <c r="F103" s="3"/>
    </row>
    <row r="104" spans="4:6">
      <c r="D104" s="3"/>
      <c r="E104" s="3"/>
      <c r="F104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showGridLines="0" tabSelected="1" workbookViewId="0">
      <pane ySplit="4" topLeftCell="A5" activePane="bottomLeft" state="frozen"/>
      <selection pane="bottomLeft" activeCell="D7" sqref="D7"/>
    </sheetView>
  </sheetViews>
  <sheetFormatPr defaultRowHeight="14.25"/>
  <cols>
    <col min="1" max="1" width="12.25" customWidth="1"/>
    <col min="2" max="2" width="25.625" customWidth="1"/>
    <col min="3" max="3" width="32.25" customWidth="1"/>
    <col min="4" max="4" width="10.625" customWidth="1"/>
  </cols>
  <sheetData>
    <row r="1" spans="1:4" ht="24" customHeight="1">
      <c r="A1" s="17" t="s">
        <v>99</v>
      </c>
      <c r="B1" s="17"/>
      <c r="C1" s="17"/>
      <c r="D1" s="17"/>
    </row>
    <row r="2" spans="1:4" ht="19.5" customHeight="1">
      <c r="A2" s="7" t="s">
        <v>100</v>
      </c>
    </row>
    <row r="4" spans="1:4" ht="24" customHeight="1">
      <c r="A4" s="5" t="s">
        <v>48</v>
      </c>
      <c r="B4" s="5" t="s">
        <v>101</v>
      </c>
      <c r="C4" s="5" t="s">
        <v>102</v>
      </c>
      <c r="D4" s="5" t="s">
        <v>30</v>
      </c>
    </row>
    <row r="5" spans="1:4">
      <c r="A5" t="s">
        <v>51</v>
      </c>
      <c r="B5" t="s">
        <v>294</v>
      </c>
      <c r="C5" t="s">
        <v>297</v>
      </c>
      <c r="D5" t="s">
        <v>95</v>
      </c>
    </row>
    <row r="6" spans="1:4">
      <c r="A6" t="s">
        <v>52</v>
      </c>
      <c r="B6" t="s">
        <v>295</v>
      </c>
      <c r="C6" t="s">
        <v>298</v>
      </c>
      <c r="D6" t="s">
        <v>95</v>
      </c>
    </row>
    <row r="7" spans="1:4">
      <c r="A7" t="s">
        <v>54</v>
      </c>
      <c r="B7" t="s">
        <v>296</v>
      </c>
      <c r="C7" t="s">
        <v>299</v>
      </c>
      <c r="D7" t="s">
        <v>95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2.25" customWidth="1"/>
    <col min="2" max="2" width="26.125" customWidth="1"/>
    <col min="3" max="3" width="36.625" customWidth="1"/>
    <col min="4" max="4" width="10.625" customWidth="1"/>
  </cols>
  <sheetData>
    <row r="1" spans="1:4" ht="24" customHeight="1">
      <c r="A1" s="17" t="s">
        <v>103</v>
      </c>
      <c r="B1" s="17"/>
      <c r="C1" s="17"/>
      <c r="D1" s="17"/>
    </row>
    <row r="2" spans="1:4" ht="19.5" customHeight="1">
      <c r="A2" s="7" t="s">
        <v>104</v>
      </c>
    </row>
    <row r="4" spans="1:4" ht="24" customHeight="1">
      <c r="A4" s="5" t="s">
        <v>48</v>
      </c>
      <c r="B4" s="5" t="s">
        <v>105</v>
      </c>
      <c r="C4" s="5" t="s">
        <v>102</v>
      </c>
      <c r="D4" s="5" t="s">
        <v>30</v>
      </c>
    </row>
    <row r="5" spans="1:4">
      <c r="A5" t="s">
        <v>106</v>
      </c>
      <c r="B5" t="s">
        <v>72</v>
      </c>
      <c r="C5" t="s">
        <v>107</v>
      </c>
      <c r="D5" t="s">
        <v>95</v>
      </c>
    </row>
    <row r="6" spans="1:4">
      <c r="A6" t="s">
        <v>108</v>
      </c>
      <c r="B6" t="s">
        <v>74</v>
      </c>
      <c r="C6" t="s">
        <v>109</v>
      </c>
      <c r="D6" t="s">
        <v>95</v>
      </c>
    </row>
    <row r="7" spans="1:4">
      <c r="A7" t="s">
        <v>110</v>
      </c>
      <c r="B7" t="s">
        <v>78</v>
      </c>
      <c r="C7" t="s">
        <v>111</v>
      </c>
      <c r="D7" t="s">
        <v>95</v>
      </c>
    </row>
    <row r="8" spans="1:4">
      <c r="A8" t="s">
        <v>112</v>
      </c>
      <c r="B8" t="s">
        <v>75</v>
      </c>
      <c r="C8" t="s">
        <v>113</v>
      </c>
      <c r="D8" t="s">
        <v>95</v>
      </c>
    </row>
    <row r="9" spans="1:4">
      <c r="A9" t="s">
        <v>114</v>
      </c>
      <c r="B9" t="s">
        <v>115</v>
      </c>
      <c r="C9" t="s">
        <v>116</v>
      </c>
      <c r="D9" t="s">
        <v>95</v>
      </c>
    </row>
    <row r="10" spans="1:4">
      <c r="A10" t="s">
        <v>117</v>
      </c>
      <c r="B10" t="s">
        <v>77</v>
      </c>
      <c r="C10" t="s">
        <v>118</v>
      </c>
      <c r="D10" t="s">
        <v>95</v>
      </c>
    </row>
    <row r="11" spans="1:4">
      <c r="A11" t="s">
        <v>119</v>
      </c>
      <c r="B11" t="s">
        <v>120</v>
      </c>
      <c r="C11" t="s">
        <v>121</v>
      </c>
      <c r="D11" t="s">
        <v>95</v>
      </c>
    </row>
    <row r="12" spans="1:4">
      <c r="A12" t="s">
        <v>122</v>
      </c>
      <c r="B12" t="s">
        <v>123</v>
      </c>
      <c r="C12" t="s">
        <v>124</v>
      </c>
      <c r="D12" t="s">
        <v>95</v>
      </c>
    </row>
    <row r="13" spans="1:4">
      <c r="A13" t="s">
        <v>125</v>
      </c>
      <c r="B13" t="s">
        <v>55</v>
      </c>
      <c r="C13" t="s">
        <v>126</v>
      </c>
      <c r="D13" t="s">
        <v>95</v>
      </c>
    </row>
    <row r="14" spans="1:4">
      <c r="A14" t="s">
        <v>127</v>
      </c>
      <c r="B14" t="s">
        <v>79</v>
      </c>
      <c r="C14" t="s">
        <v>128</v>
      </c>
      <c r="D14" t="s">
        <v>95</v>
      </c>
    </row>
    <row r="15" spans="1:4">
      <c r="A15" t="s">
        <v>129</v>
      </c>
      <c r="B15" t="s">
        <v>76</v>
      </c>
      <c r="C15" t="s">
        <v>130</v>
      </c>
      <c r="D15" t="s">
        <v>95</v>
      </c>
    </row>
    <row r="16" spans="1:4">
      <c r="A16" t="s">
        <v>131</v>
      </c>
      <c r="B16" t="s">
        <v>132</v>
      </c>
      <c r="C16" t="s">
        <v>133</v>
      </c>
      <c r="D16" t="s">
        <v>95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showGridLines="0" workbookViewId="0"/>
  </sheetViews>
  <sheetFormatPr defaultRowHeight="14.25"/>
  <cols>
    <col min="1" max="1" width="8" customWidth="1"/>
    <col min="2" max="2" width="94.375" customWidth="1"/>
  </cols>
  <sheetData>
    <row r="1" spans="1:2" ht="24" customHeight="1">
      <c r="A1" s="17" t="s">
        <v>134</v>
      </c>
      <c r="B1" s="17"/>
    </row>
    <row r="2" spans="1:2" ht="22.5" customHeight="1">
      <c r="A2" t="s">
        <v>135</v>
      </c>
      <c r="B2" t="s">
        <v>136</v>
      </c>
    </row>
    <row r="3" spans="1:2" ht="22.5" customHeight="1">
      <c r="A3" t="s">
        <v>137</v>
      </c>
      <c r="B3" t="s">
        <v>138</v>
      </c>
    </row>
    <row r="4" spans="1:2" ht="22.5" customHeight="1">
      <c r="A4" t="s">
        <v>139</v>
      </c>
      <c r="B4" t="s">
        <v>140</v>
      </c>
    </row>
    <row r="5" spans="1:2" ht="22.5" customHeight="1">
      <c r="A5" t="s">
        <v>141</v>
      </c>
      <c r="B5" t="s">
        <v>142</v>
      </c>
    </row>
    <row r="6" spans="1:2" ht="22.5" customHeight="1">
      <c r="A6" t="s">
        <v>143</v>
      </c>
      <c r="B6" t="s">
        <v>144</v>
      </c>
    </row>
    <row r="7" spans="1:2" ht="22.5" customHeight="1">
      <c r="A7" t="s">
        <v>145</v>
      </c>
      <c r="B7" t="s">
        <v>146</v>
      </c>
    </row>
    <row r="8" spans="1:2" ht="22.5" customHeight="1">
      <c r="A8" t="s">
        <v>147</v>
      </c>
      <c r="B8" t="s">
        <v>148</v>
      </c>
    </row>
    <row r="9" spans="1:2" ht="22.5" customHeight="1">
      <c r="A9" t="s">
        <v>149</v>
      </c>
      <c r="B9" t="s">
        <v>150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46"/>
  <sheetViews>
    <sheetView showGridLines="0" workbookViewId="0"/>
  </sheetViews>
  <sheetFormatPr defaultRowHeight="14.25"/>
  <cols>
    <col min="1" max="1" width="100" customWidth="1"/>
  </cols>
  <sheetData>
    <row r="1" spans="1:1" ht="24" customHeight="1">
      <c r="A1" s="17" t="s">
        <v>151</v>
      </c>
    </row>
    <row r="2" spans="1:1">
      <c r="A2" s="22" t="s">
        <v>152</v>
      </c>
    </row>
    <row r="3" spans="1:1">
      <c r="A3" s="22" t="s">
        <v>153</v>
      </c>
    </row>
    <row r="4" spans="1:1">
      <c r="A4" s="22" t="s">
        <v>154</v>
      </c>
    </row>
    <row r="5" spans="1:1">
      <c r="A5" s="22" t="s">
        <v>155</v>
      </c>
    </row>
    <row r="6" spans="1:1">
      <c r="A6" s="22" t="s">
        <v>156</v>
      </c>
    </row>
    <row r="7" spans="1:1">
      <c r="A7" s="22" t="s">
        <v>157</v>
      </c>
    </row>
    <row r="8" spans="1:1">
      <c r="A8" s="22" t="s">
        <v>158</v>
      </c>
    </row>
    <row r="9" spans="1:1">
      <c r="A9" s="22" t="s">
        <v>159</v>
      </c>
    </row>
    <row r="10" spans="1:1">
      <c r="A10" s="22" t="s">
        <v>160</v>
      </c>
    </row>
    <row r="11" spans="1:1">
      <c r="A11" s="22" t="s">
        <v>161</v>
      </c>
    </row>
    <row r="12" spans="1:1">
      <c r="A12" s="22" t="s">
        <v>162</v>
      </c>
    </row>
    <row r="13" spans="1:1">
      <c r="A13" s="22" t="s">
        <v>163</v>
      </c>
    </row>
    <row r="14" spans="1:1">
      <c r="A14" s="22" t="s">
        <v>164</v>
      </c>
    </row>
    <row r="15" spans="1:1">
      <c r="A15" s="22" t="s">
        <v>165</v>
      </c>
    </row>
    <row r="16" spans="1:1">
      <c r="A16" s="22" t="s">
        <v>166</v>
      </c>
    </row>
    <row r="17" spans="1:1">
      <c r="A17" s="22" t="s">
        <v>167</v>
      </c>
    </row>
    <row r="18" spans="1:1">
      <c r="A18" s="22" t="s">
        <v>168</v>
      </c>
    </row>
    <row r="19" spans="1:1">
      <c r="A19" s="22" t="s">
        <v>169</v>
      </c>
    </row>
    <row r="20" spans="1:1">
      <c r="A20" s="22" t="s">
        <v>170</v>
      </c>
    </row>
    <row r="21" spans="1:1">
      <c r="A21" s="22" t="s">
        <v>171</v>
      </c>
    </row>
    <row r="22" spans="1:1">
      <c r="A22" s="22" t="s">
        <v>172</v>
      </c>
    </row>
    <row r="23" spans="1:1">
      <c r="A23" s="22" t="s">
        <v>173</v>
      </c>
    </row>
    <row r="24" spans="1:1">
      <c r="A24" s="22" t="s">
        <v>174</v>
      </c>
    </row>
    <row r="25" spans="1:1">
      <c r="A25" s="22" t="s">
        <v>175</v>
      </c>
    </row>
    <row r="26" spans="1:1">
      <c r="A26" s="22" t="s">
        <v>176</v>
      </c>
    </row>
    <row r="27" spans="1:1">
      <c r="A27" s="22" t="s">
        <v>177</v>
      </c>
    </row>
    <row r="28" spans="1:1">
      <c r="A28" s="22" t="s">
        <v>178</v>
      </c>
    </row>
    <row r="29" spans="1:1">
      <c r="A29" s="22" t="s">
        <v>179</v>
      </c>
    </row>
    <row r="30" spans="1:1">
      <c r="A30" s="22" t="s">
        <v>180</v>
      </c>
    </row>
    <row r="31" spans="1:1">
      <c r="A31" s="22" t="s">
        <v>181</v>
      </c>
    </row>
    <row r="32" spans="1:1">
      <c r="A32" s="22" t="s">
        <v>182</v>
      </c>
    </row>
    <row r="33" spans="1:1">
      <c r="A33" s="22" t="s">
        <v>183</v>
      </c>
    </row>
    <row r="34" spans="1:1">
      <c r="A34" s="22" t="s">
        <v>184</v>
      </c>
    </row>
    <row r="35" spans="1:1">
      <c r="A35" s="22" t="s">
        <v>185</v>
      </c>
    </row>
    <row r="36" spans="1:1">
      <c r="A36" s="22" t="s">
        <v>186</v>
      </c>
    </row>
    <row r="37" spans="1:1">
      <c r="A37" s="22" t="s">
        <v>187</v>
      </c>
    </row>
    <row r="38" spans="1:1">
      <c r="A38" s="22" t="s">
        <v>188</v>
      </c>
    </row>
    <row r="39" spans="1:1">
      <c r="A39" s="22" t="s">
        <v>163</v>
      </c>
    </row>
    <row r="40" spans="1:1">
      <c r="A40" s="22" t="s">
        <v>189</v>
      </c>
    </row>
    <row r="41" spans="1:1">
      <c r="A41" s="22" t="s">
        <v>190</v>
      </c>
    </row>
    <row r="42" spans="1:1">
      <c r="A42" s="22" t="s">
        <v>191</v>
      </c>
    </row>
    <row r="43" spans="1:1">
      <c r="A43" s="22" t="s">
        <v>192</v>
      </c>
    </row>
    <row r="44" spans="1:1">
      <c r="A44" s="22" t="s">
        <v>193</v>
      </c>
    </row>
    <row r="45" spans="1:1">
      <c r="A45" s="22" t="s">
        <v>194</v>
      </c>
    </row>
    <row r="46" spans="1:1">
      <c r="A46" s="22" t="s">
        <v>195</v>
      </c>
    </row>
    <row r="47" spans="1:1">
      <c r="A47" s="22" t="s">
        <v>196</v>
      </c>
    </row>
    <row r="48" spans="1:1">
      <c r="A48" s="22" t="s">
        <v>197</v>
      </c>
    </row>
    <row r="49" spans="1:1">
      <c r="A49" s="22" t="s">
        <v>198</v>
      </c>
    </row>
    <row r="50" spans="1:1">
      <c r="A50" s="22" t="s">
        <v>199</v>
      </c>
    </row>
    <row r="51" spans="1:1">
      <c r="A51" s="22" t="s">
        <v>200</v>
      </c>
    </row>
    <row r="52" spans="1:1">
      <c r="A52" s="22" t="s">
        <v>201</v>
      </c>
    </row>
    <row r="53" spans="1:1">
      <c r="A53" s="22" t="s">
        <v>202</v>
      </c>
    </row>
    <row r="54" spans="1:1">
      <c r="A54" s="22" t="s">
        <v>203</v>
      </c>
    </row>
    <row r="55" spans="1:1">
      <c r="A55" s="22" t="s">
        <v>163</v>
      </c>
    </row>
    <row r="56" spans="1:1">
      <c r="A56" s="22" t="s">
        <v>204</v>
      </c>
    </row>
    <row r="57" spans="1:1">
      <c r="A57" s="22" t="s">
        <v>205</v>
      </c>
    </row>
    <row r="58" spans="1:1">
      <c r="A58" s="22" t="s">
        <v>206</v>
      </c>
    </row>
    <row r="59" spans="1:1">
      <c r="A59" s="22" t="s">
        <v>207</v>
      </c>
    </row>
    <row r="60" spans="1:1">
      <c r="A60" s="22" t="s">
        <v>208</v>
      </c>
    </row>
    <row r="61" spans="1:1">
      <c r="A61" s="22" t="s">
        <v>209</v>
      </c>
    </row>
    <row r="62" spans="1:1">
      <c r="A62" s="22" t="s">
        <v>210</v>
      </c>
    </row>
    <row r="63" spans="1:1">
      <c r="A63" s="22" t="s">
        <v>211</v>
      </c>
    </row>
    <row r="64" spans="1:1">
      <c r="A64" s="22" t="s">
        <v>212</v>
      </c>
    </row>
    <row r="65" spans="1:1">
      <c r="A65" s="22" t="s">
        <v>213</v>
      </c>
    </row>
    <row r="66" spans="1:1">
      <c r="A66" s="22" t="s">
        <v>214</v>
      </c>
    </row>
    <row r="67" spans="1:1">
      <c r="A67" s="22" t="s">
        <v>215</v>
      </c>
    </row>
    <row r="68" spans="1:1">
      <c r="A68" s="22" t="s">
        <v>216</v>
      </c>
    </row>
    <row r="69" spans="1:1">
      <c r="A69" s="22" t="s">
        <v>217</v>
      </c>
    </row>
    <row r="70" spans="1:1">
      <c r="A70" s="22" t="s">
        <v>218</v>
      </c>
    </row>
    <row r="71" spans="1:1">
      <c r="A71" s="22" t="s">
        <v>219</v>
      </c>
    </row>
    <row r="72" spans="1:1">
      <c r="A72" s="22" t="s">
        <v>220</v>
      </c>
    </row>
    <row r="73" spans="1:1">
      <c r="A73" s="22" t="s">
        <v>221</v>
      </c>
    </row>
    <row r="74" spans="1:1">
      <c r="A74" s="22" t="s">
        <v>222</v>
      </c>
    </row>
    <row r="75" spans="1:1">
      <c r="A75" s="22" t="s">
        <v>223</v>
      </c>
    </row>
    <row r="76" spans="1:1">
      <c r="A76" s="22" t="s">
        <v>224</v>
      </c>
    </row>
    <row r="77" spans="1:1">
      <c r="A77" s="22" t="s">
        <v>225</v>
      </c>
    </row>
    <row r="78" spans="1:1">
      <c r="A78" s="22" t="s">
        <v>226</v>
      </c>
    </row>
    <row r="79" spans="1:1">
      <c r="A79" s="22" t="s">
        <v>227</v>
      </c>
    </row>
    <row r="80" spans="1:1">
      <c r="A80" s="22" t="s">
        <v>228</v>
      </c>
    </row>
    <row r="81" spans="1:1">
      <c r="A81" s="22" t="s">
        <v>229</v>
      </c>
    </row>
    <row r="82" spans="1:1">
      <c r="A82" s="22" t="s">
        <v>230</v>
      </c>
    </row>
    <row r="83" spans="1:1">
      <c r="A83" s="22" t="s">
        <v>231</v>
      </c>
    </row>
    <row r="84" spans="1:1">
      <c r="A84" s="22" t="s">
        <v>232</v>
      </c>
    </row>
    <row r="85" spans="1:1">
      <c r="A85" s="22" t="s">
        <v>233</v>
      </c>
    </row>
    <row r="86" spans="1:1">
      <c r="A86" s="22" t="s">
        <v>163</v>
      </c>
    </row>
    <row r="87" spans="1:1">
      <c r="A87" s="22" t="s">
        <v>234</v>
      </c>
    </row>
    <row r="88" spans="1:1">
      <c r="A88" s="22" t="s">
        <v>235</v>
      </c>
    </row>
    <row r="89" spans="1:1">
      <c r="A89" s="22" t="s">
        <v>236</v>
      </c>
    </row>
    <row r="90" spans="1:1">
      <c r="A90" s="22" t="s">
        <v>237</v>
      </c>
    </row>
    <row r="91" spans="1:1">
      <c r="A91" s="22" t="s">
        <v>238</v>
      </c>
    </row>
    <row r="92" spans="1:1">
      <c r="A92" s="22" t="s">
        <v>239</v>
      </c>
    </row>
    <row r="93" spans="1:1">
      <c r="A93" s="22" t="s">
        <v>240</v>
      </c>
    </row>
    <row r="94" spans="1:1">
      <c r="A94" s="22" t="s">
        <v>241</v>
      </c>
    </row>
    <row r="95" spans="1:1">
      <c r="A95" s="22" t="s">
        <v>242</v>
      </c>
    </row>
    <row r="96" spans="1:1">
      <c r="A96" s="22" t="s">
        <v>243</v>
      </c>
    </row>
    <row r="97" spans="1:1">
      <c r="A97" s="22" t="s">
        <v>244</v>
      </c>
    </row>
    <row r="98" spans="1:1">
      <c r="A98" s="22" t="s">
        <v>245</v>
      </c>
    </row>
    <row r="99" spans="1:1">
      <c r="A99" s="22" t="s">
        <v>246</v>
      </c>
    </row>
    <row r="100" spans="1:1">
      <c r="A100" s="22" t="s">
        <v>247</v>
      </c>
    </row>
    <row r="101" spans="1:1">
      <c r="A101" s="22" t="s">
        <v>248</v>
      </c>
    </row>
    <row r="102" spans="1:1">
      <c r="A102" s="22" t="s">
        <v>249</v>
      </c>
    </row>
    <row r="103" spans="1:1">
      <c r="A103" s="22" t="s">
        <v>163</v>
      </c>
    </row>
    <row r="104" spans="1:1">
      <c r="A104" s="22" t="s">
        <v>250</v>
      </c>
    </row>
    <row r="105" spans="1:1">
      <c r="A105" s="22" t="s">
        <v>251</v>
      </c>
    </row>
    <row r="106" spans="1:1">
      <c r="A106" s="22" t="s">
        <v>252</v>
      </c>
    </row>
    <row r="107" spans="1:1">
      <c r="A107" s="22" t="s">
        <v>253</v>
      </c>
    </row>
    <row r="108" spans="1:1">
      <c r="A108" s="22" t="s">
        <v>254</v>
      </c>
    </row>
    <row r="109" spans="1:1">
      <c r="A109" s="22" t="s">
        <v>255</v>
      </c>
    </row>
    <row r="110" spans="1:1">
      <c r="A110" s="22" t="s">
        <v>256</v>
      </c>
    </row>
    <row r="111" spans="1:1">
      <c r="A111" s="22" t="s">
        <v>257</v>
      </c>
    </row>
    <row r="112" spans="1:1">
      <c r="A112" s="22" t="s">
        <v>258</v>
      </c>
    </row>
    <row r="113" spans="1:1">
      <c r="A113" s="22" t="s">
        <v>259</v>
      </c>
    </row>
    <row r="114" spans="1:1">
      <c r="A114" s="22" t="s">
        <v>260</v>
      </c>
    </row>
    <row r="115" spans="1:1">
      <c r="A115" s="22" t="s">
        <v>261</v>
      </c>
    </row>
    <row r="116" spans="1:1">
      <c r="A116" s="22" t="s">
        <v>163</v>
      </c>
    </row>
    <row r="117" spans="1:1">
      <c r="A117" s="22" t="s">
        <v>262</v>
      </c>
    </row>
    <row r="118" spans="1:1">
      <c r="A118" s="22" t="s">
        <v>263</v>
      </c>
    </row>
    <row r="119" spans="1:1">
      <c r="A119" s="22" t="s">
        <v>264</v>
      </c>
    </row>
    <row r="120" spans="1:1">
      <c r="A120" s="22" t="s">
        <v>265</v>
      </c>
    </row>
    <row r="121" spans="1:1">
      <c r="A121" s="22" t="s">
        <v>266</v>
      </c>
    </row>
    <row r="122" spans="1:1">
      <c r="A122" s="22" t="s">
        <v>267</v>
      </c>
    </row>
    <row r="123" spans="1:1">
      <c r="A123" s="22" t="s">
        <v>268</v>
      </c>
    </row>
    <row r="124" spans="1:1">
      <c r="A124" s="22" t="s">
        <v>163</v>
      </c>
    </row>
    <row r="125" spans="1:1">
      <c r="A125" s="22" t="s">
        <v>269</v>
      </c>
    </row>
    <row r="126" spans="1:1">
      <c r="A126" s="22" t="s">
        <v>270</v>
      </c>
    </row>
    <row r="127" spans="1:1">
      <c r="A127" s="22" t="s">
        <v>271</v>
      </c>
    </row>
    <row r="128" spans="1:1">
      <c r="A128" s="22" t="s">
        <v>272</v>
      </c>
    </row>
    <row r="129" spans="1:1">
      <c r="A129" s="22" t="s">
        <v>273</v>
      </c>
    </row>
    <row r="130" spans="1:1">
      <c r="A130" s="22" t="s">
        <v>274</v>
      </c>
    </row>
    <row r="131" spans="1:1">
      <c r="A131" s="22" t="s">
        <v>275</v>
      </c>
    </row>
    <row r="132" spans="1:1">
      <c r="A132" s="22" t="s">
        <v>276</v>
      </c>
    </row>
    <row r="133" spans="1:1">
      <c r="A133" s="22" t="s">
        <v>277</v>
      </c>
    </row>
    <row r="134" spans="1:1">
      <c r="A134" s="22" t="s">
        <v>278</v>
      </c>
    </row>
    <row r="135" spans="1:1">
      <c r="A135" t="s">
        <v>279</v>
      </c>
    </row>
    <row r="136" spans="1:1">
      <c r="A136" t="s">
        <v>280</v>
      </c>
    </row>
    <row r="137" spans="1:1">
      <c r="A137" t="s">
        <v>281</v>
      </c>
    </row>
    <row r="138" spans="1:1">
      <c r="A138" t="s">
        <v>163</v>
      </c>
    </row>
    <row r="139" spans="1:1">
      <c r="A139" t="s">
        <v>282</v>
      </c>
    </row>
    <row r="140" spans="1:1">
      <c r="A140" t="s">
        <v>283</v>
      </c>
    </row>
    <row r="141" spans="1:1">
      <c r="A141" t="s">
        <v>284</v>
      </c>
    </row>
    <row r="142" spans="1:1">
      <c r="A142" t="s">
        <v>285</v>
      </c>
    </row>
    <row r="143" spans="1:1">
      <c r="A143" t="s">
        <v>286</v>
      </c>
    </row>
    <row r="144" spans="1:1">
      <c r="A144" t="s">
        <v>287</v>
      </c>
    </row>
    <row r="145" spans="1:1">
      <c r="A145" t="s">
        <v>288</v>
      </c>
    </row>
    <row r="146" spans="1:1">
      <c r="A146" t="s">
        <v>163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98ecdb-379e-4e6d-8ae3-b710a7e51541}" enabled="0" method="" siteId="{4198ecdb-379e-4e6d-8ae3-b710a7e515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Registrar Ponto</vt:lpstr>
      <vt:lpstr>Cartão de Ponto</vt:lpstr>
      <vt:lpstr>Resumo Pagamentos</vt:lpstr>
      <vt:lpstr>Custo por Projeto</vt:lpstr>
      <vt:lpstr>Registros</vt:lpstr>
      <vt:lpstr>Batidas</vt:lpstr>
      <vt:lpstr>Conferência</vt:lpstr>
      <vt:lpstr>Cadastro Pessoas</vt:lpstr>
      <vt:lpstr>Cadastro Projetos</vt:lpstr>
      <vt:lpstr>Cadastro Atividades</vt:lpstr>
      <vt:lpstr>Configuração</vt:lpstr>
      <vt:lpstr>Office 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Mariano</dc:creator>
  <cp:lastModifiedBy>Alex Mariano</cp:lastModifiedBy>
  <dcterms:created xsi:type="dcterms:W3CDTF">2026-09-24T20:19:30Z</dcterms:created>
  <dcterms:modified xsi:type="dcterms:W3CDTF">2026-10-27T15:03:51Z</dcterms:modified>
</cp:coreProperties>
</file>